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Intrepid Spirits\Consolidation\Consolidation Per Brand &amp; Region &amp; Subsidiary\"/>
    </mc:Choice>
  </mc:AlternateContent>
  <xr:revisionPtr revIDLastSave="0" documentId="13_ncr:1_{F13D6DE8-A643-424F-BD9B-A841A1421E56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ConsolidatedPLperSub" sheetId="2208" r:id="rId1"/>
    <sheet name="ConsolidatedPLperBrand" sheetId="2210" r:id="rId2"/>
    <sheet name="ConsolidatedPLperRegion" sheetId="2212" r:id="rId3"/>
    <sheet name="InternalSalesPerBrand" sheetId="2205" r:id="rId4"/>
    <sheet name="InternalSalesPerRegion" sheetId="2206" r:id="rId5"/>
    <sheet name="PLperBrand" sheetId="2209" r:id="rId6"/>
    <sheet name="PLperRegion" sheetId="2211" r:id="rId7"/>
    <sheet name="CompanyName" sheetId="2214" r:id="rId8"/>
    <sheet name="SalesDetail" sheetId="2213" r:id="rId9"/>
    <sheet name="COSDetail" sheetId="2207" r:id="rId10"/>
    <sheet name="Instruction" sheetId="1436" r:id="rId11"/>
  </sheets>
  <functionGroups builtInGroupCount="19"/>
  <definedNames>
    <definedName name="_xlnm._FilterDatabase" localSheetId="9" hidden="1">COSDetail!$A$1:$J$1283</definedName>
    <definedName name="_xlnm._FilterDatabase" localSheetId="8" hidden="1">SalesDetail!$A$1:$J$1529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2" i="2212" l="1"/>
  <c r="K14" i="2212"/>
  <c r="W22" i="2212"/>
  <c r="W14" i="2212"/>
  <c r="U22" i="2212"/>
  <c r="U14" i="2212"/>
  <c r="U17" i="2212" s="1"/>
  <c r="U18" i="2212" s="1"/>
  <c r="H22" i="2212"/>
  <c r="H14" i="2212"/>
  <c r="H17" i="2212" s="1"/>
  <c r="H18" i="2212" s="1"/>
  <c r="N22" i="2212"/>
  <c r="N34" i="2212" s="1"/>
  <c r="N14" i="2212"/>
  <c r="D22" i="2212"/>
  <c r="D14" i="2212"/>
  <c r="AB22" i="2212"/>
  <c r="AB34" i="2212" s="1"/>
  <c r="AB14" i="2212"/>
  <c r="L20" i="2210"/>
  <c r="L12" i="2210"/>
  <c r="K20" i="2210"/>
  <c r="K12" i="2210"/>
  <c r="O20" i="2210"/>
  <c r="O12" i="2210"/>
  <c r="D20" i="2210"/>
  <c r="D12" i="2210"/>
  <c r="S20" i="2210"/>
  <c r="S12" i="2210"/>
  <c r="J20" i="2210"/>
  <c r="J12" i="2210"/>
  <c r="E20" i="2210"/>
  <c r="E12" i="2210"/>
  <c r="P20" i="2210"/>
  <c r="P12" i="2210"/>
  <c r="N20" i="2210"/>
  <c r="N12" i="2210"/>
  <c r="R20" i="2210"/>
  <c r="R12" i="2210"/>
  <c r="C20" i="2210"/>
  <c r="C12" i="2210"/>
  <c r="M20" i="2210"/>
  <c r="M12" i="2210"/>
  <c r="H20" i="2210"/>
  <c r="H12" i="2210"/>
  <c r="G20" i="2210"/>
  <c r="G12" i="2210"/>
  <c r="T20" i="2210"/>
  <c r="T12" i="2210"/>
  <c r="B20" i="2210"/>
  <c r="B12" i="2210"/>
  <c r="B34" i="2212"/>
  <c r="C34" i="2212"/>
  <c r="D34" i="2212"/>
  <c r="E34" i="2212"/>
  <c r="F34" i="2212"/>
  <c r="G34" i="2212"/>
  <c r="H34" i="2212"/>
  <c r="I34" i="2212"/>
  <c r="K34" i="2212"/>
  <c r="L34" i="2212"/>
  <c r="M34" i="2212"/>
  <c r="P34" i="2212"/>
  <c r="Q34" i="2212"/>
  <c r="R34" i="2212"/>
  <c r="S34" i="2212"/>
  <c r="T34" i="2212"/>
  <c r="U34" i="2212"/>
  <c r="V34" i="2212"/>
  <c r="W34" i="2212"/>
  <c r="X34" i="2212"/>
  <c r="Y34" i="2212"/>
  <c r="Z34" i="2212"/>
  <c r="Z175" i="2212"/>
  <c r="T175" i="2212"/>
  <c r="O175" i="2212"/>
  <c r="J175" i="2212"/>
  <c r="Z174" i="2212"/>
  <c r="T174" i="2212"/>
  <c r="AA174" i="2212" s="1"/>
  <c r="O174" i="2212"/>
  <c r="J174" i="2212"/>
  <c r="AB173" i="2212"/>
  <c r="AB176" i="2212" s="1"/>
  <c r="Y173" i="2212"/>
  <c r="Y176" i="2212" s="1"/>
  <c r="X173" i="2212"/>
  <c r="X176" i="2212" s="1"/>
  <c r="W173" i="2212"/>
  <c r="W176" i="2212" s="1"/>
  <c r="V173" i="2212"/>
  <c r="V176" i="2212" s="1"/>
  <c r="U173" i="2212"/>
  <c r="U176" i="2212" s="1"/>
  <c r="S173" i="2212"/>
  <c r="S176" i="2212" s="1"/>
  <c r="R173" i="2212"/>
  <c r="R176" i="2212" s="1"/>
  <c r="Q173" i="2212"/>
  <c r="Q176" i="2212" s="1"/>
  <c r="P173" i="2212"/>
  <c r="P176" i="2212" s="1"/>
  <c r="N173" i="2212"/>
  <c r="N176" i="2212" s="1"/>
  <c r="M173" i="2212"/>
  <c r="M176" i="2212" s="1"/>
  <c r="L173" i="2212"/>
  <c r="L176" i="2212" s="1"/>
  <c r="K173" i="2212"/>
  <c r="K176" i="2212" s="1"/>
  <c r="I173" i="2212"/>
  <c r="I176" i="2212" s="1"/>
  <c r="H173" i="2212"/>
  <c r="H176" i="2212" s="1"/>
  <c r="G173" i="2212"/>
  <c r="G176" i="2212" s="1"/>
  <c r="F173" i="2212"/>
  <c r="F176" i="2212" s="1"/>
  <c r="E173" i="2212"/>
  <c r="E176" i="2212" s="1"/>
  <c r="D173" i="2212"/>
  <c r="D176" i="2212" s="1"/>
  <c r="C173" i="2212"/>
  <c r="C176" i="2212" s="1"/>
  <c r="B173" i="2212"/>
  <c r="B176" i="2212" s="1"/>
  <c r="Z172" i="2212"/>
  <c r="Z173" i="2212" s="1"/>
  <c r="T172" i="2212"/>
  <c r="T173" i="2212" s="1"/>
  <c r="O172" i="2212"/>
  <c r="O173" i="2212" s="1"/>
  <c r="J172" i="2212"/>
  <c r="J173" i="2212" s="1"/>
  <c r="Z170" i="2212"/>
  <c r="T170" i="2212"/>
  <c r="O170" i="2212"/>
  <c r="J170" i="2212"/>
  <c r="AB167" i="2212"/>
  <c r="AB168" i="2212" s="1"/>
  <c r="Y167" i="2212"/>
  <c r="Y168" i="2212" s="1"/>
  <c r="Y177" i="2212" s="1"/>
  <c r="X167" i="2212"/>
  <c r="X168" i="2212" s="1"/>
  <c r="W167" i="2212"/>
  <c r="W168" i="2212" s="1"/>
  <c r="V167" i="2212"/>
  <c r="V168" i="2212" s="1"/>
  <c r="V177" i="2212" s="1"/>
  <c r="U167" i="2212"/>
  <c r="U168" i="2212" s="1"/>
  <c r="S167" i="2212"/>
  <c r="S168" i="2212" s="1"/>
  <c r="S177" i="2212" s="1"/>
  <c r="R167" i="2212"/>
  <c r="R168" i="2212" s="1"/>
  <c r="R177" i="2212" s="1"/>
  <c r="Q167" i="2212"/>
  <c r="Q168" i="2212" s="1"/>
  <c r="P167" i="2212"/>
  <c r="P168" i="2212" s="1"/>
  <c r="N167" i="2212"/>
  <c r="N168" i="2212" s="1"/>
  <c r="M167" i="2212"/>
  <c r="M168" i="2212" s="1"/>
  <c r="L167" i="2212"/>
  <c r="L168" i="2212" s="1"/>
  <c r="K167" i="2212"/>
  <c r="K168" i="2212" s="1"/>
  <c r="I167" i="2212"/>
  <c r="I168" i="2212" s="1"/>
  <c r="I177" i="2212" s="1"/>
  <c r="H167" i="2212"/>
  <c r="H168" i="2212" s="1"/>
  <c r="G167" i="2212"/>
  <c r="G168" i="2212" s="1"/>
  <c r="F167" i="2212"/>
  <c r="F168" i="2212" s="1"/>
  <c r="E167" i="2212"/>
  <c r="E168" i="2212" s="1"/>
  <c r="D167" i="2212"/>
  <c r="D168" i="2212" s="1"/>
  <c r="C167" i="2212"/>
  <c r="C168" i="2212" s="1"/>
  <c r="B167" i="2212"/>
  <c r="B168" i="2212" s="1"/>
  <c r="Z166" i="2212"/>
  <c r="T166" i="2212"/>
  <c r="O166" i="2212"/>
  <c r="J166" i="2212"/>
  <c r="Z165" i="2212"/>
  <c r="T165" i="2212"/>
  <c r="O165" i="2212"/>
  <c r="J165" i="2212"/>
  <c r="AA164" i="2212"/>
  <c r="Z164" i="2212"/>
  <c r="T164" i="2212"/>
  <c r="O164" i="2212"/>
  <c r="J164" i="2212"/>
  <c r="J167" i="2212" s="1"/>
  <c r="J168" i="2212" s="1"/>
  <c r="AB157" i="2212"/>
  <c r="Y157" i="2212"/>
  <c r="X157" i="2212"/>
  <c r="W157" i="2212"/>
  <c r="V157" i="2212"/>
  <c r="U157" i="2212"/>
  <c r="S157" i="2212"/>
  <c r="R157" i="2212"/>
  <c r="Q157" i="2212"/>
  <c r="P157" i="2212"/>
  <c r="N157" i="2212"/>
  <c r="M157" i="2212"/>
  <c r="L157" i="2212"/>
  <c r="K157" i="2212"/>
  <c r="I157" i="2212"/>
  <c r="H157" i="2212"/>
  <c r="G157" i="2212"/>
  <c r="F157" i="2212"/>
  <c r="E157" i="2212"/>
  <c r="D157" i="2212"/>
  <c r="C157" i="2212"/>
  <c r="B157" i="2212"/>
  <c r="Z156" i="2212"/>
  <c r="T156" i="2212"/>
  <c r="O156" i="2212"/>
  <c r="J156" i="2212"/>
  <c r="Z155" i="2212"/>
  <c r="Z157" i="2212" s="1"/>
  <c r="T155" i="2212"/>
  <c r="O155" i="2212"/>
  <c r="J155" i="2212"/>
  <c r="AB153" i="2212"/>
  <c r="Y153" i="2212"/>
  <c r="Y158" i="2212" s="1"/>
  <c r="X153" i="2212"/>
  <c r="X158" i="2212" s="1"/>
  <c r="W153" i="2212"/>
  <c r="W158" i="2212" s="1"/>
  <c r="V153" i="2212"/>
  <c r="U153" i="2212"/>
  <c r="S153" i="2212"/>
  <c r="S158" i="2212" s="1"/>
  <c r="R153" i="2212"/>
  <c r="R158" i="2212" s="1"/>
  <c r="Q153" i="2212"/>
  <c r="P153" i="2212"/>
  <c r="P158" i="2212" s="1"/>
  <c r="N153" i="2212"/>
  <c r="M153" i="2212"/>
  <c r="L153" i="2212"/>
  <c r="K153" i="2212"/>
  <c r="I153" i="2212"/>
  <c r="I158" i="2212" s="1"/>
  <c r="H153" i="2212"/>
  <c r="H158" i="2212" s="1"/>
  <c r="G153" i="2212"/>
  <c r="F153" i="2212"/>
  <c r="F158" i="2212" s="1"/>
  <c r="E153" i="2212"/>
  <c r="D153" i="2212"/>
  <c r="C153" i="2212"/>
  <c r="B153" i="2212"/>
  <c r="Z152" i="2212"/>
  <c r="T152" i="2212"/>
  <c r="O152" i="2212"/>
  <c r="J152" i="2212"/>
  <c r="Z151" i="2212"/>
  <c r="T151" i="2212"/>
  <c r="O151" i="2212"/>
  <c r="J151" i="2212"/>
  <c r="Z150" i="2212"/>
  <c r="T150" i="2212"/>
  <c r="T153" i="2212" s="1"/>
  <c r="O150" i="2212"/>
  <c r="J150" i="2212"/>
  <c r="Z148" i="2212"/>
  <c r="T148" i="2212"/>
  <c r="O148" i="2212"/>
  <c r="J148" i="2212"/>
  <c r="Z147" i="2212"/>
  <c r="T147" i="2212"/>
  <c r="AA147" i="2212" s="1"/>
  <c r="O147" i="2212"/>
  <c r="J147" i="2212"/>
  <c r="Z146" i="2212"/>
  <c r="T146" i="2212"/>
  <c r="AA146" i="2212" s="1"/>
  <c r="O146" i="2212"/>
  <c r="J146" i="2212"/>
  <c r="Z145" i="2212"/>
  <c r="T145" i="2212"/>
  <c r="O145" i="2212"/>
  <c r="J145" i="2212"/>
  <c r="Z144" i="2212"/>
  <c r="T144" i="2212"/>
  <c r="O144" i="2212"/>
  <c r="J144" i="2212"/>
  <c r="Z143" i="2212"/>
  <c r="T143" i="2212"/>
  <c r="O143" i="2212"/>
  <c r="J143" i="2212"/>
  <c r="Z142" i="2212"/>
  <c r="AA142" i="2212" s="1"/>
  <c r="T142" i="2212"/>
  <c r="O142" i="2212"/>
  <c r="J142" i="2212"/>
  <c r="Z141" i="2212"/>
  <c r="T141" i="2212"/>
  <c r="O141" i="2212"/>
  <c r="J141" i="2212"/>
  <c r="Z140" i="2212"/>
  <c r="T140" i="2212"/>
  <c r="O140" i="2212"/>
  <c r="J140" i="2212"/>
  <c r="Z139" i="2212"/>
  <c r="T139" i="2212"/>
  <c r="O139" i="2212"/>
  <c r="J139" i="2212"/>
  <c r="Z138" i="2212"/>
  <c r="T138" i="2212"/>
  <c r="O138" i="2212"/>
  <c r="J138" i="2212"/>
  <c r="Z137" i="2212"/>
  <c r="T137" i="2212"/>
  <c r="O137" i="2212"/>
  <c r="J137" i="2212"/>
  <c r="Z136" i="2212"/>
  <c r="AA136" i="2212" s="1"/>
  <c r="T136" i="2212"/>
  <c r="O136" i="2212"/>
  <c r="J136" i="2212"/>
  <c r="Z135" i="2212"/>
  <c r="T135" i="2212"/>
  <c r="O135" i="2212"/>
  <c r="J135" i="2212"/>
  <c r="Z134" i="2212"/>
  <c r="AA134" i="2212" s="1"/>
  <c r="T134" i="2212"/>
  <c r="O134" i="2212"/>
  <c r="J134" i="2212"/>
  <c r="Z133" i="2212"/>
  <c r="T133" i="2212"/>
  <c r="O133" i="2212"/>
  <c r="J133" i="2212"/>
  <c r="Z132" i="2212"/>
  <c r="T132" i="2212"/>
  <c r="O132" i="2212"/>
  <c r="J132" i="2212"/>
  <c r="Z131" i="2212"/>
  <c r="T131" i="2212"/>
  <c r="O131" i="2212"/>
  <c r="J131" i="2212"/>
  <c r="AB128" i="2212"/>
  <c r="Y128" i="2212"/>
  <c r="X128" i="2212"/>
  <c r="W128" i="2212"/>
  <c r="V128" i="2212"/>
  <c r="U128" i="2212"/>
  <c r="S128" i="2212"/>
  <c r="R128" i="2212"/>
  <c r="Q128" i="2212"/>
  <c r="P128" i="2212"/>
  <c r="N128" i="2212"/>
  <c r="M128" i="2212"/>
  <c r="L128" i="2212"/>
  <c r="K128" i="2212"/>
  <c r="I128" i="2212"/>
  <c r="H128" i="2212"/>
  <c r="G128" i="2212"/>
  <c r="F128" i="2212"/>
  <c r="E128" i="2212"/>
  <c r="D128" i="2212"/>
  <c r="C128" i="2212"/>
  <c r="B128" i="2212"/>
  <c r="Z127" i="2212"/>
  <c r="T127" i="2212"/>
  <c r="O127" i="2212"/>
  <c r="J127" i="2212"/>
  <c r="Z126" i="2212"/>
  <c r="T126" i="2212"/>
  <c r="AA126" i="2212" s="1"/>
  <c r="O126" i="2212"/>
  <c r="J126" i="2212"/>
  <c r="Z125" i="2212"/>
  <c r="T125" i="2212"/>
  <c r="O125" i="2212"/>
  <c r="J125" i="2212"/>
  <c r="Z124" i="2212"/>
  <c r="T124" i="2212"/>
  <c r="AA124" i="2212" s="1"/>
  <c r="O124" i="2212"/>
  <c r="J124" i="2212"/>
  <c r="AB122" i="2212"/>
  <c r="Y122" i="2212"/>
  <c r="X122" i="2212"/>
  <c r="W122" i="2212"/>
  <c r="V122" i="2212"/>
  <c r="U122" i="2212"/>
  <c r="S122" i="2212"/>
  <c r="R122" i="2212"/>
  <c r="Q122" i="2212"/>
  <c r="P122" i="2212"/>
  <c r="N122" i="2212"/>
  <c r="M122" i="2212"/>
  <c r="L122" i="2212"/>
  <c r="K122" i="2212"/>
  <c r="I122" i="2212"/>
  <c r="H122" i="2212"/>
  <c r="G122" i="2212"/>
  <c r="F122" i="2212"/>
  <c r="E122" i="2212"/>
  <c r="D122" i="2212"/>
  <c r="C122" i="2212"/>
  <c r="B122" i="2212"/>
  <c r="Z121" i="2212"/>
  <c r="T121" i="2212"/>
  <c r="AA121" i="2212" s="1"/>
  <c r="O121" i="2212"/>
  <c r="J121" i="2212"/>
  <c r="Z120" i="2212"/>
  <c r="T120" i="2212"/>
  <c r="O120" i="2212"/>
  <c r="J120" i="2212"/>
  <c r="Z119" i="2212"/>
  <c r="T119" i="2212"/>
  <c r="AA119" i="2212" s="1"/>
  <c r="O119" i="2212"/>
  <c r="J119" i="2212"/>
  <c r="Z118" i="2212"/>
  <c r="T118" i="2212"/>
  <c r="O118" i="2212"/>
  <c r="J118" i="2212"/>
  <c r="Z117" i="2212"/>
  <c r="T117" i="2212"/>
  <c r="AA117" i="2212" s="1"/>
  <c r="O117" i="2212"/>
  <c r="J117" i="2212"/>
  <c r="Z116" i="2212"/>
  <c r="T116" i="2212"/>
  <c r="O116" i="2212"/>
  <c r="J116" i="2212"/>
  <c r="Z115" i="2212"/>
  <c r="T115" i="2212"/>
  <c r="AA115" i="2212" s="1"/>
  <c r="O115" i="2212"/>
  <c r="J115" i="2212"/>
  <c r="Z114" i="2212"/>
  <c r="T114" i="2212"/>
  <c r="O114" i="2212"/>
  <c r="J114" i="2212"/>
  <c r="Z113" i="2212"/>
  <c r="T113" i="2212"/>
  <c r="AA113" i="2212" s="1"/>
  <c r="O113" i="2212"/>
  <c r="J113" i="2212"/>
  <c r="Z112" i="2212"/>
  <c r="T112" i="2212"/>
  <c r="O112" i="2212"/>
  <c r="J112" i="2212"/>
  <c r="Z111" i="2212"/>
  <c r="T111" i="2212"/>
  <c r="O111" i="2212"/>
  <c r="J111" i="2212"/>
  <c r="Z110" i="2212"/>
  <c r="T110" i="2212"/>
  <c r="AA110" i="2212" s="1"/>
  <c r="O110" i="2212"/>
  <c r="J110" i="2212"/>
  <c r="Z109" i="2212"/>
  <c r="T109" i="2212"/>
  <c r="O109" i="2212"/>
  <c r="J109" i="2212"/>
  <c r="AB107" i="2212"/>
  <c r="Y107" i="2212"/>
  <c r="X107" i="2212"/>
  <c r="W107" i="2212"/>
  <c r="V107" i="2212"/>
  <c r="U107" i="2212"/>
  <c r="S107" i="2212"/>
  <c r="R107" i="2212"/>
  <c r="Q107" i="2212"/>
  <c r="P107" i="2212"/>
  <c r="N107" i="2212"/>
  <c r="M107" i="2212"/>
  <c r="L107" i="2212"/>
  <c r="K107" i="2212"/>
  <c r="I107" i="2212"/>
  <c r="H107" i="2212"/>
  <c r="G107" i="2212"/>
  <c r="F107" i="2212"/>
  <c r="E107" i="2212"/>
  <c r="D107" i="2212"/>
  <c r="C107" i="2212"/>
  <c r="B107" i="2212"/>
  <c r="Z106" i="2212"/>
  <c r="Z107" i="2212" s="1"/>
  <c r="T106" i="2212"/>
  <c r="T107" i="2212" s="1"/>
  <c r="O106" i="2212"/>
  <c r="O107" i="2212" s="1"/>
  <c r="J106" i="2212"/>
  <c r="J107" i="2212" s="1"/>
  <c r="AB104" i="2212"/>
  <c r="Y104" i="2212"/>
  <c r="X104" i="2212"/>
  <c r="W104" i="2212"/>
  <c r="V104" i="2212"/>
  <c r="U104" i="2212"/>
  <c r="S104" i="2212"/>
  <c r="R104" i="2212"/>
  <c r="Q104" i="2212"/>
  <c r="P104" i="2212"/>
  <c r="N104" i="2212"/>
  <c r="M104" i="2212"/>
  <c r="L104" i="2212"/>
  <c r="K104" i="2212"/>
  <c r="J104" i="2212"/>
  <c r="I104" i="2212"/>
  <c r="H104" i="2212"/>
  <c r="G104" i="2212"/>
  <c r="F104" i="2212"/>
  <c r="E104" i="2212"/>
  <c r="D104" i="2212"/>
  <c r="C104" i="2212"/>
  <c r="B104" i="2212"/>
  <c r="Z103" i="2212"/>
  <c r="Z104" i="2212" s="1"/>
  <c r="T103" i="2212"/>
  <c r="T104" i="2212" s="1"/>
  <c r="O103" i="2212"/>
  <c r="O104" i="2212" s="1"/>
  <c r="J103" i="2212"/>
  <c r="AB101" i="2212"/>
  <c r="Y101" i="2212"/>
  <c r="X101" i="2212"/>
  <c r="W101" i="2212"/>
  <c r="V101" i="2212"/>
  <c r="U101" i="2212"/>
  <c r="S101" i="2212"/>
  <c r="R101" i="2212"/>
  <c r="Q101" i="2212"/>
  <c r="P101" i="2212"/>
  <c r="N101" i="2212"/>
  <c r="M101" i="2212"/>
  <c r="L101" i="2212"/>
  <c r="K101" i="2212"/>
  <c r="I101" i="2212"/>
  <c r="H101" i="2212"/>
  <c r="G101" i="2212"/>
  <c r="F101" i="2212"/>
  <c r="E101" i="2212"/>
  <c r="D101" i="2212"/>
  <c r="C101" i="2212"/>
  <c r="B101" i="2212"/>
  <c r="Z100" i="2212"/>
  <c r="T100" i="2212"/>
  <c r="O100" i="2212"/>
  <c r="J100" i="2212"/>
  <c r="Z99" i="2212"/>
  <c r="T99" i="2212"/>
  <c r="AA99" i="2212" s="1"/>
  <c r="O99" i="2212"/>
  <c r="J99" i="2212"/>
  <c r="Z98" i="2212"/>
  <c r="T98" i="2212"/>
  <c r="O98" i="2212"/>
  <c r="J98" i="2212"/>
  <c r="Z97" i="2212"/>
  <c r="T97" i="2212"/>
  <c r="AA97" i="2212" s="1"/>
  <c r="O97" i="2212"/>
  <c r="J97" i="2212"/>
  <c r="Z96" i="2212"/>
  <c r="T96" i="2212"/>
  <c r="O96" i="2212"/>
  <c r="J96" i="2212"/>
  <c r="Z95" i="2212"/>
  <c r="T95" i="2212"/>
  <c r="AA95" i="2212" s="1"/>
  <c r="O95" i="2212"/>
  <c r="J95" i="2212"/>
  <c r="Z94" i="2212"/>
  <c r="T94" i="2212"/>
  <c r="AA94" i="2212" s="1"/>
  <c r="O94" i="2212"/>
  <c r="J94" i="2212"/>
  <c r="Z93" i="2212"/>
  <c r="T93" i="2212"/>
  <c r="AA93" i="2212" s="1"/>
  <c r="O93" i="2212"/>
  <c r="J93" i="2212"/>
  <c r="Z92" i="2212"/>
  <c r="T92" i="2212"/>
  <c r="AA92" i="2212" s="1"/>
  <c r="O92" i="2212"/>
  <c r="J92" i="2212"/>
  <c r="Z91" i="2212"/>
  <c r="Z101" i="2212" s="1"/>
  <c r="T91" i="2212"/>
  <c r="AA91" i="2212" s="1"/>
  <c r="O91" i="2212"/>
  <c r="J91" i="2212"/>
  <c r="Z90" i="2212"/>
  <c r="AA90" i="2212" s="1"/>
  <c r="T90" i="2212"/>
  <c r="O90" i="2212"/>
  <c r="J90" i="2212"/>
  <c r="AB88" i="2212"/>
  <c r="Y88" i="2212"/>
  <c r="X88" i="2212"/>
  <c r="W88" i="2212"/>
  <c r="V88" i="2212"/>
  <c r="U88" i="2212"/>
  <c r="S88" i="2212"/>
  <c r="R88" i="2212"/>
  <c r="Q88" i="2212"/>
  <c r="P88" i="2212"/>
  <c r="N88" i="2212"/>
  <c r="M88" i="2212"/>
  <c r="L88" i="2212"/>
  <c r="K88" i="2212"/>
  <c r="I88" i="2212"/>
  <c r="H88" i="2212"/>
  <c r="G88" i="2212"/>
  <c r="F88" i="2212"/>
  <c r="E88" i="2212"/>
  <c r="D88" i="2212"/>
  <c r="C88" i="2212"/>
  <c r="B88" i="2212"/>
  <c r="Z87" i="2212"/>
  <c r="T87" i="2212"/>
  <c r="AA87" i="2212" s="1"/>
  <c r="O87" i="2212"/>
  <c r="AC87" i="2212" s="1"/>
  <c r="J87" i="2212"/>
  <c r="Z86" i="2212"/>
  <c r="T86" i="2212"/>
  <c r="O86" i="2212"/>
  <c r="J86" i="2212"/>
  <c r="Z85" i="2212"/>
  <c r="T85" i="2212"/>
  <c r="AA85" i="2212" s="1"/>
  <c r="O85" i="2212"/>
  <c r="J85" i="2212"/>
  <c r="Z84" i="2212"/>
  <c r="T84" i="2212"/>
  <c r="O84" i="2212"/>
  <c r="J84" i="2212"/>
  <c r="Z83" i="2212"/>
  <c r="T83" i="2212"/>
  <c r="AA83" i="2212" s="1"/>
  <c r="O83" i="2212"/>
  <c r="J83" i="2212"/>
  <c r="Z82" i="2212"/>
  <c r="Z88" i="2212" s="1"/>
  <c r="T82" i="2212"/>
  <c r="O82" i="2212"/>
  <c r="J82" i="2212"/>
  <c r="AB80" i="2212"/>
  <c r="Y80" i="2212"/>
  <c r="X80" i="2212"/>
  <c r="W80" i="2212"/>
  <c r="V80" i="2212"/>
  <c r="U80" i="2212"/>
  <c r="S80" i="2212"/>
  <c r="R80" i="2212"/>
  <c r="Q80" i="2212"/>
  <c r="P80" i="2212"/>
  <c r="N80" i="2212"/>
  <c r="M80" i="2212"/>
  <c r="L80" i="2212"/>
  <c r="K80" i="2212"/>
  <c r="I80" i="2212"/>
  <c r="H80" i="2212"/>
  <c r="G80" i="2212"/>
  <c r="F80" i="2212"/>
  <c r="E80" i="2212"/>
  <c r="D80" i="2212"/>
  <c r="C80" i="2212"/>
  <c r="B80" i="2212"/>
  <c r="AA79" i="2212"/>
  <c r="Z79" i="2212"/>
  <c r="T79" i="2212"/>
  <c r="O79" i="2212"/>
  <c r="J79" i="2212"/>
  <c r="Z78" i="2212"/>
  <c r="T78" i="2212"/>
  <c r="O78" i="2212"/>
  <c r="J78" i="2212"/>
  <c r="Z77" i="2212"/>
  <c r="T77" i="2212"/>
  <c r="O77" i="2212"/>
  <c r="J77" i="2212"/>
  <c r="Z76" i="2212"/>
  <c r="T76" i="2212"/>
  <c r="O76" i="2212"/>
  <c r="J76" i="2212"/>
  <c r="Z75" i="2212"/>
  <c r="T75" i="2212"/>
  <c r="AA75" i="2212" s="1"/>
  <c r="O75" i="2212"/>
  <c r="J75" i="2212"/>
  <c r="Z74" i="2212"/>
  <c r="Z80" i="2212" s="1"/>
  <c r="T74" i="2212"/>
  <c r="O74" i="2212"/>
  <c r="J74" i="2212"/>
  <c r="AB72" i="2212"/>
  <c r="Y72" i="2212"/>
  <c r="X72" i="2212"/>
  <c r="W72" i="2212"/>
  <c r="V72" i="2212"/>
  <c r="U72" i="2212"/>
  <c r="S72" i="2212"/>
  <c r="R72" i="2212"/>
  <c r="Q72" i="2212"/>
  <c r="P72" i="2212"/>
  <c r="N72" i="2212"/>
  <c r="M72" i="2212"/>
  <c r="L72" i="2212"/>
  <c r="K72" i="2212"/>
  <c r="I72" i="2212"/>
  <c r="H72" i="2212"/>
  <c r="G72" i="2212"/>
  <c r="F72" i="2212"/>
  <c r="E72" i="2212"/>
  <c r="D72" i="2212"/>
  <c r="C72" i="2212"/>
  <c r="B72" i="2212"/>
  <c r="Z71" i="2212"/>
  <c r="T71" i="2212"/>
  <c r="O71" i="2212"/>
  <c r="J71" i="2212"/>
  <c r="Z70" i="2212"/>
  <c r="T70" i="2212"/>
  <c r="O70" i="2212"/>
  <c r="J70" i="2212"/>
  <c r="Z69" i="2212"/>
  <c r="T69" i="2212"/>
  <c r="O69" i="2212"/>
  <c r="J69" i="2212"/>
  <c r="Z68" i="2212"/>
  <c r="T68" i="2212"/>
  <c r="O68" i="2212"/>
  <c r="J68" i="2212"/>
  <c r="Z67" i="2212"/>
  <c r="AA67" i="2212" s="1"/>
  <c r="T67" i="2212"/>
  <c r="O67" i="2212"/>
  <c r="J67" i="2212"/>
  <c r="Z66" i="2212"/>
  <c r="T66" i="2212"/>
  <c r="O66" i="2212"/>
  <c r="J66" i="2212"/>
  <c r="Z65" i="2212"/>
  <c r="T65" i="2212"/>
  <c r="O65" i="2212"/>
  <c r="J65" i="2212"/>
  <c r="Z64" i="2212"/>
  <c r="T64" i="2212"/>
  <c r="O64" i="2212"/>
  <c r="J64" i="2212"/>
  <c r="Z63" i="2212"/>
  <c r="T63" i="2212"/>
  <c r="O63" i="2212"/>
  <c r="J63" i="2212"/>
  <c r="AB61" i="2212"/>
  <c r="Y61" i="2212"/>
  <c r="X61" i="2212"/>
  <c r="W61" i="2212"/>
  <c r="V61" i="2212"/>
  <c r="U61" i="2212"/>
  <c r="S61" i="2212"/>
  <c r="R61" i="2212"/>
  <c r="Q61" i="2212"/>
  <c r="P61" i="2212"/>
  <c r="N61" i="2212"/>
  <c r="M61" i="2212"/>
  <c r="L61" i="2212"/>
  <c r="K61" i="2212"/>
  <c r="I61" i="2212"/>
  <c r="H61" i="2212"/>
  <c r="G61" i="2212"/>
  <c r="F61" i="2212"/>
  <c r="E61" i="2212"/>
  <c r="D61" i="2212"/>
  <c r="C61" i="2212"/>
  <c r="B61" i="2212"/>
  <c r="Z60" i="2212"/>
  <c r="T60" i="2212"/>
  <c r="O60" i="2212"/>
  <c r="J60" i="2212"/>
  <c r="Z59" i="2212"/>
  <c r="T59" i="2212"/>
  <c r="T61" i="2212" s="1"/>
  <c r="O59" i="2212"/>
  <c r="J59" i="2212"/>
  <c r="J61" i="2212" s="1"/>
  <c r="AB57" i="2212"/>
  <c r="Y57" i="2212"/>
  <c r="X57" i="2212"/>
  <c r="W57" i="2212"/>
  <c r="V57" i="2212"/>
  <c r="U57" i="2212"/>
  <c r="S57" i="2212"/>
  <c r="R57" i="2212"/>
  <c r="Q57" i="2212"/>
  <c r="P57" i="2212"/>
  <c r="N57" i="2212"/>
  <c r="M57" i="2212"/>
  <c r="L57" i="2212"/>
  <c r="K57" i="2212"/>
  <c r="I57" i="2212"/>
  <c r="H57" i="2212"/>
  <c r="G57" i="2212"/>
  <c r="F57" i="2212"/>
  <c r="E57" i="2212"/>
  <c r="D57" i="2212"/>
  <c r="C57" i="2212"/>
  <c r="B57" i="2212"/>
  <c r="Z56" i="2212"/>
  <c r="T56" i="2212"/>
  <c r="O56" i="2212"/>
  <c r="J56" i="2212"/>
  <c r="Z55" i="2212"/>
  <c r="T55" i="2212"/>
  <c r="AA55" i="2212" s="1"/>
  <c r="O55" i="2212"/>
  <c r="J55" i="2212"/>
  <c r="Z54" i="2212"/>
  <c r="Z57" i="2212" s="1"/>
  <c r="T54" i="2212"/>
  <c r="T57" i="2212" s="1"/>
  <c r="O54" i="2212"/>
  <c r="J54" i="2212"/>
  <c r="AB52" i="2212"/>
  <c r="Y52" i="2212"/>
  <c r="X52" i="2212"/>
  <c r="W52" i="2212"/>
  <c r="V52" i="2212"/>
  <c r="U52" i="2212"/>
  <c r="S52" i="2212"/>
  <c r="R52" i="2212"/>
  <c r="Q52" i="2212"/>
  <c r="P52" i="2212"/>
  <c r="N52" i="2212"/>
  <c r="M52" i="2212"/>
  <c r="L52" i="2212"/>
  <c r="K52" i="2212"/>
  <c r="I52" i="2212"/>
  <c r="H52" i="2212"/>
  <c r="G52" i="2212"/>
  <c r="F52" i="2212"/>
  <c r="E52" i="2212"/>
  <c r="D52" i="2212"/>
  <c r="C52" i="2212"/>
  <c r="B52" i="2212"/>
  <c r="Z51" i="2212"/>
  <c r="T51" i="2212"/>
  <c r="AA51" i="2212" s="1"/>
  <c r="AC51" i="2212" s="1"/>
  <c r="O51" i="2212"/>
  <c r="J51" i="2212"/>
  <c r="Z50" i="2212"/>
  <c r="T50" i="2212"/>
  <c r="O50" i="2212"/>
  <c r="J50" i="2212"/>
  <c r="Z49" i="2212"/>
  <c r="T49" i="2212"/>
  <c r="AA49" i="2212" s="1"/>
  <c r="O49" i="2212"/>
  <c r="J49" i="2212"/>
  <c r="Z48" i="2212"/>
  <c r="T48" i="2212"/>
  <c r="O48" i="2212"/>
  <c r="J48" i="2212"/>
  <c r="Z47" i="2212"/>
  <c r="T47" i="2212"/>
  <c r="O47" i="2212"/>
  <c r="J47" i="2212"/>
  <c r="AB45" i="2212"/>
  <c r="Y45" i="2212"/>
  <c r="X45" i="2212"/>
  <c r="W45" i="2212"/>
  <c r="V45" i="2212"/>
  <c r="U45" i="2212"/>
  <c r="S45" i="2212"/>
  <c r="R45" i="2212"/>
  <c r="Q45" i="2212"/>
  <c r="P45" i="2212"/>
  <c r="N45" i="2212"/>
  <c r="M45" i="2212"/>
  <c r="L45" i="2212"/>
  <c r="K45" i="2212"/>
  <c r="I45" i="2212"/>
  <c r="H45" i="2212"/>
  <c r="G45" i="2212"/>
  <c r="F45" i="2212"/>
  <c r="E45" i="2212"/>
  <c r="D45" i="2212"/>
  <c r="C45" i="2212"/>
  <c r="B45" i="2212"/>
  <c r="Z44" i="2212"/>
  <c r="T44" i="2212"/>
  <c r="AA44" i="2212" s="1"/>
  <c r="O44" i="2212"/>
  <c r="J44" i="2212"/>
  <c r="Z43" i="2212"/>
  <c r="T43" i="2212"/>
  <c r="O43" i="2212"/>
  <c r="J43" i="2212"/>
  <c r="Z42" i="2212"/>
  <c r="T42" i="2212"/>
  <c r="AA42" i="2212" s="1"/>
  <c r="O42" i="2212"/>
  <c r="J42" i="2212"/>
  <c r="Z41" i="2212"/>
  <c r="T41" i="2212"/>
  <c r="O41" i="2212"/>
  <c r="J41" i="2212"/>
  <c r="Z39" i="2212"/>
  <c r="T39" i="2212"/>
  <c r="AA39" i="2212" s="1"/>
  <c r="O39" i="2212"/>
  <c r="J39" i="2212"/>
  <c r="V35" i="2212"/>
  <c r="U35" i="2212"/>
  <c r="Y33" i="2212"/>
  <c r="Y35" i="2212" s="1"/>
  <c r="B33" i="2212"/>
  <c r="B35" i="2212" s="1"/>
  <c r="AB32" i="2212"/>
  <c r="AB33" i="2212" s="1"/>
  <c r="Y32" i="2212"/>
  <c r="X32" i="2212"/>
  <c r="X33" i="2212" s="1"/>
  <c r="X35" i="2212" s="1"/>
  <c r="W32" i="2212"/>
  <c r="W33" i="2212" s="1"/>
  <c r="V32" i="2212"/>
  <c r="V33" i="2212" s="1"/>
  <c r="U32" i="2212"/>
  <c r="U33" i="2212" s="1"/>
  <c r="S32" i="2212"/>
  <c r="S33" i="2212" s="1"/>
  <c r="S35" i="2212" s="1"/>
  <c r="R32" i="2212"/>
  <c r="R33" i="2212" s="1"/>
  <c r="R35" i="2212" s="1"/>
  <c r="Q32" i="2212"/>
  <c r="Q33" i="2212" s="1"/>
  <c r="Q35" i="2212" s="1"/>
  <c r="P32" i="2212"/>
  <c r="P33" i="2212" s="1"/>
  <c r="P35" i="2212" s="1"/>
  <c r="N32" i="2212"/>
  <c r="N33" i="2212" s="1"/>
  <c r="M32" i="2212"/>
  <c r="M33" i="2212" s="1"/>
  <c r="M35" i="2212" s="1"/>
  <c r="L32" i="2212"/>
  <c r="L33" i="2212" s="1"/>
  <c r="L35" i="2212" s="1"/>
  <c r="K32" i="2212"/>
  <c r="K33" i="2212" s="1"/>
  <c r="I32" i="2212"/>
  <c r="I33" i="2212" s="1"/>
  <c r="I35" i="2212" s="1"/>
  <c r="H32" i="2212"/>
  <c r="H33" i="2212" s="1"/>
  <c r="H35" i="2212" s="1"/>
  <c r="G32" i="2212"/>
  <c r="G33" i="2212" s="1"/>
  <c r="F32" i="2212"/>
  <c r="F33" i="2212" s="1"/>
  <c r="F35" i="2212" s="1"/>
  <c r="E32" i="2212"/>
  <c r="E33" i="2212" s="1"/>
  <c r="E35" i="2212" s="1"/>
  <c r="D32" i="2212"/>
  <c r="D33" i="2212" s="1"/>
  <c r="C32" i="2212"/>
  <c r="C33" i="2212" s="1"/>
  <c r="C35" i="2212" s="1"/>
  <c r="B32" i="2212"/>
  <c r="Z31" i="2212"/>
  <c r="T31" i="2212"/>
  <c r="O31" i="2212"/>
  <c r="J31" i="2212"/>
  <c r="Z30" i="2212"/>
  <c r="T30" i="2212"/>
  <c r="AA30" i="2212" s="1"/>
  <c r="O30" i="2212"/>
  <c r="J30" i="2212"/>
  <c r="J32" i="2212" s="1"/>
  <c r="Z28" i="2212"/>
  <c r="T28" i="2212"/>
  <c r="AA28" i="2212" s="1"/>
  <c r="AC28" i="2212" s="1"/>
  <c r="O28" i="2212"/>
  <c r="J28" i="2212"/>
  <c r="Z27" i="2212"/>
  <c r="T27" i="2212"/>
  <c r="O27" i="2212"/>
  <c r="J27" i="2212"/>
  <c r="Z25" i="2212"/>
  <c r="T25" i="2212"/>
  <c r="AA25" i="2212" s="1"/>
  <c r="O25" i="2212"/>
  <c r="J25" i="2212"/>
  <c r="Z24" i="2212"/>
  <c r="T24" i="2212"/>
  <c r="AA24" i="2212" s="1"/>
  <c r="O24" i="2212"/>
  <c r="J24" i="2212"/>
  <c r="Z23" i="2212"/>
  <c r="T23" i="2212"/>
  <c r="O23" i="2212"/>
  <c r="J23" i="2212"/>
  <c r="Z22" i="2212"/>
  <c r="T22" i="2212"/>
  <c r="J22" i="2212"/>
  <c r="J34" i="2212" s="1"/>
  <c r="E18" i="2212"/>
  <c r="AB17" i="2212"/>
  <c r="AB18" i="2212" s="1"/>
  <c r="Y17" i="2212"/>
  <c r="Y18" i="2212" s="1"/>
  <c r="X17" i="2212"/>
  <c r="X18" i="2212" s="1"/>
  <c r="W17" i="2212"/>
  <c r="W18" i="2212" s="1"/>
  <c r="V17" i="2212"/>
  <c r="V18" i="2212" s="1"/>
  <c r="S17" i="2212"/>
  <c r="S18" i="2212" s="1"/>
  <c r="R17" i="2212"/>
  <c r="R18" i="2212" s="1"/>
  <c r="Q17" i="2212"/>
  <c r="Q18" i="2212" s="1"/>
  <c r="P17" i="2212"/>
  <c r="P18" i="2212" s="1"/>
  <c r="N17" i="2212"/>
  <c r="N18" i="2212" s="1"/>
  <c r="M17" i="2212"/>
  <c r="M18" i="2212" s="1"/>
  <c r="L17" i="2212"/>
  <c r="L18" i="2212" s="1"/>
  <c r="K17" i="2212"/>
  <c r="K18" i="2212" s="1"/>
  <c r="I17" i="2212"/>
  <c r="I18" i="2212" s="1"/>
  <c r="G17" i="2212"/>
  <c r="G18" i="2212" s="1"/>
  <c r="F17" i="2212"/>
  <c r="F18" i="2212" s="1"/>
  <c r="F36" i="2212" s="1"/>
  <c r="E17" i="2212"/>
  <c r="D17" i="2212"/>
  <c r="D18" i="2212" s="1"/>
  <c r="C17" i="2212"/>
  <c r="C18" i="2212" s="1"/>
  <c r="C36" i="2212" s="1"/>
  <c r="B17" i="2212"/>
  <c r="B18" i="2212" s="1"/>
  <c r="Z16" i="2212"/>
  <c r="AA16" i="2212" s="1"/>
  <c r="T16" i="2212"/>
  <c r="O16" i="2212"/>
  <c r="J16" i="2212"/>
  <c r="Z15" i="2212"/>
  <c r="T15" i="2212"/>
  <c r="O15" i="2212"/>
  <c r="J15" i="2212"/>
  <c r="T14" i="2212"/>
  <c r="O14" i="2212"/>
  <c r="O17" i="2212" s="1"/>
  <c r="O18" i="2212" s="1"/>
  <c r="L177" i="2211"/>
  <c r="AB176" i="2211"/>
  <c r="X176" i="2211"/>
  <c r="S176" i="2211"/>
  <c r="L176" i="2211"/>
  <c r="H176" i="2211"/>
  <c r="C176" i="2211"/>
  <c r="AA175" i="2211"/>
  <c r="Z175" i="2211"/>
  <c r="T175" i="2211"/>
  <c r="O175" i="2211"/>
  <c r="J175" i="2211"/>
  <c r="AC175" i="2211" s="1"/>
  <c r="Z174" i="2211"/>
  <c r="T174" i="2211"/>
  <c r="O174" i="2211"/>
  <c r="J174" i="2211"/>
  <c r="AB173" i="2211"/>
  <c r="Y173" i="2211"/>
  <c r="Y176" i="2211" s="1"/>
  <c r="X173" i="2211"/>
  <c r="W173" i="2211"/>
  <c r="W176" i="2211" s="1"/>
  <c r="V173" i="2211"/>
  <c r="V176" i="2211" s="1"/>
  <c r="U173" i="2211"/>
  <c r="U176" i="2211" s="1"/>
  <c r="T173" i="2211"/>
  <c r="T176" i="2211" s="1"/>
  <c r="S173" i="2211"/>
  <c r="R173" i="2211"/>
  <c r="R176" i="2211" s="1"/>
  <c r="Q173" i="2211"/>
  <c r="Q176" i="2211" s="1"/>
  <c r="P173" i="2211"/>
  <c r="P176" i="2211" s="1"/>
  <c r="N173" i="2211"/>
  <c r="N176" i="2211" s="1"/>
  <c r="M173" i="2211"/>
  <c r="M176" i="2211" s="1"/>
  <c r="L173" i="2211"/>
  <c r="K173" i="2211"/>
  <c r="K176" i="2211" s="1"/>
  <c r="I173" i="2211"/>
  <c r="I176" i="2211" s="1"/>
  <c r="H173" i="2211"/>
  <c r="G173" i="2211"/>
  <c r="G176" i="2211" s="1"/>
  <c r="F173" i="2211"/>
  <c r="F176" i="2211" s="1"/>
  <c r="E173" i="2211"/>
  <c r="E176" i="2211" s="1"/>
  <c r="E177" i="2211" s="1"/>
  <c r="D173" i="2211"/>
  <c r="D176" i="2211" s="1"/>
  <c r="C173" i="2211"/>
  <c r="B173" i="2211"/>
  <c r="B176" i="2211" s="1"/>
  <c r="AA172" i="2211"/>
  <c r="AA173" i="2211" s="1"/>
  <c r="Z172" i="2211"/>
  <c r="Z173" i="2211" s="1"/>
  <c r="T172" i="2211"/>
  <c r="O172" i="2211"/>
  <c r="O173" i="2211" s="1"/>
  <c r="J172" i="2211"/>
  <c r="J173" i="2211" s="1"/>
  <c r="Z170" i="2211"/>
  <c r="T170" i="2211"/>
  <c r="O170" i="2211"/>
  <c r="J170" i="2211"/>
  <c r="J176" i="2211" s="1"/>
  <c r="Y168" i="2211"/>
  <c r="S168" i="2211"/>
  <c r="Q168" i="2211"/>
  <c r="P168" i="2211"/>
  <c r="L168" i="2211"/>
  <c r="K168" i="2211"/>
  <c r="I168" i="2211"/>
  <c r="C168" i="2211"/>
  <c r="AB167" i="2211"/>
  <c r="AB168" i="2211" s="1"/>
  <c r="AB177" i="2211" s="1"/>
  <c r="Y167" i="2211"/>
  <c r="X167" i="2211"/>
  <c r="X168" i="2211" s="1"/>
  <c r="X177" i="2211" s="1"/>
  <c r="W167" i="2211"/>
  <c r="W168" i="2211" s="1"/>
  <c r="W177" i="2211" s="1"/>
  <c r="V167" i="2211"/>
  <c r="V168" i="2211" s="1"/>
  <c r="U167" i="2211"/>
  <c r="U168" i="2211" s="1"/>
  <c r="U177" i="2211" s="1"/>
  <c r="S167" i="2211"/>
  <c r="R167" i="2211"/>
  <c r="R168" i="2211" s="1"/>
  <c r="R177" i="2211" s="1"/>
  <c r="Q167" i="2211"/>
  <c r="P167" i="2211"/>
  <c r="N167" i="2211"/>
  <c r="N168" i="2211" s="1"/>
  <c r="M167" i="2211"/>
  <c r="M168" i="2211" s="1"/>
  <c r="M177" i="2211" s="1"/>
  <c r="L167" i="2211"/>
  <c r="K167" i="2211"/>
  <c r="I167" i="2211"/>
  <c r="H167" i="2211"/>
  <c r="H168" i="2211" s="1"/>
  <c r="H177" i="2211" s="1"/>
  <c r="G167" i="2211"/>
  <c r="G168" i="2211" s="1"/>
  <c r="G177" i="2211" s="1"/>
  <c r="F167" i="2211"/>
  <c r="F168" i="2211" s="1"/>
  <c r="F177" i="2211" s="1"/>
  <c r="E167" i="2211"/>
  <c r="E168" i="2211" s="1"/>
  <c r="D167" i="2211"/>
  <c r="D168" i="2211" s="1"/>
  <c r="C167" i="2211"/>
  <c r="B167" i="2211"/>
  <c r="B168" i="2211" s="1"/>
  <c r="AA166" i="2211"/>
  <c r="Z166" i="2211"/>
  <c r="T166" i="2211"/>
  <c r="O166" i="2211"/>
  <c r="O167" i="2211" s="1"/>
  <c r="O168" i="2211" s="1"/>
  <c r="J166" i="2211"/>
  <c r="Z165" i="2211"/>
  <c r="T165" i="2211"/>
  <c r="AA165" i="2211" s="1"/>
  <c r="O165" i="2211"/>
  <c r="J165" i="2211"/>
  <c r="AA164" i="2211"/>
  <c r="Z164" i="2211"/>
  <c r="Z167" i="2211" s="1"/>
  <c r="Z168" i="2211" s="1"/>
  <c r="T164" i="2211"/>
  <c r="O164" i="2211"/>
  <c r="J164" i="2211"/>
  <c r="X158" i="2211"/>
  <c r="U158" i="2211"/>
  <c r="S158" i="2211"/>
  <c r="P158" i="2211"/>
  <c r="M158" i="2211"/>
  <c r="K158" i="2211"/>
  <c r="H158" i="2211"/>
  <c r="E158" i="2211"/>
  <c r="C158" i="2211"/>
  <c r="AB157" i="2211"/>
  <c r="Y157" i="2211"/>
  <c r="X157" i="2211"/>
  <c r="W157" i="2211"/>
  <c r="V157" i="2211"/>
  <c r="U157" i="2211"/>
  <c r="S157" i="2211"/>
  <c r="R157" i="2211"/>
  <c r="Q157" i="2211"/>
  <c r="P157" i="2211"/>
  <c r="O157" i="2211"/>
  <c r="N157" i="2211"/>
  <c r="M157" i="2211"/>
  <c r="L157" i="2211"/>
  <c r="K157" i="2211"/>
  <c r="J157" i="2211"/>
  <c r="I157" i="2211"/>
  <c r="H157" i="2211"/>
  <c r="G157" i="2211"/>
  <c r="F157" i="2211"/>
  <c r="F158" i="2211" s="1"/>
  <c r="E157" i="2211"/>
  <c r="D157" i="2211"/>
  <c r="C157" i="2211"/>
  <c r="B157" i="2211"/>
  <c r="Z156" i="2211"/>
  <c r="T156" i="2211"/>
  <c r="O156" i="2211"/>
  <c r="J156" i="2211"/>
  <c r="AA155" i="2211"/>
  <c r="Z155" i="2211"/>
  <c r="Z157" i="2211" s="1"/>
  <c r="T155" i="2211"/>
  <c r="O155" i="2211"/>
  <c r="J155" i="2211"/>
  <c r="AB153" i="2211"/>
  <c r="AB158" i="2211" s="1"/>
  <c r="Y153" i="2211"/>
  <c r="Y158" i="2211" s="1"/>
  <c r="X153" i="2211"/>
  <c r="W153" i="2211"/>
  <c r="V153" i="2211"/>
  <c r="V158" i="2211" s="1"/>
  <c r="U153" i="2211"/>
  <c r="S153" i="2211"/>
  <c r="R153" i="2211"/>
  <c r="R158" i="2211" s="1"/>
  <c r="Q153" i="2211"/>
  <c r="Q158" i="2211" s="1"/>
  <c r="P153" i="2211"/>
  <c r="N153" i="2211"/>
  <c r="N158" i="2211" s="1"/>
  <c r="M153" i="2211"/>
  <c r="L153" i="2211"/>
  <c r="L158" i="2211" s="1"/>
  <c r="K153" i="2211"/>
  <c r="J153" i="2211"/>
  <c r="I153" i="2211"/>
  <c r="I158" i="2211" s="1"/>
  <c r="H153" i="2211"/>
  <c r="G153" i="2211"/>
  <c r="F153" i="2211"/>
  <c r="E153" i="2211"/>
  <c r="D153" i="2211"/>
  <c r="D158" i="2211" s="1"/>
  <c r="C153" i="2211"/>
  <c r="B153" i="2211"/>
  <c r="B158" i="2211" s="1"/>
  <c r="Z152" i="2211"/>
  <c r="Z153" i="2211" s="1"/>
  <c r="T152" i="2211"/>
  <c r="AA152" i="2211" s="1"/>
  <c r="AC152" i="2211" s="1"/>
  <c r="O152" i="2211"/>
  <c r="J152" i="2211"/>
  <c r="AA151" i="2211"/>
  <c r="Z151" i="2211"/>
  <c r="T151" i="2211"/>
  <c r="O151" i="2211"/>
  <c r="O153" i="2211" s="1"/>
  <c r="J151" i="2211"/>
  <c r="AC151" i="2211" s="1"/>
  <c r="Z150" i="2211"/>
  <c r="T150" i="2211"/>
  <c r="O150" i="2211"/>
  <c r="J150" i="2211"/>
  <c r="AA148" i="2211"/>
  <c r="Z148" i="2211"/>
  <c r="T148" i="2211"/>
  <c r="O148" i="2211"/>
  <c r="J148" i="2211"/>
  <c r="AC148" i="2211" s="1"/>
  <c r="Z147" i="2211"/>
  <c r="T147" i="2211"/>
  <c r="O147" i="2211"/>
  <c r="J147" i="2211"/>
  <c r="Z146" i="2211"/>
  <c r="AA146" i="2211" s="1"/>
  <c r="T146" i="2211"/>
  <c r="O146" i="2211"/>
  <c r="J146" i="2211"/>
  <c r="Z145" i="2211"/>
  <c r="T145" i="2211"/>
  <c r="AA145" i="2211" s="1"/>
  <c r="O145" i="2211"/>
  <c r="J145" i="2211"/>
  <c r="AA144" i="2211"/>
  <c r="Z144" i="2211"/>
  <c r="T144" i="2211"/>
  <c r="O144" i="2211"/>
  <c r="J144" i="2211"/>
  <c r="AC144" i="2211" s="1"/>
  <c r="Z143" i="2211"/>
  <c r="T143" i="2211"/>
  <c r="AA143" i="2211" s="1"/>
  <c r="AC143" i="2211" s="1"/>
  <c r="O143" i="2211"/>
  <c r="J143" i="2211"/>
  <c r="AA142" i="2211"/>
  <c r="Z142" i="2211"/>
  <c r="T142" i="2211"/>
  <c r="O142" i="2211"/>
  <c r="J142" i="2211"/>
  <c r="AC142" i="2211" s="1"/>
  <c r="Z141" i="2211"/>
  <c r="T141" i="2211"/>
  <c r="AA141" i="2211" s="1"/>
  <c r="O141" i="2211"/>
  <c r="AC141" i="2211" s="1"/>
  <c r="J141" i="2211"/>
  <c r="AA140" i="2211"/>
  <c r="Z140" i="2211"/>
  <c r="T140" i="2211"/>
  <c r="O140" i="2211"/>
  <c r="J140" i="2211"/>
  <c r="AC140" i="2211" s="1"/>
  <c r="Z139" i="2211"/>
  <c r="T139" i="2211"/>
  <c r="O139" i="2211"/>
  <c r="J139" i="2211"/>
  <c r="Z138" i="2211"/>
  <c r="AA138" i="2211" s="1"/>
  <c r="T138" i="2211"/>
  <c r="O138" i="2211"/>
  <c r="J138" i="2211"/>
  <c r="Z137" i="2211"/>
  <c r="T137" i="2211"/>
  <c r="AA137" i="2211" s="1"/>
  <c r="O137" i="2211"/>
  <c r="J137" i="2211"/>
  <c r="AA136" i="2211"/>
  <c r="Z136" i="2211"/>
  <c r="T136" i="2211"/>
  <c r="O136" i="2211"/>
  <c r="J136" i="2211"/>
  <c r="AC136" i="2211" s="1"/>
  <c r="Z135" i="2211"/>
  <c r="T135" i="2211"/>
  <c r="AA135" i="2211" s="1"/>
  <c r="AC135" i="2211" s="1"/>
  <c r="O135" i="2211"/>
  <c r="J135" i="2211"/>
  <c r="AA134" i="2211"/>
  <c r="Z134" i="2211"/>
  <c r="T134" i="2211"/>
  <c r="O134" i="2211"/>
  <c r="J134" i="2211"/>
  <c r="AC134" i="2211" s="1"/>
  <c r="Z133" i="2211"/>
  <c r="T133" i="2211"/>
  <c r="AA133" i="2211" s="1"/>
  <c r="O133" i="2211"/>
  <c r="AC133" i="2211" s="1"/>
  <c r="J133" i="2211"/>
  <c r="AA132" i="2211"/>
  <c r="Z132" i="2211"/>
  <c r="T132" i="2211"/>
  <c r="O132" i="2211"/>
  <c r="J132" i="2211"/>
  <c r="J158" i="2211" s="1"/>
  <c r="Z131" i="2211"/>
  <c r="T131" i="2211"/>
  <c r="O131" i="2211"/>
  <c r="J131" i="2211"/>
  <c r="AB128" i="2211"/>
  <c r="Y128" i="2211"/>
  <c r="X128" i="2211"/>
  <c r="W128" i="2211"/>
  <c r="V128" i="2211"/>
  <c r="U128" i="2211"/>
  <c r="S128" i="2211"/>
  <c r="R128" i="2211"/>
  <c r="Q128" i="2211"/>
  <c r="P128" i="2211"/>
  <c r="N128" i="2211"/>
  <c r="M128" i="2211"/>
  <c r="L128" i="2211"/>
  <c r="K128" i="2211"/>
  <c r="I128" i="2211"/>
  <c r="H128" i="2211"/>
  <c r="G128" i="2211"/>
  <c r="F128" i="2211"/>
  <c r="E128" i="2211"/>
  <c r="D128" i="2211"/>
  <c r="C128" i="2211"/>
  <c r="B128" i="2211"/>
  <c r="Z127" i="2211"/>
  <c r="AA127" i="2211" s="1"/>
  <c r="T127" i="2211"/>
  <c r="O127" i="2211"/>
  <c r="J127" i="2211"/>
  <c r="Z126" i="2211"/>
  <c r="T126" i="2211"/>
  <c r="AA126" i="2211" s="1"/>
  <c r="O126" i="2211"/>
  <c r="AC126" i="2211" s="1"/>
  <c r="J126" i="2211"/>
  <c r="AC125" i="2211"/>
  <c r="AA125" i="2211"/>
  <c r="Z125" i="2211"/>
  <c r="T125" i="2211"/>
  <c r="O125" i="2211"/>
  <c r="J125" i="2211"/>
  <c r="AC124" i="2211"/>
  <c r="Z124" i="2211"/>
  <c r="T124" i="2211"/>
  <c r="AA124" i="2211" s="1"/>
  <c r="O124" i="2211"/>
  <c r="J124" i="2211"/>
  <c r="AB122" i="2211"/>
  <c r="Y122" i="2211"/>
  <c r="X122" i="2211"/>
  <c r="W122" i="2211"/>
  <c r="V122" i="2211"/>
  <c r="U122" i="2211"/>
  <c r="S122" i="2211"/>
  <c r="R122" i="2211"/>
  <c r="Q122" i="2211"/>
  <c r="P122" i="2211"/>
  <c r="N122" i="2211"/>
  <c r="M122" i="2211"/>
  <c r="L122" i="2211"/>
  <c r="K122" i="2211"/>
  <c r="I122" i="2211"/>
  <c r="H122" i="2211"/>
  <c r="G122" i="2211"/>
  <c r="F122" i="2211"/>
  <c r="E122" i="2211"/>
  <c r="D122" i="2211"/>
  <c r="C122" i="2211"/>
  <c r="B122" i="2211"/>
  <c r="AA121" i="2211"/>
  <c r="Z121" i="2211"/>
  <c r="T121" i="2211"/>
  <c r="O121" i="2211"/>
  <c r="J121" i="2211"/>
  <c r="AC121" i="2211" s="1"/>
  <c r="Z120" i="2211"/>
  <c r="T120" i="2211"/>
  <c r="AA120" i="2211" s="1"/>
  <c r="AC120" i="2211" s="1"/>
  <c r="O120" i="2211"/>
  <c r="J120" i="2211"/>
  <c r="AA119" i="2211"/>
  <c r="Z119" i="2211"/>
  <c r="T119" i="2211"/>
  <c r="O119" i="2211"/>
  <c r="J119" i="2211"/>
  <c r="Z118" i="2211"/>
  <c r="T118" i="2211"/>
  <c r="AA118" i="2211" s="1"/>
  <c r="O118" i="2211"/>
  <c r="J118" i="2211"/>
  <c r="AA117" i="2211"/>
  <c r="AC117" i="2211" s="1"/>
  <c r="Z117" i="2211"/>
  <c r="T117" i="2211"/>
  <c r="O117" i="2211"/>
  <c r="J117" i="2211"/>
  <c r="Z116" i="2211"/>
  <c r="T116" i="2211"/>
  <c r="O116" i="2211"/>
  <c r="J116" i="2211"/>
  <c r="Z115" i="2211"/>
  <c r="AA115" i="2211" s="1"/>
  <c r="T115" i="2211"/>
  <c r="O115" i="2211"/>
  <c r="J115" i="2211"/>
  <c r="Z114" i="2211"/>
  <c r="T114" i="2211"/>
  <c r="AA114" i="2211" s="1"/>
  <c r="O114" i="2211"/>
  <c r="J114" i="2211"/>
  <c r="AA113" i="2211"/>
  <c r="Z113" i="2211"/>
  <c r="T113" i="2211"/>
  <c r="O113" i="2211"/>
  <c r="J113" i="2211"/>
  <c r="AC113" i="2211" s="1"/>
  <c r="Z112" i="2211"/>
  <c r="T112" i="2211"/>
  <c r="AA112" i="2211" s="1"/>
  <c r="AC112" i="2211" s="1"/>
  <c r="O112" i="2211"/>
  <c r="J112" i="2211"/>
  <c r="AA111" i="2211"/>
  <c r="Z111" i="2211"/>
  <c r="T111" i="2211"/>
  <c r="O111" i="2211"/>
  <c r="J111" i="2211"/>
  <c r="Z110" i="2211"/>
  <c r="T110" i="2211"/>
  <c r="AA110" i="2211" s="1"/>
  <c r="O110" i="2211"/>
  <c r="J110" i="2211"/>
  <c r="AA109" i="2211"/>
  <c r="AC109" i="2211" s="1"/>
  <c r="Z109" i="2211"/>
  <c r="T109" i="2211"/>
  <c r="O109" i="2211"/>
  <c r="O122" i="2211" s="1"/>
  <c r="J109" i="2211"/>
  <c r="AB107" i="2211"/>
  <c r="Z107" i="2211"/>
  <c r="Y107" i="2211"/>
  <c r="X107" i="2211"/>
  <c r="W107" i="2211"/>
  <c r="V107" i="2211"/>
  <c r="U107" i="2211"/>
  <c r="S107" i="2211"/>
  <c r="R107" i="2211"/>
  <c r="Q107" i="2211"/>
  <c r="P107" i="2211"/>
  <c r="N107" i="2211"/>
  <c r="M107" i="2211"/>
  <c r="L107" i="2211"/>
  <c r="K107" i="2211"/>
  <c r="J107" i="2211"/>
  <c r="I107" i="2211"/>
  <c r="H107" i="2211"/>
  <c r="G107" i="2211"/>
  <c r="F107" i="2211"/>
  <c r="E107" i="2211"/>
  <c r="D107" i="2211"/>
  <c r="C107" i="2211"/>
  <c r="B107" i="2211"/>
  <c r="Z106" i="2211"/>
  <c r="T106" i="2211"/>
  <c r="O106" i="2211"/>
  <c r="J106" i="2211"/>
  <c r="AB104" i="2211"/>
  <c r="Y104" i="2211"/>
  <c r="X104" i="2211"/>
  <c r="W104" i="2211"/>
  <c r="V104" i="2211"/>
  <c r="U104" i="2211"/>
  <c r="T104" i="2211"/>
  <c r="S104" i="2211"/>
  <c r="R104" i="2211"/>
  <c r="Q104" i="2211"/>
  <c r="P104" i="2211"/>
  <c r="N104" i="2211"/>
  <c r="M104" i="2211"/>
  <c r="L104" i="2211"/>
  <c r="K104" i="2211"/>
  <c r="I104" i="2211"/>
  <c r="H104" i="2211"/>
  <c r="G104" i="2211"/>
  <c r="F104" i="2211"/>
  <c r="E104" i="2211"/>
  <c r="D104" i="2211"/>
  <c r="C104" i="2211"/>
  <c r="B104" i="2211"/>
  <c r="AA103" i="2211"/>
  <c r="AA104" i="2211" s="1"/>
  <c r="Z103" i="2211"/>
  <c r="Z104" i="2211" s="1"/>
  <c r="T103" i="2211"/>
  <c r="O103" i="2211"/>
  <c r="O104" i="2211" s="1"/>
  <c r="J103" i="2211"/>
  <c r="AB101" i="2211"/>
  <c r="Y101" i="2211"/>
  <c r="X101" i="2211"/>
  <c r="W101" i="2211"/>
  <c r="V101" i="2211"/>
  <c r="U101" i="2211"/>
  <c r="S101" i="2211"/>
  <c r="R101" i="2211"/>
  <c r="Q101" i="2211"/>
  <c r="P101" i="2211"/>
  <c r="N101" i="2211"/>
  <c r="M101" i="2211"/>
  <c r="L101" i="2211"/>
  <c r="K101" i="2211"/>
  <c r="I101" i="2211"/>
  <c r="H101" i="2211"/>
  <c r="G101" i="2211"/>
  <c r="F101" i="2211"/>
  <c r="E101" i="2211"/>
  <c r="D101" i="2211"/>
  <c r="C101" i="2211"/>
  <c r="B101" i="2211"/>
  <c r="Z100" i="2211"/>
  <c r="T100" i="2211"/>
  <c r="O100" i="2211"/>
  <c r="J100" i="2211"/>
  <c r="Z99" i="2211"/>
  <c r="AA99" i="2211" s="1"/>
  <c r="T99" i="2211"/>
  <c r="O99" i="2211"/>
  <c r="J99" i="2211"/>
  <c r="Z98" i="2211"/>
  <c r="T98" i="2211"/>
  <c r="AA98" i="2211" s="1"/>
  <c r="O98" i="2211"/>
  <c r="AC98" i="2211" s="1"/>
  <c r="J98" i="2211"/>
  <c r="AC97" i="2211"/>
  <c r="AA97" i="2211"/>
  <c r="Z97" i="2211"/>
  <c r="T97" i="2211"/>
  <c r="O97" i="2211"/>
  <c r="J97" i="2211"/>
  <c r="AC96" i="2211"/>
  <c r="Z96" i="2211"/>
  <c r="T96" i="2211"/>
  <c r="AA96" i="2211" s="1"/>
  <c r="O96" i="2211"/>
  <c r="J96" i="2211"/>
  <c r="AA95" i="2211"/>
  <c r="Z95" i="2211"/>
  <c r="T95" i="2211"/>
  <c r="O95" i="2211"/>
  <c r="J95" i="2211"/>
  <c r="Z94" i="2211"/>
  <c r="T94" i="2211"/>
  <c r="AA94" i="2211" s="1"/>
  <c r="O94" i="2211"/>
  <c r="J94" i="2211"/>
  <c r="AA93" i="2211"/>
  <c r="Z93" i="2211"/>
  <c r="T93" i="2211"/>
  <c r="O93" i="2211"/>
  <c r="J93" i="2211"/>
  <c r="AC93" i="2211" s="1"/>
  <c r="Z92" i="2211"/>
  <c r="T92" i="2211"/>
  <c r="O92" i="2211"/>
  <c r="J92" i="2211"/>
  <c r="Z91" i="2211"/>
  <c r="AA91" i="2211" s="1"/>
  <c r="T91" i="2211"/>
  <c r="O91" i="2211"/>
  <c r="J91" i="2211"/>
  <c r="Z90" i="2211"/>
  <c r="T90" i="2211"/>
  <c r="O90" i="2211"/>
  <c r="J90" i="2211"/>
  <c r="AB88" i="2211"/>
  <c r="Y88" i="2211"/>
  <c r="X88" i="2211"/>
  <c r="W88" i="2211"/>
  <c r="V88" i="2211"/>
  <c r="U88" i="2211"/>
  <c r="S88" i="2211"/>
  <c r="R88" i="2211"/>
  <c r="Q88" i="2211"/>
  <c r="P88" i="2211"/>
  <c r="N88" i="2211"/>
  <c r="M88" i="2211"/>
  <c r="L88" i="2211"/>
  <c r="K88" i="2211"/>
  <c r="I88" i="2211"/>
  <c r="H88" i="2211"/>
  <c r="G88" i="2211"/>
  <c r="F88" i="2211"/>
  <c r="E88" i="2211"/>
  <c r="D88" i="2211"/>
  <c r="C88" i="2211"/>
  <c r="B88" i="2211"/>
  <c r="AA87" i="2211"/>
  <c r="Z87" i="2211"/>
  <c r="T87" i="2211"/>
  <c r="O87" i="2211"/>
  <c r="J87" i="2211"/>
  <c r="Z86" i="2211"/>
  <c r="T86" i="2211"/>
  <c r="AA86" i="2211" s="1"/>
  <c r="O86" i="2211"/>
  <c r="AC86" i="2211" s="1"/>
  <c r="J86" i="2211"/>
  <c r="AA85" i="2211"/>
  <c r="Z85" i="2211"/>
  <c r="T85" i="2211"/>
  <c r="O85" i="2211"/>
  <c r="J85" i="2211"/>
  <c r="AC85" i="2211" s="1"/>
  <c r="Z84" i="2211"/>
  <c r="T84" i="2211"/>
  <c r="O84" i="2211"/>
  <c r="J84" i="2211"/>
  <c r="Z83" i="2211"/>
  <c r="AA83" i="2211" s="1"/>
  <c r="T83" i="2211"/>
  <c r="O83" i="2211"/>
  <c r="J83" i="2211"/>
  <c r="Z82" i="2211"/>
  <c r="T82" i="2211"/>
  <c r="AA82" i="2211" s="1"/>
  <c r="O82" i="2211"/>
  <c r="J82" i="2211"/>
  <c r="AB80" i="2211"/>
  <c r="Y80" i="2211"/>
  <c r="X80" i="2211"/>
  <c r="W80" i="2211"/>
  <c r="V80" i="2211"/>
  <c r="U80" i="2211"/>
  <c r="S80" i="2211"/>
  <c r="R80" i="2211"/>
  <c r="Q80" i="2211"/>
  <c r="P80" i="2211"/>
  <c r="N80" i="2211"/>
  <c r="M80" i="2211"/>
  <c r="L80" i="2211"/>
  <c r="K80" i="2211"/>
  <c r="I80" i="2211"/>
  <c r="H80" i="2211"/>
  <c r="G80" i="2211"/>
  <c r="F80" i="2211"/>
  <c r="E80" i="2211"/>
  <c r="D80" i="2211"/>
  <c r="C80" i="2211"/>
  <c r="B80" i="2211"/>
  <c r="Z79" i="2211"/>
  <c r="AA79" i="2211" s="1"/>
  <c r="T79" i="2211"/>
  <c r="O79" i="2211"/>
  <c r="J79" i="2211"/>
  <c r="Z78" i="2211"/>
  <c r="T78" i="2211"/>
  <c r="AA78" i="2211" s="1"/>
  <c r="O78" i="2211"/>
  <c r="AC78" i="2211" s="1"/>
  <c r="J78" i="2211"/>
  <c r="Z77" i="2211"/>
  <c r="AA77" i="2211" s="1"/>
  <c r="T77" i="2211"/>
  <c r="O77" i="2211"/>
  <c r="J77" i="2211"/>
  <c r="AC77" i="2211" s="1"/>
  <c r="Z76" i="2211"/>
  <c r="T76" i="2211"/>
  <c r="O76" i="2211"/>
  <c r="J76" i="2211"/>
  <c r="Z75" i="2211"/>
  <c r="AA75" i="2211" s="1"/>
  <c r="T75" i="2211"/>
  <c r="O75" i="2211"/>
  <c r="O80" i="2211" s="1"/>
  <c r="J75" i="2211"/>
  <c r="AC75" i="2211" s="1"/>
  <c r="Z74" i="2211"/>
  <c r="T74" i="2211"/>
  <c r="T80" i="2211" s="1"/>
  <c r="O74" i="2211"/>
  <c r="J74" i="2211"/>
  <c r="J80" i="2211" s="1"/>
  <c r="AB72" i="2211"/>
  <c r="AB129" i="2211" s="1"/>
  <c r="AB159" i="2211" s="1"/>
  <c r="Y72" i="2211"/>
  <c r="X72" i="2211"/>
  <c r="W72" i="2211"/>
  <c r="V72" i="2211"/>
  <c r="U72" i="2211"/>
  <c r="S72" i="2211"/>
  <c r="R72" i="2211"/>
  <c r="Q72" i="2211"/>
  <c r="P72" i="2211"/>
  <c r="N72" i="2211"/>
  <c r="M72" i="2211"/>
  <c r="L72" i="2211"/>
  <c r="L129" i="2211" s="1"/>
  <c r="L159" i="2211" s="1"/>
  <c r="K72" i="2211"/>
  <c r="I72" i="2211"/>
  <c r="H72" i="2211"/>
  <c r="G72" i="2211"/>
  <c r="F72" i="2211"/>
  <c r="E72" i="2211"/>
  <c r="D72" i="2211"/>
  <c r="C72" i="2211"/>
  <c r="B72" i="2211"/>
  <c r="Z71" i="2211"/>
  <c r="AA71" i="2211" s="1"/>
  <c r="T71" i="2211"/>
  <c r="O71" i="2211"/>
  <c r="J71" i="2211"/>
  <c r="Z70" i="2211"/>
  <c r="T70" i="2211"/>
  <c r="AA70" i="2211" s="1"/>
  <c r="AC70" i="2211" s="1"/>
  <c r="O70" i="2211"/>
  <c r="J70" i="2211"/>
  <c r="Z69" i="2211"/>
  <c r="AA69" i="2211" s="1"/>
  <c r="T69" i="2211"/>
  <c r="O69" i="2211"/>
  <c r="J69" i="2211"/>
  <c r="Z68" i="2211"/>
  <c r="T68" i="2211"/>
  <c r="O68" i="2211"/>
  <c r="J68" i="2211"/>
  <c r="Z67" i="2211"/>
  <c r="AA67" i="2211" s="1"/>
  <c r="T67" i="2211"/>
  <c r="O67" i="2211"/>
  <c r="J67" i="2211"/>
  <c r="Z66" i="2211"/>
  <c r="T66" i="2211"/>
  <c r="O66" i="2211"/>
  <c r="J66" i="2211"/>
  <c r="AA65" i="2211"/>
  <c r="Z65" i="2211"/>
  <c r="T65" i="2211"/>
  <c r="O65" i="2211"/>
  <c r="J65" i="2211"/>
  <c r="AC65" i="2211" s="1"/>
  <c r="Z64" i="2211"/>
  <c r="T64" i="2211"/>
  <c r="O64" i="2211"/>
  <c r="J64" i="2211"/>
  <c r="AA63" i="2211"/>
  <c r="Z63" i="2211"/>
  <c r="T63" i="2211"/>
  <c r="O63" i="2211"/>
  <c r="O72" i="2211" s="1"/>
  <c r="J63" i="2211"/>
  <c r="AC63" i="2211" s="1"/>
  <c r="AB61" i="2211"/>
  <c r="Z61" i="2211"/>
  <c r="Y61" i="2211"/>
  <c r="X61" i="2211"/>
  <c r="W61" i="2211"/>
  <c r="V61" i="2211"/>
  <c r="U61" i="2211"/>
  <c r="S61" i="2211"/>
  <c r="R61" i="2211"/>
  <c r="Q61" i="2211"/>
  <c r="Q129" i="2211" s="1"/>
  <c r="Q159" i="2211" s="1"/>
  <c r="P61" i="2211"/>
  <c r="N61" i="2211"/>
  <c r="M61" i="2211"/>
  <c r="L61" i="2211"/>
  <c r="K61" i="2211"/>
  <c r="I61" i="2211"/>
  <c r="H61" i="2211"/>
  <c r="G61" i="2211"/>
  <c r="F61" i="2211"/>
  <c r="E61" i="2211"/>
  <c r="D61" i="2211"/>
  <c r="C61" i="2211"/>
  <c r="B61" i="2211"/>
  <c r="AC60" i="2211"/>
  <c r="Z60" i="2211"/>
  <c r="T60" i="2211"/>
  <c r="AA60" i="2211" s="1"/>
  <c r="O60" i="2211"/>
  <c r="O61" i="2211" s="1"/>
  <c r="J60" i="2211"/>
  <c r="AA59" i="2211"/>
  <c r="AA61" i="2211" s="1"/>
  <c r="Z59" i="2211"/>
  <c r="T59" i="2211"/>
  <c r="T61" i="2211" s="1"/>
  <c r="O59" i="2211"/>
  <c r="J59" i="2211"/>
  <c r="AC59" i="2211" s="1"/>
  <c r="AC61" i="2211" s="1"/>
  <c r="AB57" i="2211"/>
  <c r="Y57" i="2211"/>
  <c r="X57" i="2211"/>
  <c r="W57" i="2211"/>
  <c r="V57" i="2211"/>
  <c r="U57" i="2211"/>
  <c r="S57" i="2211"/>
  <c r="R57" i="2211"/>
  <c r="Q57" i="2211"/>
  <c r="P57" i="2211"/>
  <c r="O57" i="2211"/>
  <c r="N57" i="2211"/>
  <c r="M57" i="2211"/>
  <c r="L57" i="2211"/>
  <c r="K57" i="2211"/>
  <c r="I57" i="2211"/>
  <c r="H57" i="2211"/>
  <c r="G57" i="2211"/>
  <c r="F57" i="2211"/>
  <c r="E57" i="2211"/>
  <c r="D57" i="2211"/>
  <c r="C57" i="2211"/>
  <c r="B57" i="2211"/>
  <c r="Z56" i="2211"/>
  <c r="T56" i="2211"/>
  <c r="AA56" i="2211" s="1"/>
  <c r="O56" i="2211"/>
  <c r="AC56" i="2211" s="1"/>
  <c r="J56" i="2211"/>
  <c r="Z55" i="2211"/>
  <c r="AA55" i="2211" s="1"/>
  <c r="T55" i="2211"/>
  <c r="O55" i="2211"/>
  <c r="J55" i="2211"/>
  <c r="AC55" i="2211" s="1"/>
  <c r="Z54" i="2211"/>
  <c r="Z57" i="2211" s="1"/>
  <c r="T54" i="2211"/>
  <c r="O54" i="2211"/>
  <c r="J54" i="2211"/>
  <c r="AB52" i="2211"/>
  <c r="Y52" i="2211"/>
  <c r="X52" i="2211"/>
  <c r="X129" i="2211" s="1"/>
  <c r="X159" i="2211" s="1"/>
  <c r="W52" i="2211"/>
  <c r="V52" i="2211"/>
  <c r="U52" i="2211"/>
  <c r="S52" i="2211"/>
  <c r="R52" i="2211"/>
  <c r="Q52" i="2211"/>
  <c r="P52" i="2211"/>
  <c r="P129" i="2211" s="1"/>
  <c r="P159" i="2211" s="1"/>
  <c r="N52" i="2211"/>
  <c r="M52" i="2211"/>
  <c r="L52" i="2211"/>
  <c r="K52" i="2211"/>
  <c r="I52" i="2211"/>
  <c r="H52" i="2211"/>
  <c r="H129" i="2211" s="1"/>
  <c r="H159" i="2211" s="1"/>
  <c r="G52" i="2211"/>
  <c r="F52" i="2211"/>
  <c r="E52" i="2211"/>
  <c r="D52" i="2211"/>
  <c r="D129" i="2211" s="1"/>
  <c r="D159" i="2211" s="1"/>
  <c r="C52" i="2211"/>
  <c r="B52" i="2211"/>
  <c r="Z51" i="2211"/>
  <c r="AA51" i="2211" s="1"/>
  <c r="AC51" i="2211" s="1"/>
  <c r="T51" i="2211"/>
  <c r="O51" i="2211"/>
  <c r="J51" i="2211"/>
  <c r="Z50" i="2211"/>
  <c r="T50" i="2211"/>
  <c r="AA50" i="2211" s="1"/>
  <c r="O50" i="2211"/>
  <c r="AC50" i="2211" s="1"/>
  <c r="J50" i="2211"/>
  <c r="Z49" i="2211"/>
  <c r="AA49" i="2211" s="1"/>
  <c r="T49" i="2211"/>
  <c r="O49" i="2211"/>
  <c r="J49" i="2211"/>
  <c r="Z48" i="2211"/>
  <c r="T48" i="2211"/>
  <c r="T52" i="2211" s="1"/>
  <c r="O48" i="2211"/>
  <c r="J48" i="2211"/>
  <c r="Z47" i="2211"/>
  <c r="Z52" i="2211" s="1"/>
  <c r="T47" i="2211"/>
  <c r="O47" i="2211"/>
  <c r="O52" i="2211" s="1"/>
  <c r="J47" i="2211"/>
  <c r="AB45" i="2211"/>
  <c r="Y45" i="2211"/>
  <c r="Y129" i="2211" s="1"/>
  <c r="Y159" i="2211" s="1"/>
  <c r="X45" i="2211"/>
  <c r="W45" i="2211"/>
  <c r="W129" i="2211" s="1"/>
  <c r="V45" i="2211"/>
  <c r="U45" i="2211"/>
  <c r="S45" i="2211"/>
  <c r="S129" i="2211" s="1"/>
  <c r="S159" i="2211" s="1"/>
  <c r="R45" i="2211"/>
  <c r="Q45" i="2211"/>
  <c r="P45" i="2211"/>
  <c r="N45" i="2211"/>
  <c r="N129" i="2211" s="1"/>
  <c r="M45" i="2211"/>
  <c r="L45" i="2211"/>
  <c r="K45" i="2211"/>
  <c r="K129" i="2211" s="1"/>
  <c r="K159" i="2211" s="1"/>
  <c r="I45" i="2211"/>
  <c r="I129" i="2211" s="1"/>
  <c r="I159" i="2211" s="1"/>
  <c r="H45" i="2211"/>
  <c r="G45" i="2211"/>
  <c r="F45" i="2211"/>
  <c r="F129" i="2211" s="1"/>
  <c r="F159" i="2211" s="1"/>
  <c r="E45" i="2211"/>
  <c r="E129" i="2211" s="1"/>
  <c r="E159" i="2211" s="1"/>
  <c r="D45" i="2211"/>
  <c r="C45" i="2211"/>
  <c r="C129" i="2211" s="1"/>
  <c r="C159" i="2211" s="1"/>
  <c r="B45" i="2211"/>
  <c r="Z44" i="2211"/>
  <c r="T44" i="2211"/>
  <c r="O44" i="2211"/>
  <c r="J44" i="2211"/>
  <c r="AA43" i="2211"/>
  <c r="Z43" i="2211"/>
  <c r="T43" i="2211"/>
  <c r="O43" i="2211"/>
  <c r="J43" i="2211"/>
  <c r="AC43" i="2211" s="1"/>
  <c r="Z42" i="2211"/>
  <c r="T42" i="2211"/>
  <c r="O42" i="2211"/>
  <c r="J42" i="2211"/>
  <c r="AA41" i="2211"/>
  <c r="Z41" i="2211"/>
  <c r="Z45" i="2211" s="1"/>
  <c r="T41" i="2211"/>
  <c r="T45" i="2211" s="1"/>
  <c r="O41" i="2211"/>
  <c r="O45" i="2211" s="1"/>
  <c r="J41" i="2211"/>
  <c r="J45" i="2211" s="1"/>
  <c r="Z39" i="2211"/>
  <c r="T39" i="2211"/>
  <c r="O39" i="2211"/>
  <c r="J39" i="2211"/>
  <c r="C34" i="2211"/>
  <c r="C35" i="2211" s="1"/>
  <c r="AB33" i="2211"/>
  <c r="AB34" i="2211" s="1"/>
  <c r="AB35" i="2211" s="1"/>
  <c r="S33" i="2211"/>
  <c r="S34" i="2211" s="1"/>
  <c r="S35" i="2211" s="1"/>
  <c r="Q33" i="2211"/>
  <c r="Q34" i="2211" s="1"/>
  <c r="Q35" i="2211" s="1"/>
  <c r="E33" i="2211"/>
  <c r="E34" i="2211" s="1"/>
  <c r="E35" i="2211" s="1"/>
  <c r="C33" i="2211"/>
  <c r="AB32" i="2211"/>
  <c r="Y32" i="2211"/>
  <c r="Y33" i="2211" s="1"/>
  <c r="Y34" i="2211" s="1"/>
  <c r="Y35" i="2211" s="1"/>
  <c r="X32" i="2211"/>
  <c r="X33" i="2211" s="1"/>
  <c r="X34" i="2211" s="1"/>
  <c r="X35" i="2211" s="1"/>
  <c r="W32" i="2211"/>
  <c r="W33" i="2211" s="1"/>
  <c r="W34" i="2211" s="1"/>
  <c r="W35" i="2211" s="1"/>
  <c r="V32" i="2211"/>
  <c r="V33" i="2211" s="1"/>
  <c r="V34" i="2211" s="1"/>
  <c r="V35" i="2211" s="1"/>
  <c r="U32" i="2211"/>
  <c r="U33" i="2211" s="1"/>
  <c r="U34" i="2211" s="1"/>
  <c r="U35" i="2211" s="1"/>
  <c r="S32" i="2211"/>
  <c r="R32" i="2211"/>
  <c r="R33" i="2211" s="1"/>
  <c r="R34" i="2211" s="1"/>
  <c r="R35" i="2211" s="1"/>
  <c r="Q32" i="2211"/>
  <c r="P32" i="2211"/>
  <c r="P33" i="2211" s="1"/>
  <c r="P34" i="2211" s="1"/>
  <c r="P35" i="2211" s="1"/>
  <c r="N32" i="2211"/>
  <c r="N33" i="2211" s="1"/>
  <c r="N34" i="2211" s="1"/>
  <c r="N35" i="2211" s="1"/>
  <c r="M32" i="2211"/>
  <c r="M33" i="2211" s="1"/>
  <c r="M34" i="2211" s="1"/>
  <c r="M35" i="2211" s="1"/>
  <c r="L32" i="2211"/>
  <c r="L33" i="2211" s="1"/>
  <c r="L34" i="2211" s="1"/>
  <c r="L35" i="2211" s="1"/>
  <c r="K32" i="2211"/>
  <c r="K33" i="2211" s="1"/>
  <c r="K34" i="2211" s="1"/>
  <c r="K35" i="2211" s="1"/>
  <c r="K36" i="2211" s="1"/>
  <c r="K160" i="2211" s="1"/>
  <c r="I32" i="2211"/>
  <c r="I33" i="2211" s="1"/>
  <c r="I34" i="2211" s="1"/>
  <c r="I35" i="2211" s="1"/>
  <c r="H32" i="2211"/>
  <c r="H33" i="2211" s="1"/>
  <c r="H34" i="2211" s="1"/>
  <c r="H35" i="2211" s="1"/>
  <c r="H36" i="2211" s="1"/>
  <c r="H160" i="2211" s="1"/>
  <c r="H178" i="2211" s="1"/>
  <c r="G32" i="2211"/>
  <c r="G33" i="2211" s="1"/>
  <c r="G34" i="2211" s="1"/>
  <c r="G35" i="2211" s="1"/>
  <c r="F32" i="2211"/>
  <c r="F33" i="2211" s="1"/>
  <c r="F34" i="2211" s="1"/>
  <c r="F35" i="2211" s="1"/>
  <c r="E32" i="2211"/>
  <c r="D32" i="2211"/>
  <c r="D33" i="2211" s="1"/>
  <c r="D34" i="2211" s="1"/>
  <c r="D35" i="2211" s="1"/>
  <c r="C32" i="2211"/>
  <c r="B32" i="2211"/>
  <c r="B33" i="2211" s="1"/>
  <c r="B34" i="2211" s="1"/>
  <c r="B35" i="2211" s="1"/>
  <c r="Z31" i="2211"/>
  <c r="AA31" i="2211" s="1"/>
  <c r="AC31" i="2211" s="1"/>
  <c r="T31" i="2211"/>
  <c r="O31" i="2211"/>
  <c r="J31" i="2211"/>
  <c r="Z30" i="2211"/>
  <c r="T30" i="2211"/>
  <c r="AA30" i="2211" s="1"/>
  <c r="O30" i="2211"/>
  <c r="O32" i="2211" s="1"/>
  <c r="J30" i="2211"/>
  <c r="J32" i="2211" s="1"/>
  <c r="Z28" i="2211"/>
  <c r="AA28" i="2211" s="1"/>
  <c r="T28" i="2211"/>
  <c r="O28" i="2211"/>
  <c r="J28" i="2211"/>
  <c r="Z27" i="2211"/>
  <c r="T27" i="2211"/>
  <c r="AA27" i="2211" s="1"/>
  <c r="AC27" i="2211" s="1"/>
  <c r="O27" i="2211"/>
  <c r="O33" i="2211" s="1"/>
  <c r="J27" i="2211"/>
  <c r="Z25" i="2211"/>
  <c r="AA25" i="2211" s="1"/>
  <c r="T25" i="2211"/>
  <c r="O25" i="2211"/>
  <c r="J25" i="2211"/>
  <c r="Z24" i="2211"/>
  <c r="T24" i="2211"/>
  <c r="O24" i="2211"/>
  <c r="J24" i="2211"/>
  <c r="Z23" i="2211"/>
  <c r="AA23" i="2211" s="1"/>
  <c r="AC23" i="2211" s="1"/>
  <c r="T23" i="2211"/>
  <c r="O23" i="2211"/>
  <c r="J23" i="2211"/>
  <c r="Z22" i="2211"/>
  <c r="T22" i="2211"/>
  <c r="O22" i="2211"/>
  <c r="O34" i="2211" s="1"/>
  <c r="O35" i="2211" s="1"/>
  <c r="J22" i="2211"/>
  <c r="X19" i="2211"/>
  <c r="X36" i="2211" s="1"/>
  <c r="X160" i="2211" s="1"/>
  <c r="X178" i="2211" s="1"/>
  <c r="Q19" i="2211"/>
  <c r="Q36" i="2211" s="1"/>
  <c r="Q160" i="2211" s="1"/>
  <c r="M19" i="2211"/>
  <c r="M36" i="2211" s="1"/>
  <c r="K19" i="2211"/>
  <c r="I19" i="2211"/>
  <c r="H19" i="2211"/>
  <c r="C19" i="2211"/>
  <c r="B19" i="2211"/>
  <c r="B36" i="2211" s="1"/>
  <c r="AB18" i="2211"/>
  <c r="AB19" i="2211" s="1"/>
  <c r="AB36" i="2211" s="1"/>
  <c r="AB160" i="2211" s="1"/>
  <c r="AB178" i="2211" s="1"/>
  <c r="Y18" i="2211"/>
  <c r="Y19" i="2211" s="1"/>
  <c r="Y36" i="2211" s="1"/>
  <c r="Y160" i="2211" s="1"/>
  <c r="X18" i="2211"/>
  <c r="W18" i="2211"/>
  <c r="W19" i="2211" s="1"/>
  <c r="W36" i="2211" s="1"/>
  <c r="V18" i="2211"/>
  <c r="V19" i="2211" s="1"/>
  <c r="V36" i="2211" s="1"/>
  <c r="U18" i="2211"/>
  <c r="U19" i="2211" s="1"/>
  <c r="S18" i="2211"/>
  <c r="S19" i="2211" s="1"/>
  <c r="S36" i="2211" s="1"/>
  <c r="S160" i="2211" s="1"/>
  <c r="R18" i="2211"/>
  <c r="R19" i="2211" s="1"/>
  <c r="Q18" i="2211"/>
  <c r="P18" i="2211"/>
  <c r="P19" i="2211" s="1"/>
  <c r="P36" i="2211" s="1"/>
  <c r="P160" i="2211" s="1"/>
  <c r="N18" i="2211"/>
  <c r="N19" i="2211" s="1"/>
  <c r="N36" i="2211" s="1"/>
  <c r="M18" i="2211"/>
  <c r="L18" i="2211"/>
  <c r="L19" i="2211" s="1"/>
  <c r="L36" i="2211" s="1"/>
  <c r="L160" i="2211" s="1"/>
  <c r="L178" i="2211" s="1"/>
  <c r="K18" i="2211"/>
  <c r="I18" i="2211"/>
  <c r="H18" i="2211"/>
  <c r="G18" i="2211"/>
  <c r="G19" i="2211" s="1"/>
  <c r="G36" i="2211" s="1"/>
  <c r="F18" i="2211"/>
  <c r="F19" i="2211" s="1"/>
  <c r="F36" i="2211" s="1"/>
  <c r="F160" i="2211" s="1"/>
  <c r="F178" i="2211" s="1"/>
  <c r="E18" i="2211"/>
  <c r="E19" i="2211" s="1"/>
  <c r="D18" i="2211"/>
  <c r="D19" i="2211" s="1"/>
  <c r="D36" i="2211" s="1"/>
  <c r="C18" i="2211"/>
  <c r="B18" i="2211"/>
  <c r="Z17" i="2211"/>
  <c r="T17" i="2211"/>
  <c r="AA17" i="2211" s="1"/>
  <c r="O17" i="2211"/>
  <c r="J17" i="2211"/>
  <c r="AC17" i="2211" s="1"/>
  <c r="AA16" i="2211"/>
  <c r="Z16" i="2211"/>
  <c r="T16" i="2211"/>
  <c r="O16" i="2211"/>
  <c r="O18" i="2211" s="1"/>
  <c r="O19" i="2211" s="1"/>
  <c r="J16" i="2211"/>
  <c r="AC16" i="2211" s="1"/>
  <c r="AA15" i="2211"/>
  <c r="AC15" i="2211" s="1"/>
  <c r="Z15" i="2211"/>
  <c r="T15" i="2211"/>
  <c r="O15" i="2211"/>
  <c r="J15" i="2211"/>
  <c r="Z14" i="2211"/>
  <c r="Z18" i="2211" s="1"/>
  <c r="Z19" i="2211" s="1"/>
  <c r="T14" i="2211"/>
  <c r="AA14" i="2211" s="1"/>
  <c r="O14" i="2211"/>
  <c r="J14" i="2211"/>
  <c r="J18" i="2211" s="1"/>
  <c r="J19" i="2211" s="1"/>
  <c r="B32" i="2210"/>
  <c r="C32" i="2210"/>
  <c r="D32" i="2210"/>
  <c r="F32" i="2210"/>
  <c r="G32" i="2210"/>
  <c r="H32" i="2210"/>
  <c r="I32" i="2210"/>
  <c r="J32" i="2210"/>
  <c r="K32" i="2210"/>
  <c r="L32" i="2210"/>
  <c r="M32" i="2210"/>
  <c r="N32" i="2210"/>
  <c r="O32" i="2210"/>
  <c r="P32" i="2210"/>
  <c r="Q32" i="2210"/>
  <c r="R32" i="2210"/>
  <c r="S32" i="2210"/>
  <c r="T32" i="2210"/>
  <c r="U173" i="2210"/>
  <c r="U172" i="2210"/>
  <c r="T171" i="2210"/>
  <c r="T174" i="2210" s="1"/>
  <c r="S171" i="2210"/>
  <c r="S174" i="2210" s="1"/>
  <c r="R171" i="2210"/>
  <c r="R174" i="2210" s="1"/>
  <c r="Q171" i="2210"/>
  <c r="Q174" i="2210" s="1"/>
  <c r="P171" i="2210"/>
  <c r="P174" i="2210" s="1"/>
  <c r="O171" i="2210"/>
  <c r="O174" i="2210" s="1"/>
  <c r="N171" i="2210"/>
  <c r="N174" i="2210" s="1"/>
  <c r="M171" i="2210"/>
  <c r="M174" i="2210" s="1"/>
  <c r="L171" i="2210"/>
  <c r="L174" i="2210" s="1"/>
  <c r="K171" i="2210"/>
  <c r="K174" i="2210" s="1"/>
  <c r="J171" i="2210"/>
  <c r="J174" i="2210" s="1"/>
  <c r="I171" i="2210"/>
  <c r="I174" i="2210" s="1"/>
  <c r="H171" i="2210"/>
  <c r="H174" i="2210" s="1"/>
  <c r="G171" i="2210"/>
  <c r="G174" i="2210" s="1"/>
  <c r="F171" i="2210"/>
  <c r="F174" i="2210" s="1"/>
  <c r="E171" i="2210"/>
  <c r="E174" i="2210" s="1"/>
  <c r="D171" i="2210"/>
  <c r="D174" i="2210" s="1"/>
  <c r="C171" i="2210"/>
  <c r="C174" i="2210" s="1"/>
  <c r="B171" i="2210"/>
  <c r="B174" i="2210" s="1"/>
  <c r="U170" i="2210"/>
  <c r="U171" i="2210" s="1"/>
  <c r="U168" i="2210"/>
  <c r="S166" i="2210"/>
  <c r="S175" i="2210" s="1"/>
  <c r="T165" i="2210"/>
  <c r="T166" i="2210" s="1"/>
  <c r="S165" i="2210"/>
  <c r="R165" i="2210"/>
  <c r="R166" i="2210" s="1"/>
  <c r="R175" i="2210" s="1"/>
  <c r="Q165" i="2210"/>
  <c r="Q166" i="2210" s="1"/>
  <c r="P165" i="2210"/>
  <c r="P166" i="2210" s="1"/>
  <c r="O165" i="2210"/>
  <c r="O166" i="2210" s="1"/>
  <c r="N165" i="2210"/>
  <c r="N166" i="2210" s="1"/>
  <c r="M165" i="2210"/>
  <c r="M166" i="2210" s="1"/>
  <c r="L165" i="2210"/>
  <c r="L166" i="2210" s="1"/>
  <c r="K165" i="2210"/>
  <c r="K166" i="2210" s="1"/>
  <c r="J165" i="2210"/>
  <c r="J166" i="2210" s="1"/>
  <c r="J175" i="2210" s="1"/>
  <c r="I165" i="2210"/>
  <c r="I166" i="2210" s="1"/>
  <c r="H165" i="2210"/>
  <c r="H166" i="2210" s="1"/>
  <c r="G165" i="2210"/>
  <c r="G166" i="2210" s="1"/>
  <c r="F165" i="2210"/>
  <c r="F166" i="2210" s="1"/>
  <c r="E165" i="2210"/>
  <c r="E166" i="2210" s="1"/>
  <c r="D165" i="2210"/>
  <c r="D166" i="2210" s="1"/>
  <c r="C165" i="2210"/>
  <c r="C166" i="2210" s="1"/>
  <c r="C175" i="2210" s="1"/>
  <c r="B165" i="2210"/>
  <c r="B166" i="2210" s="1"/>
  <c r="B175" i="2210" s="1"/>
  <c r="U164" i="2210"/>
  <c r="U163" i="2210"/>
  <c r="U162" i="2210"/>
  <c r="N156" i="2210"/>
  <c r="T155" i="2210"/>
  <c r="S155" i="2210"/>
  <c r="R155" i="2210"/>
  <c r="Q155" i="2210"/>
  <c r="P155" i="2210"/>
  <c r="O155" i="2210"/>
  <c r="N155" i="2210"/>
  <c r="M155" i="2210"/>
  <c r="L155" i="2210"/>
  <c r="K155" i="2210"/>
  <c r="J155" i="2210"/>
  <c r="I155" i="2210"/>
  <c r="H155" i="2210"/>
  <c r="G155" i="2210"/>
  <c r="G156" i="2210" s="1"/>
  <c r="F155" i="2210"/>
  <c r="F156" i="2210" s="1"/>
  <c r="E155" i="2210"/>
  <c r="E156" i="2210" s="1"/>
  <c r="D155" i="2210"/>
  <c r="C155" i="2210"/>
  <c r="B155" i="2210"/>
  <c r="U154" i="2210"/>
  <c r="U153" i="2210"/>
  <c r="T151" i="2210"/>
  <c r="T156" i="2210" s="1"/>
  <c r="S151" i="2210"/>
  <c r="R151" i="2210"/>
  <c r="R156" i="2210" s="1"/>
  <c r="Q151" i="2210"/>
  <c r="Q156" i="2210" s="1"/>
  <c r="P151" i="2210"/>
  <c r="O151" i="2210"/>
  <c r="N151" i="2210"/>
  <c r="M151" i="2210"/>
  <c r="L151" i="2210"/>
  <c r="L156" i="2210" s="1"/>
  <c r="K151" i="2210"/>
  <c r="J151" i="2210"/>
  <c r="J156" i="2210" s="1"/>
  <c r="I151" i="2210"/>
  <c r="I156" i="2210" s="1"/>
  <c r="H151" i="2210"/>
  <c r="G151" i="2210"/>
  <c r="F151" i="2210"/>
  <c r="E151" i="2210"/>
  <c r="D151" i="2210"/>
  <c r="D156" i="2210" s="1"/>
  <c r="C151" i="2210"/>
  <c r="B151" i="2210"/>
  <c r="B156" i="2210" s="1"/>
  <c r="U150" i="2210"/>
  <c r="U149" i="2210"/>
  <c r="U148" i="2210"/>
  <c r="U146" i="2210"/>
  <c r="U145" i="2210"/>
  <c r="U144" i="2210"/>
  <c r="U143" i="2210"/>
  <c r="U142" i="2210"/>
  <c r="U141" i="2210"/>
  <c r="U140" i="2210"/>
  <c r="U139" i="2210"/>
  <c r="U138" i="2210"/>
  <c r="U137" i="2210"/>
  <c r="U136" i="2210"/>
  <c r="U135" i="2210"/>
  <c r="U134" i="2210"/>
  <c r="U133" i="2210"/>
  <c r="U132" i="2210"/>
  <c r="U131" i="2210"/>
  <c r="U130" i="2210"/>
  <c r="U129" i="2210"/>
  <c r="T126" i="2210"/>
  <c r="S126" i="2210"/>
  <c r="R126" i="2210"/>
  <c r="Q126" i="2210"/>
  <c r="P126" i="2210"/>
  <c r="O126" i="2210"/>
  <c r="N126" i="2210"/>
  <c r="M126" i="2210"/>
  <c r="L126" i="2210"/>
  <c r="K126" i="2210"/>
  <c r="J126" i="2210"/>
  <c r="I126" i="2210"/>
  <c r="H126" i="2210"/>
  <c r="G126" i="2210"/>
  <c r="F126" i="2210"/>
  <c r="E126" i="2210"/>
  <c r="D126" i="2210"/>
  <c r="C126" i="2210"/>
  <c r="B126" i="2210"/>
  <c r="U125" i="2210"/>
  <c r="U124" i="2210"/>
  <c r="U123" i="2210"/>
  <c r="U122" i="2210"/>
  <c r="T120" i="2210"/>
  <c r="S120" i="2210"/>
  <c r="R120" i="2210"/>
  <c r="Q120" i="2210"/>
  <c r="P120" i="2210"/>
  <c r="O120" i="2210"/>
  <c r="N120" i="2210"/>
  <c r="M120" i="2210"/>
  <c r="L120" i="2210"/>
  <c r="K120" i="2210"/>
  <c r="J120" i="2210"/>
  <c r="I120" i="2210"/>
  <c r="H120" i="2210"/>
  <c r="G120" i="2210"/>
  <c r="F120" i="2210"/>
  <c r="E120" i="2210"/>
  <c r="D120" i="2210"/>
  <c r="C120" i="2210"/>
  <c r="B120" i="2210"/>
  <c r="U119" i="2210"/>
  <c r="U118" i="2210"/>
  <c r="U117" i="2210"/>
  <c r="U116" i="2210"/>
  <c r="U115" i="2210"/>
  <c r="U114" i="2210"/>
  <c r="U113" i="2210"/>
  <c r="U112" i="2210"/>
  <c r="U111" i="2210"/>
  <c r="U110" i="2210"/>
  <c r="U109" i="2210"/>
  <c r="U108" i="2210"/>
  <c r="U107" i="2210"/>
  <c r="T105" i="2210"/>
  <c r="S105" i="2210"/>
  <c r="R105" i="2210"/>
  <c r="Q105" i="2210"/>
  <c r="P105" i="2210"/>
  <c r="O105" i="2210"/>
  <c r="N105" i="2210"/>
  <c r="M105" i="2210"/>
  <c r="L105" i="2210"/>
  <c r="K105" i="2210"/>
  <c r="J105" i="2210"/>
  <c r="I105" i="2210"/>
  <c r="H105" i="2210"/>
  <c r="G105" i="2210"/>
  <c r="F105" i="2210"/>
  <c r="E105" i="2210"/>
  <c r="D105" i="2210"/>
  <c r="C105" i="2210"/>
  <c r="B105" i="2210"/>
  <c r="U104" i="2210"/>
  <c r="U105" i="2210" s="1"/>
  <c r="T102" i="2210"/>
  <c r="S102" i="2210"/>
  <c r="R102" i="2210"/>
  <c r="Q102" i="2210"/>
  <c r="P102" i="2210"/>
  <c r="O102" i="2210"/>
  <c r="N102" i="2210"/>
  <c r="M102" i="2210"/>
  <c r="L102" i="2210"/>
  <c r="K102" i="2210"/>
  <c r="J102" i="2210"/>
  <c r="I102" i="2210"/>
  <c r="H102" i="2210"/>
  <c r="G102" i="2210"/>
  <c r="F102" i="2210"/>
  <c r="E102" i="2210"/>
  <c r="D102" i="2210"/>
  <c r="C102" i="2210"/>
  <c r="B102" i="2210"/>
  <c r="U101" i="2210"/>
  <c r="U102" i="2210" s="1"/>
  <c r="T99" i="2210"/>
  <c r="S99" i="2210"/>
  <c r="R99" i="2210"/>
  <c r="Q99" i="2210"/>
  <c r="P99" i="2210"/>
  <c r="O99" i="2210"/>
  <c r="N99" i="2210"/>
  <c r="M99" i="2210"/>
  <c r="L99" i="2210"/>
  <c r="K99" i="2210"/>
  <c r="J99" i="2210"/>
  <c r="I99" i="2210"/>
  <c r="H99" i="2210"/>
  <c r="G99" i="2210"/>
  <c r="F99" i="2210"/>
  <c r="E99" i="2210"/>
  <c r="D99" i="2210"/>
  <c r="C99" i="2210"/>
  <c r="B99" i="2210"/>
  <c r="U98" i="2210"/>
  <c r="U97" i="2210"/>
  <c r="U96" i="2210"/>
  <c r="U95" i="2210"/>
  <c r="U94" i="2210"/>
  <c r="U93" i="2210"/>
  <c r="U92" i="2210"/>
  <c r="U91" i="2210"/>
  <c r="U90" i="2210"/>
  <c r="U89" i="2210"/>
  <c r="U88" i="2210"/>
  <c r="T86" i="2210"/>
  <c r="S86" i="2210"/>
  <c r="R86" i="2210"/>
  <c r="Q86" i="2210"/>
  <c r="P86" i="2210"/>
  <c r="O86" i="2210"/>
  <c r="N86" i="2210"/>
  <c r="M86" i="2210"/>
  <c r="L86" i="2210"/>
  <c r="K86" i="2210"/>
  <c r="J86" i="2210"/>
  <c r="I86" i="2210"/>
  <c r="H86" i="2210"/>
  <c r="G86" i="2210"/>
  <c r="F86" i="2210"/>
  <c r="E86" i="2210"/>
  <c r="D86" i="2210"/>
  <c r="C86" i="2210"/>
  <c r="B86" i="2210"/>
  <c r="U85" i="2210"/>
  <c r="U84" i="2210"/>
  <c r="U83" i="2210"/>
  <c r="U82" i="2210"/>
  <c r="U81" i="2210"/>
  <c r="U80" i="2210"/>
  <c r="T78" i="2210"/>
  <c r="S78" i="2210"/>
  <c r="R78" i="2210"/>
  <c r="Q78" i="2210"/>
  <c r="P78" i="2210"/>
  <c r="O78" i="2210"/>
  <c r="N78" i="2210"/>
  <c r="M78" i="2210"/>
  <c r="L78" i="2210"/>
  <c r="K78" i="2210"/>
  <c r="J78" i="2210"/>
  <c r="I78" i="2210"/>
  <c r="H78" i="2210"/>
  <c r="G78" i="2210"/>
  <c r="F78" i="2210"/>
  <c r="E78" i="2210"/>
  <c r="D78" i="2210"/>
  <c r="C78" i="2210"/>
  <c r="B78" i="2210"/>
  <c r="U77" i="2210"/>
  <c r="U76" i="2210"/>
  <c r="U75" i="2210"/>
  <c r="U74" i="2210"/>
  <c r="U73" i="2210"/>
  <c r="U72" i="2210"/>
  <c r="T70" i="2210"/>
  <c r="S70" i="2210"/>
  <c r="R70" i="2210"/>
  <c r="Q70" i="2210"/>
  <c r="P70" i="2210"/>
  <c r="O70" i="2210"/>
  <c r="N70" i="2210"/>
  <c r="M70" i="2210"/>
  <c r="L70" i="2210"/>
  <c r="K70" i="2210"/>
  <c r="J70" i="2210"/>
  <c r="I70" i="2210"/>
  <c r="H70" i="2210"/>
  <c r="G70" i="2210"/>
  <c r="F70" i="2210"/>
  <c r="E70" i="2210"/>
  <c r="D70" i="2210"/>
  <c r="C70" i="2210"/>
  <c r="B70" i="2210"/>
  <c r="U69" i="2210"/>
  <c r="U68" i="2210"/>
  <c r="U67" i="2210"/>
  <c r="U66" i="2210"/>
  <c r="U65" i="2210"/>
  <c r="U64" i="2210"/>
  <c r="U63" i="2210"/>
  <c r="U62" i="2210"/>
  <c r="U61" i="2210"/>
  <c r="U70" i="2210" s="1"/>
  <c r="T59" i="2210"/>
  <c r="S59" i="2210"/>
  <c r="R59" i="2210"/>
  <c r="Q59" i="2210"/>
  <c r="P59" i="2210"/>
  <c r="O59" i="2210"/>
  <c r="N59" i="2210"/>
  <c r="M59" i="2210"/>
  <c r="L59" i="2210"/>
  <c r="K59" i="2210"/>
  <c r="J59" i="2210"/>
  <c r="I59" i="2210"/>
  <c r="H59" i="2210"/>
  <c r="G59" i="2210"/>
  <c r="F59" i="2210"/>
  <c r="E59" i="2210"/>
  <c r="D59" i="2210"/>
  <c r="C59" i="2210"/>
  <c r="B59" i="2210"/>
  <c r="U58" i="2210"/>
  <c r="U57" i="2210"/>
  <c r="U59" i="2210" s="1"/>
  <c r="T55" i="2210"/>
  <c r="S55" i="2210"/>
  <c r="R55" i="2210"/>
  <c r="Q55" i="2210"/>
  <c r="P55" i="2210"/>
  <c r="O55" i="2210"/>
  <c r="N55" i="2210"/>
  <c r="M55" i="2210"/>
  <c r="L55" i="2210"/>
  <c r="K55" i="2210"/>
  <c r="J55" i="2210"/>
  <c r="I55" i="2210"/>
  <c r="H55" i="2210"/>
  <c r="G55" i="2210"/>
  <c r="F55" i="2210"/>
  <c r="E55" i="2210"/>
  <c r="D55" i="2210"/>
  <c r="C55" i="2210"/>
  <c r="B55" i="2210"/>
  <c r="U54" i="2210"/>
  <c r="U53" i="2210"/>
  <c r="U52" i="2210"/>
  <c r="T50" i="2210"/>
  <c r="S50" i="2210"/>
  <c r="R50" i="2210"/>
  <c r="Q50" i="2210"/>
  <c r="P50" i="2210"/>
  <c r="O50" i="2210"/>
  <c r="N50" i="2210"/>
  <c r="M50" i="2210"/>
  <c r="L50" i="2210"/>
  <c r="K50" i="2210"/>
  <c r="J50" i="2210"/>
  <c r="I50" i="2210"/>
  <c r="H50" i="2210"/>
  <c r="G50" i="2210"/>
  <c r="F50" i="2210"/>
  <c r="E50" i="2210"/>
  <c r="D50" i="2210"/>
  <c r="C50" i="2210"/>
  <c r="B50" i="2210"/>
  <c r="U49" i="2210"/>
  <c r="U48" i="2210"/>
  <c r="U47" i="2210"/>
  <c r="U46" i="2210"/>
  <c r="U45" i="2210"/>
  <c r="T43" i="2210"/>
  <c r="S43" i="2210"/>
  <c r="R43" i="2210"/>
  <c r="Q43" i="2210"/>
  <c r="P43" i="2210"/>
  <c r="P127" i="2210" s="1"/>
  <c r="O43" i="2210"/>
  <c r="N43" i="2210"/>
  <c r="N127" i="2210" s="1"/>
  <c r="M43" i="2210"/>
  <c r="L43" i="2210"/>
  <c r="K43" i="2210"/>
  <c r="J43" i="2210"/>
  <c r="I43" i="2210"/>
  <c r="H43" i="2210"/>
  <c r="H127" i="2210" s="1"/>
  <c r="G43" i="2210"/>
  <c r="F43" i="2210"/>
  <c r="F127" i="2210" s="1"/>
  <c r="E43" i="2210"/>
  <c r="D43" i="2210"/>
  <c r="C43" i="2210"/>
  <c r="B43" i="2210"/>
  <c r="U42" i="2210"/>
  <c r="U41" i="2210"/>
  <c r="U40" i="2210"/>
  <c r="U39" i="2210"/>
  <c r="U37" i="2210"/>
  <c r="Q31" i="2210"/>
  <c r="Q33" i="2210" s="1"/>
  <c r="T30" i="2210"/>
  <c r="T31" i="2210" s="1"/>
  <c r="T33" i="2210" s="1"/>
  <c r="S30" i="2210"/>
  <c r="S31" i="2210" s="1"/>
  <c r="S33" i="2210" s="1"/>
  <c r="R30" i="2210"/>
  <c r="R31" i="2210" s="1"/>
  <c r="R33" i="2210" s="1"/>
  <c r="Q30" i="2210"/>
  <c r="P30" i="2210"/>
  <c r="P31" i="2210" s="1"/>
  <c r="P33" i="2210" s="1"/>
  <c r="O30" i="2210"/>
  <c r="O31" i="2210" s="1"/>
  <c r="O33" i="2210" s="1"/>
  <c r="N30" i="2210"/>
  <c r="N31" i="2210" s="1"/>
  <c r="N33" i="2210" s="1"/>
  <c r="M30" i="2210"/>
  <c r="M31" i="2210" s="1"/>
  <c r="L30" i="2210"/>
  <c r="L31" i="2210" s="1"/>
  <c r="L33" i="2210" s="1"/>
  <c r="K30" i="2210"/>
  <c r="K31" i="2210" s="1"/>
  <c r="K33" i="2210" s="1"/>
  <c r="J30" i="2210"/>
  <c r="J31" i="2210" s="1"/>
  <c r="J33" i="2210" s="1"/>
  <c r="I30" i="2210"/>
  <c r="I31" i="2210" s="1"/>
  <c r="I33" i="2210" s="1"/>
  <c r="H30" i="2210"/>
  <c r="H31" i="2210" s="1"/>
  <c r="H33" i="2210" s="1"/>
  <c r="G30" i="2210"/>
  <c r="G31" i="2210" s="1"/>
  <c r="G33" i="2210" s="1"/>
  <c r="F30" i="2210"/>
  <c r="F31" i="2210" s="1"/>
  <c r="F33" i="2210" s="1"/>
  <c r="E30" i="2210"/>
  <c r="E31" i="2210" s="1"/>
  <c r="D30" i="2210"/>
  <c r="D31" i="2210" s="1"/>
  <c r="C30" i="2210"/>
  <c r="C31" i="2210" s="1"/>
  <c r="C33" i="2210" s="1"/>
  <c r="B30" i="2210"/>
  <c r="B31" i="2210" s="1"/>
  <c r="B33" i="2210" s="1"/>
  <c r="U29" i="2210"/>
  <c r="U28" i="2210"/>
  <c r="U30" i="2210" s="1"/>
  <c r="U26" i="2210"/>
  <c r="U25" i="2210"/>
  <c r="U23" i="2210"/>
  <c r="U22" i="2210"/>
  <c r="U21" i="2210"/>
  <c r="D16" i="2210"/>
  <c r="T15" i="2210"/>
  <c r="T16" i="2210" s="1"/>
  <c r="S15" i="2210"/>
  <c r="S16" i="2210" s="1"/>
  <c r="R15" i="2210"/>
  <c r="R16" i="2210" s="1"/>
  <c r="Q15" i="2210"/>
  <c r="Q16" i="2210" s="1"/>
  <c r="Q34" i="2210" s="1"/>
  <c r="P15" i="2210"/>
  <c r="P16" i="2210" s="1"/>
  <c r="O15" i="2210"/>
  <c r="O16" i="2210" s="1"/>
  <c r="N15" i="2210"/>
  <c r="N16" i="2210" s="1"/>
  <c r="M15" i="2210"/>
  <c r="M16" i="2210" s="1"/>
  <c r="L15" i="2210"/>
  <c r="L16" i="2210" s="1"/>
  <c r="K15" i="2210"/>
  <c r="K16" i="2210" s="1"/>
  <c r="J15" i="2210"/>
  <c r="J16" i="2210" s="1"/>
  <c r="I15" i="2210"/>
  <c r="I16" i="2210" s="1"/>
  <c r="H15" i="2210"/>
  <c r="H16" i="2210" s="1"/>
  <c r="G15" i="2210"/>
  <c r="G16" i="2210" s="1"/>
  <c r="F15" i="2210"/>
  <c r="F16" i="2210" s="1"/>
  <c r="E15" i="2210"/>
  <c r="E16" i="2210" s="1"/>
  <c r="D15" i="2210"/>
  <c r="C15" i="2210"/>
  <c r="C16" i="2210" s="1"/>
  <c r="B15" i="2210"/>
  <c r="B16" i="2210" s="1"/>
  <c r="U14" i="2210"/>
  <c r="U13" i="2210"/>
  <c r="U12" i="2210"/>
  <c r="S174" i="2209"/>
  <c r="O174" i="2209"/>
  <c r="N174" i="2209"/>
  <c r="K174" i="2209"/>
  <c r="G174" i="2209"/>
  <c r="F174" i="2209"/>
  <c r="C174" i="2209"/>
  <c r="U173" i="2209"/>
  <c r="U172" i="2209"/>
  <c r="U171" i="2209"/>
  <c r="T171" i="2209"/>
  <c r="T174" i="2209" s="1"/>
  <c r="S171" i="2209"/>
  <c r="R171" i="2209"/>
  <c r="R174" i="2209" s="1"/>
  <c r="Q171" i="2209"/>
  <c r="Q174" i="2209" s="1"/>
  <c r="P171" i="2209"/>
  <c r="P174" i="2209" s="1"/>
  <c r="O171" i="2209"/>
  <c r="N171" i="2209"/>
  <c r="M171" i="2209"/>
  <c r="M174" i="2209" s="1"/>
  <c r="L171" i="2209"/>
  <c r="L174" i="2209" s="1"/>
  <c r="K171" i="2209"/>
  <c r="J171" i="2209"/>
  <c r="J174" i="2209" s="1"/>
  <c r="I171" i="2209"/>
  <c r="I174" i="2209" s="1"/>
  <c r="H171" i="2209"/>
  <c r="H174" i="2209" s="1"/>
  <c r="G171" i="2209"/>
  <c r="F171" i="2209"/>
  <c r="E171" i="2209"/>
  <c r="E174" i="2209" s="1"/>
  <c r="D171" i="2209"/>
  <c r="D174" i="2209" s="1"/>
  <c r="C171" i="2209"/>
  <c r="B171" i="2209"/>
  <c r="B174" i="2209" s="1"/>
  <c r="U170" i="2209"/>
  <c r="U168" i="2209"/>
  <c r="U174" i="2209" s="1"/>
  <c r="R166" i="2209"/>
  <c r="R175" i="2209" s="1"/>
  <c r="O166" i="2209"/>
  <c r="O175" i="2209" s="1"/>
  <c r="J166" i="2209"/>
  <c r="G166" i="2209"/>
  <c r="G175" i="2209" s="1"/>
  <c r="B166" i="2209"/>
  <c r="B175" i="2209" s="1"/>
  <c r="T165" i="2209"/>
  <c r="T166" i="2209" s="1"/>
  <c r="T175" i="2209" s="1"/>
  <c r="S165" i="2209"/>
  <c r="S166" i="2209" s="1"/>
  <c r="S175" i="2209" s="1"/>
  <c r="R165" i="2209"/>
  <c r="Q165" i="2209"/>
  <c r="Q166" i="2209" s="1"/>
  <c r="Q175" i="2209" s="1"/>
  <c r="P165" i="2209"/>
  <c r="P166" i="2209" s="1"/>
  <c r="O165" i="2209"/>
  <c r="N165" i="2209"/>
  <c r="N166" i="2209" s="1"/>
  <c r="N175" i="2209" s="1"/>
  <c r="M165" i="2209"/>
  <c r="M166" i="2209" s="1"/>
  <c r="M175" i="2209" s="1"/>
  <c r="L165" i="2209"/>
  <c r="L166" i="2209" s="1"/>
  <c r="L175" i="2209" s="1"/>
  <c r="K165" i="2209"/>
  <c r="K166" i="2209" s="1"/>
  <c r="K175" i="2209" s="1"/>
  <c r="J165" i="2209"/>
  <c r="I165" i="2209"/>
  <c r="I166" i="2209" s="1"/>
  <c r="I175" i="2209" s="1"/>
  <c r="H165" i="2209"/>
  <c r="H166" i="2209" s="1"/>
  <c r="G165" i="2209"/>
  <c r="F165" i="2209"/>
  <c r="F166" i="2209" s="1"/>
  <c r="F175" i="2209" s="1"/>
  <c r="E165" i="2209"/>
  <c r="E166" i="2209" s="1"/>
  <c r="E175" i="2209" s="1"/>
  <c r="D165" i="2209"/>
  <c r="D166" i="2209" s="1"/>
  <c r="D175" i="2209" s="1"/>
  <c r="C165" i="2209"/>
  <c r="C166" i="2209" s="1"/>
  <c r="C175" i="2209" s="1"/>
  <c r="B165" i="2209"/>
  <c r="U164" i="2209"/>
  <c r="U163" i="2209"/>
  <c r="U162" i="2209"/>
  <c r="U165" i="2209" s="1"/>
  <c r="U166" i="2209" s="1"/>
  <c r="R156" i="2209"/>
  <c r="M156" i="2209"/>
  <c r="J156" i="2209"/>
  <c r="E156" i="2209"/>
  <c r="B156" i="2209"/>
  <c r="T155" i="2209"/>
  <c r="S155" i="2209"/>
  <c r="R155" i="2209"/>
  <c r="Q155" i="2209"/>
  <c r="P155" i="2209"/>
  <c r="O155" i="2209"/>
  <c r="N155" i="2209"/>
  <c r="N156" i="2209" s="1"/>
  <c r="M155" i="2209"/>
  <c r="L155" i="2209"/>
  <c r="K155" i="2209"/>
  <c r="J155" i="2209"/>
  <c r="I155" i="2209"/>
  <c r="H155" i="2209"/>
  <c r="G155" i="2209"/>
  <c r="F155" i="2209"/>
  <c r="F156" i="2209" s="1"/>
  <c r="E155" i="2209"/>
  <c r="D155" i="2209"/>
  <c r="C155" i="2209"/>
  <c r="B155" i="2209"/>
  <c r="U154" i="2209"/>
  <c r="U153" i="2209"/>
  <c r="U155" i="2209" s="1"/>
  <c r="T151" i="2209"/>
  <c r="T156" i="2209" s="1"/>
  <c r="S151" i="2209"/>
  <c r="S156" i="2209" s="1"/>
  <c r="R151" i="2209"/>
  <c r="Q151" i="2209"/>
  <c r="Q156" i="2209" s="1"/>
  <c r="P151" i="2209"/>
  <c r="P156" i="2209" s="1"/>
  <c r="O151" i="2209"/>
  <c r="O156" i="2209" s="1"/>
  <c r="N151" i="2209"/>
  <c r="M151" i="2209"/>
  <c r="L151" i="2209"/>
  <c r="L156" i="2209" s="1"/>
  <c r="K151" i="2209"/>
  <c r="K156" i="2209" s="1"/>
  <c r="J151" i="2209"/>
  <c r="I151" i="2209"/>
  <c r="I156" i="2209" s="1"/>
  <c r="H151" i="2209"/>
  <c r="H156" i="2209" s="1"/>
  <c r="G151" i="2209"/>
  <c r="G156" i="2209" s="1"/>
  <c r="F151" i="2209"/>
  <c r="E151" i="2209"/>
  <c r="D151" i="2209"/>
  <c r="D156" i="2209" s="1"/>
  <c r="C151" i="2209"/>
  <c r="C156" i="2209" s="1"/>
  <c r="B151" i="2209"/>
  <c r="U150" i="2209"/>
  <c r="U149" i="2209"/>
  <c r="U148" i="2209"/>
  <c r="U151" i="2209" s="1"/>
  <c r="U146" i="2209"/>
  <c r="U145" i="2209"/>
  <c r="U144" i="2209"/>
  <c r="U143" i="2209"/>
  <c r="U142" i="2209"/>
  <c r="U141" i="2209"/>
  <c r="U140" i="2209"/>
  <c r="U139" i="2209"/>
  <c r="U138" i="2209"/>
  <c r="U137" i="2209"/>
  <c r="U136" i="2209"/>
  <c r="U135" i="2209"/>
  <c r="U134" i="2209"/>
  <c r="U133" i="2209"/>
  <c r="U132" i="2209"/>
  <c r="U131" i="2209"/>
  <c r="U130" i="2209"/>
  <c r="U129" i="2209"/>
  <c r="T126" i="2209"/>
  <c r="S126" i="2209"/>
  <c r="R126" i="2209"/>
  <c r="Q126" i="2209"/>
  <c r="P126" i="2209"/>
  <c r="O126" i="2209"/>
  <c r="N126" i="2209"/>
  <c r="M126" i="2209"/>
  <c r="L126" i="2209"/>
  <c r="K126" i="2209"/>
  <c r="J126" i="2209"/>
  <c r="I126" i="2209"/>
  <c r="H126" i="2209"/>
  <c r="G126" i="2209"/>
  <c r="F126" i="2209"/>
  <c r="E126" i="2209"/>
  <c r="D126" i="2209"/>
  <c r="C126" i="2209"/>
  <c r="B126" i="2209"/>
  <c r="U125" i="2209"/>
  <c r="U126" i="2209" s="1"/>
  <c r="U124" i="2209"/>
  <c r="U123" i="2209"/>
  <c r="U122" i="2209"/>
  <c r="T120" i="2209"/>
  <c r="S120" i="2209"/>
  <c r="R120" i="2209"/>
  <c r="Q120" i="2209"/>
  <c r="P120" i="2209"/>
  <c r="O120" i="2209"/>
  <c r="N120" i="2209"/>
  <c r="M120" i="2209"/>
  <c r="L120" i="2209"/>
  <c r="K120" i="2209"/>
  <c r="J120" i="2209"/>
  <c r="I120" i="2209"/>
  <c r="H120" i="2209"/>
  <c r="G120" i="2209"/>
  <c r="F120" i="2209"/>
  <c r="E120" i="2209"/>
  <c r="D120" i="2209"/>
  <c r="C120" i="2209"/>
  <c r="B120" i="2209"/>
  <c r="U119" i="2209"/>
  <c r="U118" i="2209"/>
  <c r="U117" i="2209"/>
  <c r="U116" i="2209"/>
  <c r="U115" i="2209"/>
  <c r="U114" i="2209"/>
  <c r="U113" i="2209"/>
  <c r="U112" i="2209"/>
  <c r="U111" i="2209"/>
  <c r="U110" i="2209"/>
  <c r="U109" i="2209"/>
  <c r="U108" i="2209"/>
  <c r="U107" i="2209"/>
  <c r="U120" i="2209" s="1"/>
  <c r="U105" i="2209"/>
  <c r="T105" i="2209"/>
  <c r="S105" i="2209"/>
  <c r="R105" i="2209"/>
  <c r="Q105" i="2209"/>
  <c r="P105" i="2209"/>
  <c r="O105" i="2209"/>
  <c r="N105" i="2209"/>
  <c r="M105" i="2209"/>
  <c r="L105" i="2209"/>
  <c r="K105" i="2209"/>
  <c r="J105" i="2209"/>
  <c r="I105" i="2209"/>
  <c r="H105" i="2209"/>
  <c r="G105" i="2209"/>
  <c r="F105" i="2209"/>
  <c r="E105" i="2209"/>
  <c r="D105" i="2209"/>
  <c r="C105" i="2209"/>
  <c r="B105" i="2209"/>
  <c r="U104" i="2209"/>
  <c r="T102" i="2209"/>
  <c r="S102" i="2209"/>
  <c r="R102" i="2209"/>
  <c r="Q102" i="2209"/>
  <c r="P102" i="2209"/>
  <c r="O102" i="2209"/>
  <c r="N102" i="2209"/>
  <c r="M102" i="2209"/>
  <c r="L102" i="2209"/>
  <c r="K102" i="2209"/>
  <c r="J102" i="2209"/>
  <c r="I102" i="2209"/>
  <c r="H102" i="2209"/>
  <c r="G102" i="2209"/>
  <c r="F102" i="2209"/>
  <c r="E102" i="2209"/>
  <c r="D102" i="2209"/>
  <c r="C102" i="2209"/>
  <c r="B102" i="2209"/>
  <c r="U101" i="2209"/>
  <c r="U102" i="2209" s="1"/>
  <c r="T99" i="2209"/>
  <c r="S99" i="2209"/>
  <c r="R99" i="2209"/>
  <c r="Q99" i="2209"/>
  <c r="P99" i="2209"/>
  <c r="O99" i="2209"/>
  <c r="N99" i="2209"/>
  <c r="M99" i="2209"/>
  <c r="L99" i="2209"/>
  <c r="K99" i="2209"/>
  <c r="J99" i="2209"/>
  <c r="I99" i="2209"/>
  <c r="H99" i="2209"/>
  <c r="G99" i="2209"/>
  <c r="F99" i="2209"/>
  <c r="E99" i="2209"/>
  <c r="D99" i="2209"/>
  <c r="C99" i="2209"/>
  <c r="B99" i="2209"/>
  <c r="U98" i="2209"/>
  <c r="U97" i="2209"/>
  <c r="U96" i="2209"/>
  <c r="U95" i="2209"/>
  <c r="U94" i="2209"/>
  <c r="U93" i="2209"/>
  <c r="U92" i="2209"/>
  <c r="U91" i="2209"/>
  <c r="U90" i="2209"/>
  <c r="U89" i="2209"/>
  <c r="U88" i="2209"/>
  <c r="U99" i="2209" s="1"/>
  <c r="T86" i="2209"/>
  <c r="S86" i="2209"/>
  <c r="R86" i="2209"/>
  <c r="Q86" i="2209"/>
  <c r="P86" i="2209"/>
  <c r="O86" i="2209"/>
  <c r="N86" i="2209"/>
  <c r="M86" i="2209"/>
  <c r="L86" i="2209"/>
  <c r="K86" i="2209"/>
  <c r="J86" i="2209"/>
  <c r="I86" i="2209"/>
  <c r="H86" i="2209"/>
  <c r="G86" i="2209"/>
  <c r="F86" i="2209"/>
  <c r="E86" i="2209"/>
  <c r="D86" i="2209"/>
  <c r="C86" i="2209"/>
  <c r="B86" i="2209"/>
  <c r="U85" i="2209"/>
  <c r="U84" i="2209"/>
  <c r="U83" i="2209"/>
  <c r="U82" i="2209"/>
  <c r="U81" i="2209"/>
  <c r="U80" i="2209"/>
  <c r="U86" i="2209" s="1"/>
  <c r="T78" i="2209"/>
  <c r="S78" i="2209"/>
  <c r="R78" i="2209"/>
  <c r="Q78" i="2209"/>
  <c r="P78" i="2209"/>
  <c r="P127" i="2209" s="1"/>
  <c r="P157" i="2209" s="1"/>
  <c r="O78" i="2209"/>
  <c r="N78" i="2209"/>
  <c r="M78" i="2209"/>
  <c r="L78" i="2209"/>
  <c r="K78" i="2209"/>
  <c r="J78" i="2209"/>
  <c r="I78" i="2209"/>
  <c r="H78" i="2209"/>
  <c r="H127" i="2209" s="1"/>
  <c r="H157" i="2209" s="1"/>
  <c r="G78" i="2209"/>
  <c r="F78" i="2209"/>
  <c r="E78" i="2209"/>
  <c r="D78" i="2209"/>
  <c r="C78" i="2209"/>
  <c r="B78" i="2209"/>
  <c r="U77" i="2209"/>
  <c r="U76" i="2209"/>
  <c r="U75" i="2209"/>
  <c r="U74" i="2209"/>
  <c r="U73" i="2209"/>
  <c r="U78" i="2209" s="1"/>
  <c r="U72" i="2209"/>
  <c r="T70" i="2209"/>
  <c r="S70" i="2209"/>
  <c r="R70" i="2209"/>
  <c r="Q70" i="2209"/>
  <c r="P70" i="2209"/>
  <c r="O70" i="2209"/>
  <c r="N70" i="2209"/>
  <c r="M70" i="2209"/>
  <c r="L70" i="2209"/>
  <c r="K70" i="2209"/>
  <c r="J70" i="2209"/>
  <c r="I70" i="2209"/>
  <c r="H70" i="2209"/>
  <c r="G70" i="2209"/>
  <c r="F70" i="2209"/>
  <c r="E70" i="2209"/>
  <c r="D70" i="2209"/>
  <c r="C70" i="2209"/>
  <c r="B70" i="2209"/>
  <c r="U69" i="2209"/>
  <c r="U68" i="2209"/>
  <c r="U67" i="2209"/>
  <c r="U66" i="2209"/>
  <c r="U65" i="2209"/>
  <c r="U64" i="2209"/>
  <c r="U63" i="2209"/>
  <c r="U62" i="2209"/>
  <c r="U61" i="2209"/>
  <c r="U70" i="2209" s="1"/>
  <c r="T59" i="2209"/>
  <c r="S59" i="2209"/>
  <c r="R59" i="2209"/>
  <c r="Q59" i="2209"/>
  <c r="P59" i="2209"/>
  <c r="O59" i="2209"/>
  <c r="N59" i="2209"/>
  <c r="M59" i="2209"/>
  <c r="L59" i="2209"/>
  <c r="K59" i="2209"/>
  <c r="J59" i="2209"/>
  <c r="I59" i="2209"/>
  <c r="H59" i="2209"/>
  <c r="G59" i="2209"/>
  <c r="F59" i="2209"/>
  <c r="E59" i="2209"/>
  <c r="D59" i="2209"/>
  <c r="C59" i="2209"/>
  <c r="B59" i="2209"/>
  <c r="U58" i="2209"/>
  <c r="U57" i="2209"/>
  <c r="U59" i="2209" s="1"/>
  <c r="U55" i="2209"/>
  <c r="T55" i="2209"/>
  <c r="S55" i="2209"/>
  <c r="R55" i="2209"/>
  <c r="Q55" i="2209"/>
  <c r="P55" i="2209"/>
  <c r="O55" i="2209"/>
  <c r="N55" i="2209"/>
  <c r="M55" i="2209"/>
  <c r="L55" i="2209"/>
  <c r="K55" i="2209"/>
  <c r="J55" i="2209"/>
  <c r="I55" i="2209"/>
  <c r="H55" i="2209"/>
  <c r="G55" i="2209"/>
  <c r="F55" i="2209"/>
  <c r="E55" i="2209"/>
  <c r="D55" i="2209"/>
  <c r="C55" i="2209"/>
  <c r="B55" i="2209"/>
  <c r="U54" i="2209"/>
  <c r="U53" i="2209"/>
  <c r="U52" i="2209"/>
  <c r="T50" i="2209"/>
  <c r="S50" i="2209"/>
  <c r="R50" i="2209"/>
  <c r="Q50" i="2209"/>
  <c r="Q127" i="2209" s="1"/>
  <c r="Q157" i="2209" s="1"/>
  <c r="P50" i="2209"/>
  <c r="O50" i="2209"/>
  <c r="N50" i="2209"/>
  <c r="M50" i="2209"/>
  <c r="L50" i="2209"/>
  <c r="K50" i="2209"/>
  <c r="J50" i="2209"/>
  <c r="I50" i="2209"/>
  <c r="I127" i="2209" s="1"/>
  <c r="I157" i="2209" s="1"/>
  <c r="H50" i="2209"/>
  <c r="G50" i="2209"/>
  <c r="F50" i="2209"/>
  <c r="E50" i="2209"/>
  <c r="D50" i="2209"/>
  <c r="C50" i="2209"/>
  <c r="B50" i="2209"/>
  <c r="U49" i="2209"/>
  <c r="U48" i="2209"/>
  <c r="U47" i="2209"/>
  <c r="U46" i="2209"/>
  <c r="U45" i="2209"/>
  <c r="U50" i="2209" s="1"/>
  <c r="U43" i="2209"/>
  <c r="T43" i="2209"/>
  <c r="T127" i="2209" s="1"/>
  <c r="T157" i="2209" s="1"/>
  <c r="S43" i="2209"/>
  <c r="S127" i="2209" s="1"/>
  <c r="S157" i="2209" s="1"/>
  <c r="R43" i="2209"/>
  <c r="R127" i="2209" s="1"/>
  <c r="R157" i="2209" s="1"/>
  <c r="Q43" i="2209"/>
  <c r="P43" i="2209"/>
  <c r="O43" i="2209"/>
  <c r="O127" i="2209" s="1"/>
  <c r="O157" i="2209" s="1"/>
  <c r="N43" i="2209"/>
  <c r="N127" i="2209" s="1"/>
  <c r="N157" i="2209" s="1"/>
  <c r="M43" i="2209"/>
  <c r="M127" i="2209" s="1"/>
  <c r="M157" i="2209" s="1"/>
  <c r="L43" i="2209"/>
  <c r="L127" i="2209" s="1"/>
  <c r="L157" i="2209" s="1"/>
  <c r="K43" i="2209"/>
  <c r="K127" i="2209" s="1"/>
  <c r="K157" i="2209" s="1"/>
  <c r="J43" i="2209"/>
  <c r="J127" i="2209" s="1"/>
  <c r="J157" i="2209" s="1"/>
  <c r="I43" i="2209"/>
  <c r="H43" i="2209"/>
  <c r="G43" i="2209"/>
  <c r="G127" i="2209" s="1"/>
  <c r="G157" i="2209" s="1"/>
  <c r="F43" i="2209"/>
  <c r="F127" i="2209" s="1"/>
  <c r="F157" i="2209" s="1"/>
  <c r="E43" i="2209"/>
  <c r="E127" i="2209" s="1"/>
  <c r="E157" i="2209" s="1"/>
  <c r="D43" i="2209"/>
  <c r="D127" i="2209" s="1"/>
  <c r="D157" i="2209" s="1"/>
  <c r="C43" i="2209"/>
  <c r="C127" i="2209" s="1"/>
  <c r="C157" i="2209" s="1"/>
  <c r="B43" i="2209"/>
  <c r="B127" i="2209" s="1"/>
  <c r="B157" i="2209" s="1"/>
  <c r="U42" i="2209"/>
  <c r="U41" i="2209"/>
  <c r="U40" i="2209"/>
  <c r="U39" i="2209"/>
  <c r="U37" i="2209"/>
  <c r="T31" i="2209"/>
  <c r="T32" i="2209" s="1"/>
  <c r="T33" i="2209" s="1"/>
  <c r="R31" i="2209"/>
  <c r="R32" i="2209" s="1"/>
  <c r="R33" i="2209" s="1"/>
  <c r="O31" i="2209"/>
  <c r="O32" i="2209" s="1"/>
  <c r="O33" i="2209" s="1"/>
  <c r="L31" i="2209"/>
  <c r="L32" i="2209" s="1"/>
  <c r="L33" i="2209" s="1"/>
  <c r="J31" i="2209"/>
  <c r="J32" i="2209" s="1"/>
  <c r="J33" i="2209" s="1"/>
  <c r="G31" i="2209"/>
  <c r="G32" i="2209" s="1"/>
  <c r="G33" i="2209" s="1"/>
  <c r="D31" i="2209"/>
  <c r="D32" i="2209" s="1"/>
  <c r="D33" i="2209" s="1"/>
  <c r="B31" i="2209"/>
  <c r="B32" i="2209" s="1"/>
  <c r="B33" i="2209" s="1"/>
  <c r="T30" i="2209"/>
  <c r="S30" i="2209"/>
  <c r="S31" i="2209" s="1"/>
  <c r="S32" i="2209" s="1"/>
  <c r="S33" i="2209" s="1"/>
  <c r="R30" i="2209"/>
  <c r="Q30" i="2209"/>
  <c r="Q31" i="2209" s="1"/>
  <c r="Q32" i="2209" s="1"/>
  <c r="Q33" i="2209" s="1"/>
  <c r="P30" i="2209"/>
  <c r="P31" i="2209" s="1"/>
  <c r="P32" i="2209" s="1"/>
  <c r="P33" i="2209" s="1"/>
  <c r="O30" i="2209"/>
  <c r="N30" i="2209"/>
  <c r="N31" i="2209" s="1"/>
  <c r="N32" i="2209" s="1"/>
  <c r="N33" i="2209" s="1"/>
  <c r="M30" i="2209"/>
  <c r="M31" i="2209" s="1"/>
  <c r="M32" i="2209" s="1"/>
  <c r="M33" i="2209" s="1"/>
  <c r="L30" i="2209"/>
  <c r="K30" i="2209"/>
  <c r="K31" i="2209" s="1"/>
  <c r="K32" i="2209" s="1"/>
  <c r="K33" i="2209" s="1"/>
  <c r="J30" i="2209"/>
  <c r="I30" i="2209"/>
  <c r="I31" i="2209" s="1"/>
  <c r="I32" i="2209" s="1"/>
  <c r="I33" i="2209" s="1"/>
  <c r="H30" i="2209"/>
  <c r="H31" i="2209" s="1"/>
  <c r="H32" i="2209" s="1"/>
  <c r="H33" i="2209" s="1"/>
  <c r="G30" i="2209"/>
  <c r="F30" i="2209"/>
  <c r="F31" i="2209" s="1"/>
  <c r="F32" i="2209" s="1"/>
  <c r="F33" i="2209" s="1"/>
  <c r="E30" i="2209"/>
  <c r="E31" i="2209" s="1"/>
  <c r="E32" i="2209" s="1"/>
  <c r="E33" i="2209" s="1"/>
  <c r="D30" i="2209"/>
  <c r="C30" i="2209"/>
  <c r="C31" i="2209" s="1"/>
  <c r="C32" i="2209" s="1"/>
  <c r="C33" i="2209" s="1"/>
  <c r="B30" i="2209"/>
  <c r="U29" i="2209"/>
  <c r="U28" i="2209"/>
  <c r="U30" i="2209" s="1"/>
  <c r="U26" i="2209"/>
  <c r="U25" i="2209"/>
  <c r="U31" i="2209" s="1"/>
  <c r="U23" i="2209"/>
  <c r="U22" i="2209"/>
  <c r="U21" i="2209"/>
  <c r="U20" i="2209"/>
  <c r="U32" i="2209" s="1"/>
  <c r="U33" i="2209" s="1"/>
  <c r="T17" i="2209"/>
  <c r="R17" i="2209"/>
  <c r="O17" i="2209"/>
  <c r="L17" i="2209"/>
  <c r="L34" i="2209" s="1"/>
  <c r="L158" i="2209" s="1"/>
  <c r="L176" i="2209" s="1"/>
  <c r="J17" i="2209"/>
  <c r="J34" i="2209" s="1"/>
  <c r="G17" i="2209"/>
  <c r="G34" i="2209" s="1"/>
  <c r="G158" i="2209" s="1"/>
  <c r="G176" i="2209" s="1"/>
  <c r="D17" i="2209"/>
  <c r="D34" i="2209" s="1"/>
  <c r="D158" i="2209" s="1"/>
  <c r="D176" i="2209" s="1"/>
  <c r="B17" i="2209"/>
  <c r="B34" i="2209" s="1"/>
  <c r="T16" i="2209"/>
  <c r="S16" i="2209"/>
  <c r="S17" i="2209" s="1"/>
  <c r="R16" i="2209"/>
  <c r="Q16" i="2209"/>
  <c r="Q17" i="2209" s="1"/>
  <c r="Q34" i="2209" s="1"/>
  <c r="P16" i="2209"/>
  <c r="P17" i="2209" s="1"/>
  <c r="P34" i="2209" s="1"/>
  <c r="O16" i="2209"/>
  <c r="N16" i="2209"/>
  <c r="N17" i="2209" s="1"/>
  <c r="N34" i="2209" s="1"/>
  <c r="N158" i="2209" s="1"/>
  <c r="N176" i="2209" s="1"/>
  <c r="M16" i="2209"/>
  <c r="M17" i="2209" s="1"/>
  <c r="M34" i="2209" s="1"/>
  <c r="M158" i="2209" s="1"/>
  <c r="M176" i="2209" s="1"/>
  <c r="L16" i="2209"/>
  <c r="K16" i="2209"/>
  <c r="K17" i="2209" s="1"/>
  <c r="J16" i="2209"/>
  <c r="I16" i="2209"/>
  <c r="I17" i="2209" s="1"/>
  <c r="I34" i="2209" s="1"/>
  <c r="H16" i="2209"/>
  <c r="H17" i="2209" s="1"/>
  <c r="H34" i="2209" s="1"/>
  <c r="G16" i="2209"/>
  <c r="F16" i="2209"/>
  <c r="F17" i="2209" s="1"/>
  <c r="F34" i="2209" s="1"/>
  <c r="F158" i="2209" s="1"/>
  <c r="F176" i="2209" s="1"/>
  <c r="E16" i="2209"/>
  <c r="E17" i="2209" s="1"/>
  <c r="E34" i="2209" s="1"/>
  <c r="E158" i="2209" s="1"/>
  <c r="E176" i="2209" s="1"/>
  <c r="D16" i="2209"/>
  <c r="C16" i="2209"/>
  <c r="C17" i="2209" s="1"/>
  <c r="B16" i="2209"/>
  <c r="U15" i="2209"/>
  <c r="U14" i="2209"/>
  <c r="U13" i="2209"/>
  <c r="U12" i="2209"/>
  <c r="U16" i="2209" s="1"/>
  <c r="U17" i="2209" s="1"/>
  <c r="K176" i="2208"/>
  <c r="M176" i="2208" s="1"/>
  <c r="K175" i="2208"/>
  <c r="M175" i="2208" s="1"/>
  <c r="L174" i="2208"/>
  <c r="L177" i="2208" s="1"/>
  <c r="J174" i="2208"/>
  <c r="J177" i="2208" s="1"/>
  <c r="I174" i="2208"/>
  <c r="I177" i="2208" s="1"/>
  <c r="H174" i="2208"/>
  <c r="H177" i="2208" s="1"/>
  <c r="G174" i="2208"/>
  <c r="G177" i="2208" s="1"/>
  <c r="F174" i="2208"/>
  <c r="K174" i="2208" s="1"/>
  <c r="E174" i="2208"/>
  <c r="E177" i="2208" s="1"/>
  <c r="D174" i="2208"/>
  <c r="D177" i="2208" s="1"/>
  <c r="C174" i="2208"/>
  <c r="B174" i="2208"/>
  <c r="B177" i="2208" s="1"/>
  <c r="M173" i="2208"/>
  <c r="K173" i="2208"/>
  <c r="K172" i="2208"/>
  <c r="M172" i="2208" s="1"/>
  <c r="K171" i="2208"/>
  <c r="M171" i="2208" s="1"/>
  <c r="K170" i="2208"/>
  <c r="M170" i="2208" s="1"/>
  <c r="J169" i="2208"/>
  <c r="J178" i="2208" s="1"/>
  <c r="E169" i="2208"/>
  <c r="E178" i="2208" s="1"/>
  <c r="C169" i="2208"/>
  <c r="B169" i="2208"/>
  <c r="B178" i="2208" s="1"/>
  <c r="L168" i="2208"/>
  <c r="L169" i="2208" s="1"/>
  <c r="L178" i="2208" s="1"/>
  <c r="J168" i="2208"/>
  <c r="I168" i="2208"/>
  <c r="I169" i="2208" s="1"/>
  <c r="I178" i="2208" s="1"/>
  <c r="H168" i="2208"/>
  <c r="H169" i="2208" s="1"/>
  <c r="H178" i="2208" s="1"/>
  <c r="G168" i="2208"/>
  <c r="G169" i="2208" s="1"/>
  <c r="G178" i="2208" s="1"/>
  <c r="F168" i="2208"/>
  <c r="K168" i="2208" s="1"/>
  <c r="E168" i="2208"/>
  <c r="D168" i="2208"/>
  <c r="D169" i="2208" s="1"/>
  <c r="C168" i="2208"/>
  <c r="B168" i="2208"/>
  <c r="M167" i="2208"/>
  <c r="K167" i="2208"/>
  <c r="K166" i="2208"/>
  <c r="M166" i="2208" s="1"/>
  <c r="K165" i="2208"/>
  <c r="M165" i="2208" s="1"/>
  <c r="K164" i="2208"/>
  <c r="M164" i="2208" s="1"/>
  <c r="M163" i="2208"/>
  <c r="K163" i="2208"/>
  <c r="K162" i="2208"/>
  <c r="M162" i="2208" s="1"/>
  <c r="G158" i="2208"/>
  <c r="F158" i="2208"/>
  <c r="L157" i="2208"/>
  <c r="J157" i="2208"/>
  <c r="J158" i="2208" s="1"/>
  <c r="I157" i="2208"/>
  <c r="H157" i="2208"/>
  <c r="G157" i="2208"/>
  <c r="F157" i="2208"/>
  <c r="E157" i="2208"/>
  <c r="D157" i="2208"/>
  <c r="C157" i="2208"/>
  <c r="C158" i="2208" s="1"/>
  <c r="B157" i="2208"/>
  <c r="B158" i="2208" s="1"/>
  <c r="K156" i="2208"/>
  <c r="M156" i="2208" s="1"/>
  <c r="K155" i="2208"/>
  <c r="M155" i="2208" s="1"/>
  <c r="M154" i="2208"/>
  <c r="K154" i="2208"/>
  <c r="L153" i="2208"/>
  <c r="L158" i="2208" s="1"/>
  <c r="J153" i="2208"/>
  <c r="I153" i="2208"/>
  <c r="I158" i="2208" s="1"/>
  <c r="H153" i="2208"/>
  <c r="H158" i="2208" s="1"/>
  <c r="G153" i="2208"/>
  <c r="F153" i="2208"/>
  <c r="E153" i="2208"/>
  <c r="E158" i="2208" s="1"/>
  <c r="D153" i="2208"/>
  <c r="K153" i="2208" s="1"/>
  <c r="M153" i="2208" s="1"/>
  <c r="C153" i="2208"/>
  <c r="B153" i="2208"/>
  <c r="K152" i="2208"/>
  <c r="M152" i="2208" s="1"/>
  <c r="M151" i="2208"/>
  <c r="K151" i="2208"/>
  <c r="K150" i="2208"/>
  <c r="M150" i="2208" s="1"/>
  <c r="K149" i="2208"/>
  <c r="M149" i="2208" s="1"/>
  <c r="M148" i="2208"/>
  <c r="K148" i="2208"/>
  <c r="M147" i="2208"/>
  <c r="K147" i="2208"/>
  <c r="K146" i="2208"/>
  <c r="M146" i="2208" s="1"/>
  <c r="M145" i="2208"/>
  <c r="K145" i="2208"/>
  <c r="M144" i="2208"/>
  <c r="K144" i="2208"/>
  <c r="M143" i="2208"/>
  <c r="K143" i="2208"/>
  <c r="K142" i="2208"/>
  <c r="M142" i="2208" s="1"/>
  <c r="M141" i="2208"/>
  <c r="K141" i="2208"/>
  <c r="M140" i="2208"/>
  <c r="K140" i="2208"/>
  <c r="M139" i="2208"/>
  <c r="K139" i="2208"/>
  <c r="K138" i="2208"/>
  <c r="M138" i="2208" s="1"/>
  <c r="M137" i="2208"/>
  <c r="K137" i="2208"/>
  <c r="M136" i="2208"/>
  <c r="K136" i="2208"/>
  <c r="M135" i="2208"/>
  <c r="K135" i="2208"/>
  <c r="K134" i="2208"/>
  <c r="M134" i="2208" s="1"/>
  <c r="M133" i="2208"/>
  <c r="K133" i="2208"/>
  <c r="M132" i="2208"/>
  <c r="K132" i="2208"/>
  <c r="M131" i="2208"/>
  <c r="K131" i="2208"/>
  <c r="K130" i="2208"/>
  <c r="M130" i="2208" s="1"/>
  <c r="L128" i="2208"/>
  <c r="J128" i="2208"/>
  <c r="K128" i="2208" s="1"/>
  <c r="I128" i="2208"/>
  <c r="H128" i="2208"/>
  <c r="G128" i="2208"/>
  <c r="F128" i="2208"/>
  <c r="E128" i="2208"/>
  <c r="D128" i="2208"/>
  <c r="C128" i="2208"/>
  <c r="M128" i="2208" s="1"/>
  <c r="B128" i="2208"/>
  <c r="M127" i="2208"/>
  <c r="K127" i="2208"/>
  <c r="M126" i="2208"/>
  <c r="K126" i="2208"/>
  <c r="M125" i="2208"/>
  <c r="K125" i="2208"/>
  <c r="K124" i="2208"/>
  <c r="M124" i="2208" s="1"/>
  <c r="M123" i="2208"/>
  <c r="K123" i="2208"/>
  <c r="L122" i="2208"/>
  <c r="J122" i="2208"/>
  <c r="I122" i="2208"/>
  <c r="H122" i="2208"/>
  <c r="G122" i="2208"/>
  <c r="F122" i="2208"/>
  <c r="E122" i="2208"/>
  <c r="D122" i="2208"/>
  <c r="K122" i="2208" s="1"/>
  <c r="M122" i="2208" s="1"/>
  <c r="C122" i="2208"/>
  <c r="B122" i="2208"/>
  <c r="K121" i="2208"/>
  <c r="M121" i="2208" s="1"/>
  <c r="M120" i="2208"/>
  <c r="K120" i="2208"/>
  <c r="M119" i="2208"/>
  <c r="K119" i="2208"/>
  <c r="M118" i="2208"/>
  <c r="K118" i="2208"/>
  <c r="K117" i="2208"/>
  <c r="M117" i="2208" s="1"/>
  <c r="M116" i="2208"/>
  <c r="K116" i="2208"/>
  <c r="M115" i="2208"/>
  <c r="K115" i="2208"/>
  <c r="M114" i="2208"/>
  <c r="K114" i="2208"/>
  <c r="K113" i="2208"/>
  <c r="M113" i="2208" s="1"/>
  <c r="M112" i="2208"/>
  <c r="K112" i="2208"/>
  <c r="M111" i="2208"/>
  <c r="K111" i="2208"/>
  <c r="M110" i="2208"/>
  <c r="K110" i="2208"/>
  <c r="K109" i="2208"/>
  <c r="M109" i="2208" s="1"/>
  <c r="M108" i="2208"/>
  <c r="K108" i="2208"/>
  <c r="L107" i="2208"/>
  <c r="J107" i="2208"/>
  <c r="I107" i="2208"/>
  <c r="H107" i="2208"/>
  <c r="G107" i="2208"/>
  <c r="F107" i="2208"/>
  <c r="E107" i="2208"/>
  <c r="D107" i="2208"/>
  <c r="K107" i="2208" s="1"/>
  <c r="M107" i="2208" s="1"/>
  <c r="C107" i="2208"/>
  <c r="B107" i="2208"/>
  <c r="K106" i="2208"/>
  <c r="M106" i="2208" s="1"/>
  <c r="M105" i="2208"/>
  <c r="K105" i="2208"/>
  <c r="L104" i="2208"/>
  <c r="J104" i="2208"/>
  <c r="I104" i="2208"/>
  <c r="H104" i="2208"/>
  <c r="G104" i="2208"/>
  <c r="F104" i="2208"/>
  <c r="E104" i="2208"/>
  <c r="D104" i="2208"/>
  <c r="K104" i="2208" s="1"/>
  <c r="M104" i="2208" s="1"/>
  <c r="C104" i="2208"/>
  <c r="B104" i="2208"/>
  <c r="K103" i="2208"/>
  <c r="M103" i="2208" s="1"/>
  <c r="M102" i="2208"/>
  <c r="K102" i="2208"/>
  <c r="L101" i="2208"/>
  <c r="J101" i="2208"/>
  <c r="I101" i="2208"/>
  <c r="H101" i="2208"/>
  <c r="G101" i="2208"/>
  <c r="F101" i="2208"/>
  <c r="E101" i="2208"/>
  <c r="D101" i="2208"/>
  <c r="K101" i="2208" s="1"/>
  <c r="M101" i="2208" s="1"/>
  <c r="C101" i="2208"/>
  <c r="B101" i="2208"/>
  <c r="K100" i="2208"/>
  <c r="M100" i="2208" s="1"/>
  <c r="M99" i="2208"/>
  <c r="K99" i="2208"/>
  <c r="M98" i="2208"/>
  <c r="K98" i="2208"/>
  <c r="M97" i="2208"/>
  <c r="K97" i="2208"/>
  <c r="K96" i="2208"/>
  <c r="M96" i="2208" s="1"/>
  <c r="M95" i="2208"/>
  <c r="K95" i="2208"/>
  <c r="M94" i="2208"/>
  <c r="K94" i="2208"/>
  <c r="M93" i="2208"/>
  <c r="K93" i="2208"/>
  <c r="K92" i="2208"/>
  <c r="M92" i="2208" s="1"/>
  <c r="M91" i="2208"/>
  <c r="K91" i="2208"/>
  <c r="M90" i="2208"/>
  <c r="K90" i="2208"/>
  <c r="M89" i="2208"/>
  <c r="K89" i="2208"/>
  <c r="L88" i="2208"/>
  <c r="J88" i="2208"/>
  <c r="I88" i="2208"/>
  <c r="H88" i="2208"/>
  <c r="G88" i="2208"/>
  <c r="F88" i="2208"/>
  <c r="E88" i="2208"/>
  <c r="D88" i="2208"/>
  <c r="K88" i="2208" s="1"/>
  <c r="M88" i="2208" s="1"/>
  <c r="C88" i="2208"/>
  <c r="B88" i="2208"/>
  <c r="M87" i="2208"/>
  <c r="K87" i="2208"/>
  <c r="M86" i="2208"/>
  <c r="K86" i="2208"/>
  <c r="K85" i="2208"/>
  <c r="M85" i="2208" s="1"/>
  <c r="M84" i="2208"/>
  <c r="K84" i="2208"/>
  <c r="M83" i="2208"/>
  <c r="K83" i="2208"/>
  <c r="M82" i="2208"/>
  <c r="K82" i="2208"/>
  <c r="K81" i="2208"/>
  <c r="M81" i="2208" s="1"/>
  <c r="L80" i="2208"/>
  <c r="J80" i="2208"/>
  <c r="I80" i="2208"/>
  <c r="H80" i="2208"/>
  <c r="G80" i="2208"/>
  <c r="F80" i="2208"/>
  <c r="K80" i="2208" s="1"/>
  <c r="E80" i="2208"/>
  <c r="D80" i="2208"/>
  <c r="C80" i="2208"/>
  <c r="B80" i="2208"/>
  <c r="M79" i="2208"/>
  <c r="K79" i="2208"/>
  <c r="K78" i="2208"/>
  <c r="M78" i="2208" s="1"/>
  <c r="M77" i="2208"/>
  <c r="K77" i="2208"/>
  <c r="M76" i="2208"/>
  <c r="K76" i="2208"/>
  <c r="M75" i="2208"/>
  <c r="K75" i="2208"/>
  <c r="K74" i="2208"/>
  <c r="M74" i="2208" s="1"/>
  <c r="M73" i="2208"/>
  <c r="K73" i="2208"/>
  <c r="L72" i="2208"/>
  <c r="J72" i="2208"/>
  <c r="I72" i="2208"/>
  <c r="H72" i="2208"/>
  <c r="G72" i="2208"/>
  <c r="F72" i="2208"/>
  <c r="E72" i="2208"/>
  <c r="D72" i="2208"/>
  <c r="K72" i="2208" s="1"/>
  <c r="M72" i="2208" s="1"/>
  <c r="C72" i="2208"/>
  <c r="B72" i="2208"/>
  <c r="K71" i="2208"/>
  <c r="M71" i="2208" s="1"/>
  <c r="M70" i="2208"/>
  <c r="K70" i="2208"/>
  <c r="K69" i="2208"/>
  <c r="M69" i="2208" s="1"/>
  <c r="M68" i="2208"/>
  <c r="K68" i="2208"/>
  <c r="K67" i="2208"/>
  <c r="M67" i="2208" s="1"/>
  <c r="M66" i="2208"/>
  <c r="K66" i="2208"/>
  <c r="K65" i="2208"/>
  <c r="M65" i="2208" s="1"/>
  <c r="M64" i="2208"/>
  <c r="K64" i="2208"/>
  <c r="K63" i="2208"/>
  <c r="M63" i="2208" s="1"/>
  <c r="M62" i="2208"/>
  <c r="K62" i="2208"/>
  <c r="L61" i="2208"/>
  <c r="J61" i="2208"/>
  <c r="I61" i="2208"/>
  <c r="H61" i="2208"/>
  <c r="G61" i="2208"/>
  <c r="F61" i="2208"/>
  <c r="E61" i="2208"/>
  <c r="D61" i="2208"/>
  <c r="K61" i="2208" s="1"/>
  <c r="M61" i="2208" s="1"/>
  <c r="C61" i="2208"/>
  <c r="B61" i="2208"/>
  <c r="K60" i="2208"/>
  <c r="M60" i="2208" s="1"/>
  <c r="M59" i="2208"/>
  <c r="K59" i="2208"/>
  <c r="K58" i="2208"/>
  <c r="M58" i="2208" s="1"/>
  <c r="L57" i="2208"/>
  <c r="J57" i="2208"/>
  <c r="K57" i="2208" s="1"/>
  <c r="I57" i="2208"/>
  <c r="H57" i="2208"/>
  <c r="G57" i="2208"/>
  <c r="F57" i="2208"/>
  <c r="E57" i="2208"/>
  <c r="D57" i="2208"/>
  <c r="C57" i="2208"/>
  <c r="M57" i="2208" s="1"/>
  <c r="B57" i="2208"/>
  <c r="M56" i="2208"/>
  <c r="K56" i="2208"/>
  <c r="K55" i="2208"/>
  <c r="M55" i="2208" s="1"/>
  <c r="M54" i="2208"/>
  <c r="K54" i="2208"/>
  <c r="K53" i="2208"/>
  <c r="M53" i="2208" s="1"/>
  <c r="L52" i="2208"/>
  <c r="J52" i="2208"/>
  <c r="I52" i="2208"/>
  <c r="H52" i="2208"/>
  <c r="G52" i="2208"/>
  <c r="F52" i="2208"/>
  <c r="K52" i="2208" s="1"/>
  <c r="E52" i="2208"/>
  <c r="D52" i="2208"/>
  <c r="C52" i="2208"/>
  <c r="M52" i="2208" s="1"/>
  <c r="B52" i="2208"/>
  <c r="M51" i="2208"/>
  <c r="K51" i="2208"/>
  <c r="K50" i="2208"/>
  <c r="M50" i="2208" s="1"/>
  <c r="M49" i="2208"/>
  <c r="K49" i="2208"/>
  <c r="K48" i="2208"/>
  <c r="M48" i="2208" s="1"/>
  <c r="M47" i="2208"/>
  <c r="K47" i="2208"/>
  <c r="K46" i="2208"/>
  <c r="M46" i="2208" s="1"/>
  <c r="L45" i="2208"/>
  <c r="L129" i="2208" s="1"/>
  <c r="J45" i="2208"/>
  <c r="J129" i="2208" s="1"/>
  <c r="J160" i="2208" s="1"/>
  <c r="I45" i="2208"/>
  <c r="I129" i="2208" s="1"/>
  <c r="I160" i="2208" s="1"/>
  <c r="H45" i="2208"/>
  <c r="H129" i="2208" s="1"/>
  <c r="H160" i="2208" s="1"/>
  <c r="G45" i="2208"/>
  <c r="G129" i="2208" s="1"/>
  <c r="G160" i="2208" s="1"/>
  <c r="F45" i="2208"/>
  <c r="K45" i="2208" s="1"/>
  <c r="E45" i="2208"/>
  <c r="E129" i="2208" s="1"/>
  <c r="E160" i="2208" s="1"/>
  <c r="D45" i="2208"/>
  <c r="D129" i="2208" s="1"/>
  <c r="C45" i="2208"/>
  <c r="B45" i="2208"/>
  <c r="B129" i="2208" s="1"/>
  <c r="B160" i="2208" s="1"/>
  <c r="M44" i="2208"/>
  <c r="K44" i="2208"/>
  <c r="K43" i="2208"/>
  <c r="M43" i="2208" s="1"/>
  <c r="M42" i="2208"/>
  <c r="K42" i="2208"/>
  <c r="K41" i="2208"/>
  <c r="M41" i="2208" s="1"/>
  <c r="M40" i="2208"/>
  <c r="K40" i="2208"/>
  <c r="K39" i="2208"/>
  <c r="M39" i="2208" s="1"/>
  <c r="M38" i="2208"/>
  <c r="K38" i="2208"/>
  <c r="K37" i="2208"/>
  <c r="M37" i="2208" s="1"/>
  <c r="G33" i="2208"/>
  <c r="G34" i="2208" s="1"/>
  <c r="G35" i="2208" s="1"/>
  <c r="G36" i="2208" s="1"/>
  <c r="F33" i="2208"/>
  <c r="F34" i="2208" s="1"/>
  <c r="F35" i="2208" s="1"/>
  <c r="E33" i="2208"/>
  <c r="E34" i="2208" s="1"/>
  <c r="E35" i="2208" s="1"/>
  <c r="L32" i="2208"/>
  <c r="L33" i="2208" s="1"/>
  <c r="L34" i="2208" s="1"/>
  <c r="L35" i="2208" s="1"/>
  <c r="J32" i="2208"/>
  <c r="J33" i="2208" s="1"/>
  <c r="J34" i="2208" s="1"/>
  <c r="J35" i="2208" s="1"/>
  <c r="I32" i="2208"/>
  <c r="I33" i="2208" s="1"/>
  <c r="I34" i="2208" s="1"/>
  <c r="I35" i="2208" s="1"/>
  <c r="H32" i="2208"/>
  <c r="H33" i="2208" s="1"/>
  <c r="H34" i="2208" s="1"/>
  <c r="H35" i="2208" s="1"/>
  <c r="G32" i="2208"/>
  <c r="F32" i="2208"/>
  <c r="E32" i="2208"/>
  <c r="D32" i="2208"/>
  <c r="D33" i="2208" s="1"/>
  <c r="C32" i="2208"/>
  <c r="C33" i="2208" s="1"/>
  <c r="B32" i="2208"/>
  <c r="B33" i="2208" s="1"/>
  <c r="B34" i="2208" s="1"/>
  <c r="B35" i="2208" s="1"/>
  <c r="M31" i="2208"/>
  <c r="K31" i="2208"/>
  <c r="K30" i="2208"/>
  <c r="M30" i="2208" s="1"/>
  <c r="M29" i="2208"/>
  <c r="K29" i="2208"/>
  <c r="K28" i="2208"/>
  <c r="M28" i="2208" s="1"/>
  <c r="M27" i="2208"/>
  <c r="K27" i="2208"/>
  <c r="K26" i="2208"/>
  <c r="M26" i="2208" s="1"/>
  <c r="M25" i="2208"/>
  <c r="K25" i="2208"/>
  <c r="K24" i="2208"/>
  <c r="M24" i="2208" s="1"/>
  <c r="M23" i="2208"/>
  <c r="K23" i="2208"/>
  <c r="K22" i="2208"/>
  <c r="M22" i="2208" s="1"/>
  <c r="M21" i="2208"/>
  <c r="K21" i="2208"/>
  <c r="K20" i="2208"/>
  <c r="M20" i="2208" s="1"/>
  <c r="M19" i="2208"/>
  <c r="K19" i="2208"/>
  <c r="I18" i="2208"/>
  <c r="H18" i="2208"/>
  <c r="G18" i="2208"/>
  <c r="L17" i="2208"/>
  <c r="L18" i="2208" s="1"/>
  <c r="L36" i="2208" s="1"/>
  <c r="J17" i="2208"/>
  <c r="J18" i="2208" s="1"/>
  <c r="J36" i="2208" s="1"/>
  <c r="J161" i="2208" s="1"/>
  <c r="J179" i="2208" s="1"/>
  <c r="I17" i="2208"/>
  <c r="H17" i="2208"/>
  <c r="G17" i="2208"/>
  <c r="F17" i="2208"/>
  <c r="F18" i="2208" s="1"/>
  <c r="F36" i="2208" s="1"/>
  <c r="E17" i="2208"/>
  <c r="E18" i="2208" s="1"/>
  <c r="E36" i="2208" s="1"/>
  <c r="E161" i="2208" s="1"/>
  <c r="E179" i="2208" s="1"/>
  <c r="D17" i="2208"/>
  <c r="K17" i="2208" s="1"/>
  <c r="M17" i="2208" s="1"/>
  <c r="C17" i="2208"/>
  <c r="C18" i="2208" s="1"/>
  <c r="B17" i="2208"/>
  <c r="B18" i="2208" s="1"/>
  <c r="B36" i="2208" s="1"/>
  <c r="B161" i="2208" s="1"/>
  <c r="B179" i="2208" s="1"/>
  <c r="K16" i="2208"/>
  <c r="M16" i="2208" s="1"/>
  <c r="M15" i="2208"/>
  <c r="K15" i="2208"/>
  <c r="K14" i="2208"/>
  <c r="M14" i="2208" s="1"/>
  <c r="M13" i="2208"/>
  <c r="K13" i="2208"/>
  <c r="K35" i="2212" l="1"/>
  <c r="U36" i="2212"/>
  <c r="Z14" i="2212"/>
  <c r="AA14" i="2212" s="1"/>
  <c r="J14" i="2212"/>
  <c r="J17" i="2212" s="1"/>
  <c r="J18" i="2212" s="1"/>
  <c r="O22" i="2212"/>
  <c r="O34" i="2212" s="1"/>
  <c r="N35" i="2212"/>
  <c r="D35" i="2212"/>
  <c r="AB35" i="2212"/>
  <c r="K34" i="2210"/>
  <c r="O34" i="2210"/>
  <c r="D33" i="2210"/>
  <c r="S34" i="2210"/>
  <c r="U20" i="2210"/>
  <c r="U32" i="2210" s="1"/>
  <c r="E32" i="2210"/>
  <c r="E33" i="2210" s="1"/>
  <c r="E34" i="2210" s="1"/>
  <c r="P34" i="2210"/>
  <c r="M33" i="2210"/>
  <c r="G34" i="2210"/>
  <c r="W35" i="2212"/>
  <c r="G35" i="2212"/>
  <c r="J33" i="2212"/>
  <c r="J35" i="2212" s="1"/>
  <c r="J36" i="2212" s="1"/>
  <c r="AC55" i="2212"/>
  <c r="O72" i="2212"/>
  <c r="AA114" i="2212"/>
  <c r="AC114" i="2212" s="1"/>
  <c r="AA116" i="2212"/>
  <c r="AC116" i="2212" s="1"/>
  <c r="M129" i="2212"/>
  <c r="M159" i="2212" s="1"/>
  <c r="B158" i="2212"/>
  <c r="K158" i="2212"/>
  <c r="U158" i="2212"/>
  <c r="G177" i="2212"/>
  <c r="Q177" i="2212"/>
  <c r="E129" i="2212"/>
  <c r="AC16" i="2212"/>
  <c r="E36" i="2212"/>
  <c r="G129" i="2212"/>
  <c r="AA65" i="2212"/>
  <c r="AA69" i="2212"/>
  <c r="AA71" i="2212"/>
  <c r="AC71" i="2212" s="1"/>
  <c r="AA138" i="2212"/>
  <c r="AA144" i="2212"/>
  <c r="AC144" i="2212" s="1"/>
  <c r="C158" i="2212"/>
  <c r="L158" i="2212"/>
  <c r="V158" i="2212"/>
  <c r="AA166" i="2212"/>
  <c r="Z61" i="2212"/>
  <c r="AC79" i="2212"/>
  <c r="AC134" i="2212"/>
  <c r="Z167" i="2212"/>
  <c r="Z168" i="2212" s="1"/>
  <c r="AA31" i="2212"/>
  <c r="AC31" i="2212" s="1"/>
  <c r="Z45" i="2212"/>
  <c r="T80" i="2212"/>
  <c r="AA84" i="2212"/>
  <c r="AC84" i="2212" s="1"/>
  <c r="AA86" i="2212"/>
  <c r="AA98" i="2212"/>
  <c r="AA100" i="2212"/>
  <c r="AA109" i="2212"/>
  <c r="AA122" i="2212" s="1"/>
  <c r="AA111" i="2212"/>
  <c r="AC111" i="2212" s="1"/>
  <c r="AA127" i="2212"/>
  <c r="AC135" i="2212"/>
  <c r="AA151" i="2212"/>
  <c r="AC151" i="2212" s="1"/>
  <c r="B177" i="2212"/>
  <c r="U129" i="2212"/>
  <c r="U159" i="2212" s="1"/>
  <c r="U160" i="2212" s="1"/>
  <c r="AA15" i="2212"/>
  <c r="AA17" i="2212" s="1"/>
  <c r="AA18" i="2212" s="1"/>
  <c r="V129" i="2212"/>
  <c r="V159" i="2212" s="1"/>
  <c r="AA60" i="2212"/>
  <c r="AC60" i="2212" s="1"/>
  <c r="AC75" i="2212"/>
  <c r="AC95" i="2212"/>
  <c r="AA133" i="2212"/>
  <c r="AC133" i="2212" s="1"/>
  <c r="AA135" i="2212"/>
  <c r="AA137" i="2212"/>
  <c r="AC137" i="2212" s="1"/>
  <c r="AA139" i="2212"/>
  <c r="AC139" i="2212" s="1"/>
  <c r="AA141" i="2212"/>
  <c r="AC141" i="2212" s="1"/>
  <c r="AA143" i="2212"/>
  <c r="AA145" i="2212"/>
  <c r="G158" i="2212"/>
  <c r="G159" i="2212" s="1"/>
  <c r="Q158" i="2212"/>
  <c r="AB158" i="2212"/>
  <c r="AA165" i="2212"/>
  <c r="AC165" i="2212" s="1"/>
  <c r="AA175" i="2212"/>
  <c r="H177" i="2212"/>
  <c r="AC119" i="2212"/>
  <c r="AC142" i="2212"/>
  <c r="P177" i="2212"/>
  <c r="I36" i="2212"/>
  <c r="AC47" i="2212"/>
  <c r="AC49" i="2212"/>
  <c r="AA50" i="2212"/>
  <c r="AA59" i="2212"/>
  <c r="AA61" i="2212" s="1"/>
  <c r="D129" i="2212"/>
  <c r="D159" i="2212" s="1"/>
  <c r="L129" i="2212"/>
  <c r="AC91" i="2212"/>
  <c r="Z122" i="2212"/>
  <c r="AC127" i="2212"/>
  <c r="D158" i="2212"/>
  <c r="M158" i="2212"/>
  <c r="AA155" i="2212"/>
  <c r="T17" i="2212"/>
  <c r="T18" i="2212" s="1"/>
  <c r="B36" i="2212"/>
  <c r="K36" i="2212"/>
  <c r="G36" i="2212"/>
  <c r="AC23" i="2212"/>
  <c r="AC25" i="2212"/>
  <c r="O32" i="2212"/>
  <c r="O33" i="2212" s="1"/>
  <c r="O52" i="2212"/>
  <c r="X129" i="2212"/>
  <c r="X159" i="2212" s="1"/>
  <c r="AA54" i="2212"/>
  <c r="AA56" i="2212"/>
  <c r="AC56" i="2212" s="1"/>
  <c r="AA63" i="2212"/>
  <c r="AC63" i="2212" s="1"/>
  <c r="AA74" i="2212"/>
  <c r="AA80" i="2212" s="1"/>
  <c r="AA76" i="2212"/>
  <c r="AA78" i="2212"/>
  <c r="O88" i="2212"/>
  <c r="AA96" i="2212"/>
  <c r="AA101" i="2212" s="1"/>
  <c r="AA103" i="2212"/>
  <c r="AA112" i="2212"/>
  <c r="AC112" i="2212" s="1"/>
  <c r="T128" i="2212"/>
  <c r="Z158" i="2212"/>
  <c r="AA140" i="2212"/>
  <c r="O153" i="2212"/>
  <c r="E158" i="2212"/>
  <c r="E159" i="2212" s="1"/>
  <c r="N158" i="2212"/>
  <c r="AB177" i="2212"/>
  <c r="V36" i="2212"/>
  <c r="Q36" i="2212"/>
  <c r="O45" i="2212"/>
  <c r="P129" i="2212"/>
  <c r="P159" i="2212" s="1"/>
  <c r="F129" i="2212"/>
  <c r="F159" i="2212" s="1"/>
  <c r="AC67" i="2212"/>
  <c r="T88" i="2212"/>
  <c r="M36" i="2212"/>
  <c r="Z32" i="2212"/>
  <c r="Z33" i="2212" s="1"/>
  <c r="Z35" i="2212" s="1"/>
  <c r="D36" i="2212"/>
  <c r="D160" i="2212" s="1"/>
  <c r="D178" i="2212" s="1"/>
  <c r="T45" i="2212"/>
  <c r="AA47" i="2212"/>
  <c r="Z52" i="2212"/>
  <c r="Z72" i="2212"/>
  <c r="AC126" i="2212"/>
  <c r="AC146" i="2212"/>
  <c r="Z153" i="2212"/>
  <c r="AA156" i="2212"/>
  <c r="AC156" i="2212" s="1"/>
  <c r="N36" i="2212"/>
  <c r="AA23" i="2212"/>
  <c r="W129" i="2212"/>
  <c r="W159" i="2212" s="1"/>
  <c r="H129" i="2212"/>
  <c r="H159" i="2212" s="1"/>
  <c r="AB129" i="2212"/>
  <c r="AB159" i="2212" s="1"/>
  <c r="AA64" i="2212"/>
  <c r="AC64" i="2212" s="1"/>
  <c r="AA82" i="2212"/>
  <c r="AA88" i="2212" s="1"/>
  <c r="O101" i="2212"/>
  <c r="AA118" i="2212"/>
  <c r="O128" i="2212"/>
  <c r="AA132" i="2212"/>
  <c r="AC132" i="2212" s="1"/>
  <c r="AA152" i="2212"/>
  <c r="AC152" i="2212" s="1"/>
  <c r="O167" i="2212"/>
  <c r="O168" i="2212" s="1"/>
  <c r="O177" i="2212" s="1"/>
  <c r="O176" i="2212"/>
  <c r="L177" i="2212"/>
  <c r="H36" i="2212"/>
  <c r="S36" i="2212"/>
  <c r="F160" i="2212"/>
  <c r="P36" i="2212"/>
  <c r="Y36" i="2212"/>
  <c r="AC24" i="2212"/>
  <c r="AC42" i="2212"/>
  <c r="AA43" i="2212"/>
  <c r="N129" i="2212"/>
  <c r="O61" i="2212"/>
  <c r="AA66" i="2212"/>
  <c r="AC66" i="2212" s="1"/>
  <c r="AA68" i="2212"/>
  <c r="AC68" i="2212" s="1"/>
  <c r="AA77" i="2212"/>
  <c r="AC77" i="2212" s="1"/>
  <c r="AC83" i="2212"/>
  <c r="T101" i="2212"/>
  <c r="AC99" i="2212"/>
  <c r="AC115" i="2212"/>
  <c r="AC143" i="2212"/>
  <c r="O157" i="2212"/>
  <c r="T167" i="2212"/>
  <c r="T168" i="2212" s="1"/>
  <c r="AC166" i="2212"/>
  <c r="D177" i="2212"/>
  <c r="AC175" i="2212"/>
  <c r="AB36" i="2212"/>
  <c r="AB160" i="2212" s="1"/>
  <c r="AB178" i="2212" s="1"/>
  <c r="AC44" i="2212"/>
  <c r="AA48" i="2212"/>
  <c r="AC48" i="2212" s="1"/>
  <c r="O57" i="2212"/>
  <c r="AA70" i="2212"/>
  <c r="AC70" i="2212" s="1"/>
  <c r="O80" i="2212"/>
  <c r="AA120" i="2212"/>
  <c r="AC120" i="2212" s="1"/>
  <c r="Z128" i="2212"/>
  <c r="AC138" i="2212"/>
  <c r="AA148" i="2212"/>
  <c r="Z176" i="2212"/>
  <c r="L36" i="2212"/>
  <c r="V160" i="2212"/>
  <c r="V178" i="2212" s="1"/>
  <c r="AC43" i="2212"/>
  <c r="AA52" i="2212"/>
  <c r="AC15" i="2212"/>
  <c r="X36" i="2212"/>
  <c r="X160" i="2212" s="1"/>
  <c r="R36" i="2212"/>
  <c r="AA27" i="2212"/>
  <c r="Q129" i="2212"/>
  <c r="Q159" i="2212" s="1"/>
  <c r="Y129" i="2212"/>
  <c r="Y159" i="2212" s="1"/>
  <c r="AC59" i="2212"/>
  <c r="AC69" i="2212"/>
  <c r="J72" i="2212"/>
  <c r="J80" i="2212"/>
  <c r="AC85" i="2212"/>
  <c r="J88" i="2212"/>
  <c r="AC93" i="2212"/>
  <c r="J101" i="2212"/>
  <c r="J122" i="2212"/>
  <c r="AC109" i="2212"/>
  <c r="AC117" i="2212"/>
  <c r="AC140" i="2212"/>
  <c r="AC148" i="2212"/>
  <c r="T32" i="2212"/>
  <c r="T33" i="2212" s="1"/>
  <c r="T35" i="2212" s="1"/>
  <c r="AA41" i="2212"/>
  <c r="AA45" i="2212" s="1"/>
  <c r="I129" i="2212"/>
  <c r="I159" i="2212" s="1"/>
  <c r="R129" i="2212"/>
  <c r="R159" i="2212" s="1"/>
  <c r="T52" i="2212"/>
  <c r="AC54" i="2212"/>
  <c r="J57" i="2212"/>
  <c r="T72" i="2212"/>
  <c r="AC90" i="2212"/>
  <c r="AC98" i="2212"/>
  <c r="O122" i="2212"/>
  <c r="T122" i="2212"/>
  <c r="AC124" i="2212"/>
  <c r="AA125" i="2212"/>
  <c r="AA128" i="2212" s="1"/>
  <c r="AC145" i="2212"/>
  <c r="AA150" i="2212"/>
  <c r="AA153" i="2212" s="1"/>
  <c r="U177" i="2212"/>
  <c r="B129" i="2212"/>
  <c r="J45" i="2212"/>
  <c r="AA22" i="2212"/>
  <c r="AA34" i="2212" s="1"/>
  <c r="AC30" i="2212"/>
  <c r="C129" i="2212"/>
  <c r="K129" i="2212"/>
  <c r="K159" i="2212" s="1"/>
  <c r="K160" i="2212" s="1"/>
  <c r="AC65" i="2212"/>
  <c r="AC155" i="2212"/>
  <c r="J157" i="2212"/>
  <c r="AC164" i="2212"/>
  <c r="C177" i="2212"/>
  <c r="K177" i="2212"/>
  <c r="E177" i="2212"/>
  <c r="X177" i="2212"/>
  <c r="AC174" i="2212"/>
  <c r="W36" i="2212"/>
  <c r="S129" i="2212"/>
  <c r="S159" i="2212" s="1"/>
  <c r="J153" i="2212"/>
  <c r="J158" i="2212" s="1"/>
  <c r="Z17" i="2212"/>
  <c r="Z18" i="2212" s="1"/>
  <c r="AC27" i="2212"/>
  <c r="AC39" i="2212"/>
  <c r="AC50" i="2212"/>
  <c r="AC76" i="2212"/>
  <c r="AC92" i="2212"/>
  <c r="AC97" i="2212"/>
  <c r="AC100" i="2212"/>
  <c r="AC113" i="2212"/>
  <c r="AC121" i="2212"/>
  <c r="AC136" i="2212"/>
  <c r="AC147" i="2212"/>
  <c r="T157" i="2212"/>
  <c r="T158" i="2212" s="1"/>
  <c r="F177" i="2212"/>
  <c r="J176" i="2212"/>
  <c r="J177" i="2212" s="1"/>
  <c r="AA172" i="2212"/>
  <c r="AA173" i="2212" s="1"/>
  <c r="AC78" i="2212"/>
  <c r="AC86" i="2212"/>
  <c r="AC94" i="2212"/>
  <c r="AC110" i="2212"/>
  <c r="AC118" i="2212"/>
  <c r="J128" i="2212"/>
  <c r="AC14" i="2212"/>
  <c r="AA106" i="2212"/>
  <c r="AA107" i="2212" s="1"/>
  <c r="AA131" i="2212"/>
  <c r="W177" i="2212"/>
  <c r="M177" i="2212"/>
  <c r="T176" i="2212"/>
  <c r="T177" i="2212" s="1"/>
  <c r="AA170" i="2212"/>
  <c r="J52" i="2212"/>
  <c r="N177" i="2212"/>
  <c r="C36" i="2211"/>
  <c r="C160" i="2211" s="1"/>
  <c r="C178" i="2211" s="1"/>
  <c r="AC67" i="2211"/>
  <c r="AA18" i="2211"/>
  <c r="AA19" i="2211" s="1"/>
  <c r="AC14" i="2211"/>
  <c r="AC18" i="2211" s="1"/>
  <c r="AC19" i="2211" s="1"/>
  <c r="O36" i="2211"/>
  <c r="U36" i="2211"/>
  <c r="U160" i="2211" s="1"/>
  <c r="U178" i="2211" s="1"/>
  <c r="T34" i="2211"/>
  <c r="T35" i="2211" s="1"/>
  <c r="AC33" i="2211"/>
  <c r="AA32" i="2211"/>
  <c r="AC25" i="2211"/>
  <c r="AC28" i="2211"/>
  <c r="I36" i="2211"/>
  <c r="I160" i="2211" s="1"/>
  <c r="D160" i="2211"/>
  <c r="D178" i="2211" s="1"/>
  <c r="E36" i="2211"/>
  <c r="E160" i="2211" s="1"/>
  <c r="E178" i="2211" s="1"/>
  <c r="N160" i="2211"/>
  <c r="N178" i="2211" s="1"/>
  <c r="N159" i="2211"/>
  <c r="Z158" i="2211"/>
  <c r="D177" i="2211"/>
  <c r="P177" i="2211"/>
  <c r="P178" i="2211"/>
  <c r="Y178" i="2211"/>
  <c r="K178" i="2211"/>
  <c r="AC47" i="2211"/>
  <c r="AC49" i="2211"/>
  <c r="AC69" i="2211"/>
  <c r="AC71" i="2211"/>
  <c r="AC90" i="2211"/>
  <c r="AC115" i="2211"/>
  <c r="AA156" i="2211"/>
  <c r="AC156" i="2211" s="1"/>
  <c r="T157" i="2211"/>
  <c r="Z32" i="2211"/>
  <c r="AA39" i="2211"/>
  <c r="AC41" i="2211"/>
  <c r="AA47" i="2211"/>
  <c r="J61" i="2211"/>
  <c r="AC87" i="2211"/>
  <c r="T101" i="2211"/>
  <c r="T129" i="2211" s="1"/>
  <c r="T159" i="2211" s="1"/>
  <c r="AA90" i="2211"/>
  <c r="AC110" i="2211"/>
  <c r="AC122" i="2211" s="1"/>
  <c r="AC118" i="2211"/>
  <c r="T128" i="2211"/>
  <c r="AA131" i="2211"/>
  <c r="AC132" i="2211"/>
  <c r="AA139" i="2211"/>
  <c r="AC139" i="2211" s="1"/>
  <c r="AA147" i="2211"/>
  <c r="AC147" i="2211" s="1"/>
  <c r="AC155" i="2211"/>
  <c r="AC165" i="2211"/>
  <c r="B177" i="2211"/>
  <c r="Q177" i="2211"/>
  <c r="Q178" i="2211" s="1"/>
  <c r="O176" i="2211"/>
  <c r="O177" i="2211" s="1"/>
  <c r="O158" i="2211"/>
  <c r="AA24" i="2211"/>
  <c r="AC24" i="2211" s="1"/>
  <c r="AC30" i="2211"/>
  <c r="AC32" i="2211" s="1"/>
  <c r="T32" i="2211"/>
  <c r="T33" i="2211" s="1"/>
  <c r="B129" i="2211"/>
  <c r="B159" i="2211" s="1"/>
  <c r="B160" i="2211" s="1"/>
  <c r="B178" i="2211" s="1"/>
  <c r="R129" i="2211"/>
  <c r="R159" i="2211" s="1"/>
  <c r="AA68" i="2211"/>
  <c r="AC68" i="2211" s="1"/>
  <c r="AA74" i="2211"/>
  <c r="AC82" i="2211"/>
  <c r="AC88" i="2211" s="1"/>
  <c r="O88" i="2211"/>
  <c r="AA92" i="2211"/>
  <c r="AC92" i="2211" s="1"/>
  <c r="AA100" i="2211"/>
  <c r="AC100" i="2211" s="1"/>
  <c r="O101" i="2211"/>
  <c r="O129" i="2211" s="1"/>
  <c r="O159" i="2211" s="1"/>
  <c r="J122" i="2211"/>
  <c r="AC138" i="2211"/>
  <c r="AC146" i="2211"/>
  <c r="J167" i="2211"/>
  <c r="J168" i="2211" s="1"/>
  <c r="J177" i="2211" s="1"/>
  <c r="T167" i="2211"/>
  <c r="T168" i="2211" s="1"/>
  <c r="T177" i="2211" s="1"/>
  <c r="C177" i="2211"/>
  <c r="S177" i="2211"/>
  <c r="S178" i="2211" s="1"/>
  <c r="AA170" i="2211"/>
  <c r="AC172" i="2211"/>
  <c r="AC173" i="2211" s="1"/>
  <c r="J33" i="2211"/>
  <c r="J57" i="2211"/>
  <c r="Z80" i="2211"/>
  <c r="Z129" i="2211" s="1"/>
  <c r="Z159" i="2211" s="1"/>
  <c r="AC79" i="2211"/>
  <c r="AA88" i="2211"/>
  <c r="AC91" i="2211"/>
  <c r="AC99" i="2211"/>
  <c r="AC127" i="2211"/>
  <c r="AC128" i="2211" s="1"/>
  <c r="Z176" i="2211"/>
  <c r="R36" i="2211"/>
  <c r="R160" i="2211" s="1"/>
  <c r="R178" i="2211" s="1"/>
  <c r="AA42" i="2211"/>
  <c r="AC42" i="2211" s="1"/>
  <c r="U129" i="2211"/>
  <c r="U159" i="2211" s="1"/>
  <c r="J72" i="2211"/>
  <c r="AA64" i="2211"/>
  <c r="AA72" i="2211" s="1"/>
  <c r="Z88" i="2211"/>
  <c r="AA84" i="2211"/>
  <c r="AC84" i="2211" s="1"/>
  <c r="AC94" i="2211"/>
  <c r="Z101" i="2211"/>
  <c r="AC111" i="2211"/>
  <c r="AC119" i="2211"/>
  <c r="T122" i="2211"/>
  <c r="J128" i="2211"/>
  <c r="O128" i="2211"/>
  <c r="T153" i="2211"/>
  <c r="T158" i="2211" s="1"/>
  <c r="AA150" i="2211"/>
  <c r="AA153" i="2211" s="1"/>
  <c r="W158" i="2211"/>
  <c r="W159" i="2211" s="1"/>
  <c r="W160" i="2211" s="1"/>
  <c r="W178" i="2211" s="1"/>
  <c r="AC166" i="2211"/>
  <c r="N177" i="2211"/>
  <c r="V177" i="2211"/>
  <c r="T18" i="2211"/>
  <c r="T19" i="2211" s="1"/>
  <c r="T36" i="2211" s="1"/>
  <c r="J34" i="2211"/>
  <c r="J35" i="2211" s="1"/>
  <c r="J36" i="2211" s="1"/>
  <c r="J160" i="2211" s="1"/>
  <c r="J178" i="2211" s="1"/>
  <c r="AA33" i="2211"/>
  <c r="M129" i="2211"/>
  <c r="M159" i="2211" s="1"/>
  <c r="M160" i="2211" s="1"/>
  <c r="M178" i="2211" s="1"/>
  <c r="V129" i="2211"/>
  <c r="V159" i="2211" s="1"/>
  <c r="V160" i="2211" s="1"/>
  <c r="V178" i="2211" s="1"/>
  <c r="J52" i="2211"/>
  <c r="AA48" i="2211"/>
  <c r="AC48" i="2211" s="1"/>
  <c r="T57" i="2211"/>
  <c r="AA54" i="2211"/>
  <c r="AA76" i="2211"/>
  <c r="AC76" i="2211" s="1"/>
  <c r="AC83" i="2211"/>
  <c r="J88" i="2211"/>
  <c r="J101" i="2211"/>
  <c r="O107" i="2211"/>
  <c r="Z122" i="2211"/>
  <c r="AC114" i="2211"/>
  <c r="G158" i="2211"/>
  <c r="Z177" i="2211"/>
  <c r="I177" i="2211"/>
  <c r="Y177" i="2211"/>
  <c r="AA174" i="2211"/>
  <c r="AC174" i="2211" s="1"/>
  <c r="Z33" i="2211"/>
  <c r="Z34" i="2211" s="1"/>
  <c r="Z35" i="2211" s="1"/>
  <c r="Z36" i="2211" s="1"/>
  <c r="AC103" i="2211"/>
  <c r="AC104" i="2211" s="1"/>
  <c r="J104" i="2211"/>
  <c r="J129" i="2211" s="1"/>
  <c r="J159" i="2211" s="1"/>
  <c r="T107" i="2211"/>
  <c r="AA106" i="2211"/>
  <c r="AA107" i="2211" s="1"/>
  <c r="AA128" i="2211"/>
  <c r="AA167" i="2211"/>
  <c r="AA168" i="2211" s="1"/>
  <c r="K177" i="2211"/>
  <c r="AA22" i="2211"/>
  <c r="AA44" i="2211"/>
  <c r="AC44" i="2211" s="1"/>
  <c r="G129" i="2211"/>
  <c r="Z72" i="2211"/>
  <c r="AA66" i="2211"/>
  <c r="AC66" i="2211" s="1"/>
  <c r="T72" i="2211"/>
  <c r="T88" i="2211"/>
  <c r="AC95" i="2211"/>
  <c r="AA116" i="2211"/>
  <c r="AC116" i="2211" s="1"/>
  <c r="Z128" i="2211"/>
  <c r="AC137" i="2211"/>
  <c r="AC145" i="2211"/>
  <c r="AC164" i="2211"/>
  <c r="AC167" i="2211" s="1"/>
  <c r="AC168" i="2211" s="1"/>
  <c r="T34" i="2210"/>
  <c r="C156" i="2210"/>
  <c r="K156" i="2210"/>
  <c r="S156" i="2210"/>
  <c r="U165" i="2210"/>
  <c r="U166" i="2210" s="1"/>
  <c r="F34" i="2210"/>
  <c r="N34" i="2210"/>
  <c r="N158" i="2210" s="1"/>
  <c r="N176" i="2210" s="1"/>
  <c r="L34" i="2210"/>
  <c r="U155" i="2210"/>
  <c r="H34" i="2210"/>
  <c r="O156" i="2210"/>
  <c r="K175" i="2210"/>
  <c r="N157" i="2210"/>
  <c r="B34" i="2210"/>
  <c r="J34" i="2210"/>
  <c r="R34" i="2210"/>
  <c r="I34" i="2210"/>
  <c r="U31" i="2210"/>
  <c r="I127" i="2210"/>
  <c r="I157" i="2210" s="1"/>
  <c r="Q127" i="2210"/>
  <c r="Q157" i="2210" s="1"/>
  <c r="M34" i="2210"/>
  <c r="B127" i="2210"/>
  <c r="B157" i="2210" s="1"/>
  <c r="J127" i="2210"/>
  <c r="J157" i="2210" s="1"/>
  <c r="R127" i="2210"/>
  <c r="R157" i="2210" s="1"/>
  <c r="U15" i="2210"/>
  <c r="U16" i="2210" s="1"/>
  <c r="Q158" i="2210"/>
  <c r="C127" i="2210"/>
  <c r="C157" i="2210" s="1"/>
  <c r="K127" i="2210"/>
  <c r="K157" i="2210" s="1"/>
  <c r="S127" i="2210"/>
  <c r="S157" i="2210" s="1"/>
  <c r="S158" i="2210" s="1"/>
  <c r="S176" i="2210" s="1"/>
  <c r="M156" i="2210"/>
  <c r="L175" i="2210"/>
  <c r="D127" i="2210"/>
  <c r="D157" i="2210" s="1"/>
  <c r="L127" i="2210"/>
  <c r="L157" i="2210" s="1"/>
  <c r="T127" i="2210"/>
  <c r="U78" i="2210"/>
  <c r="U120" i="2210"/>
  <c r="U126" i="2210"/>
  <c r="U174" i="2210"/>
  <c r="D34" i="2210"/>
  <c r="E127" i="2210"/>
  <c r="E157" i="2210" s="1"/>
  <c r="M127" i="2210"/>
  <c r="U50" i="2210"/>
  <c r="U55" i="2210"/>
  <c r="U151" i="2210"/>
  <c r="U156" i="2210" s="1"/>
  <c r="U175" i="2210"/>
  <c r="G175" i="2210"/>
  <c r="O175" i="2210"/>
  <c r="P157" i="2210"/>
  <c r="P158" i="2210" s="1"/>
  <c r="P176" i="2210" s="1"/>
  <c r="K158" i="2210"/>
  <c r="K176" i="2210" s="1"/>
  <c r="U43" i="2210"/>
  <c r="U127" i="2210" s="1"/>
  <c r="U157" i="2210" s="1"/>
  <c r="F157" i="2210"/>
  <c r="U86" i="2210"/>
  <c r="U99" i="2210"/>
  <c r="H156" i="2210"/>
  <c r="H157" i="2210" s="1"/>
  <c r="P156" i="2210"/>
  <c r="H175" i="2210"/>
  <c r="P175" i="2210"/>
  <c r="G127" i="2210"/>
  <c r="G157" i="2210" s="1"/>
  <c r="G158" i="2210" s="1"/>
  <c r="G176" i="2210" s="1"/>
  <c r="O127" i="2210"/>
  <c r="E175" i="2210"/>
  <c r="M175" i="2210"/>
  <c r="T175" i="2210"/>
  <c r="T157" i="2210"/>
  <c r="F175" i="2210"/>
  <c r="N175" i="2210"/>
  <c r="U33" i="2210"/>
  <c r="D175" i="2210"/>
  <c r="C34" i="2210"/>
  <c r="I175" i="2210"/>
  <c r="Q175" i="2210"/>
  <c r="Q176" i="2210" s="1"/>
  <c r="U34" i="2209"/>
  <c r="H158" i="2209"/>
  <c r="P158" i="2209"/>
  <c r="J158" i="2209"/>
  <c r="U127" i="2209"/>
  <c r="U157" i="2209" s="1"/>
  <c r="I158" i="2209"/>
  <c r="I176" i="2209" s="1"/>
  <c r="O34" i="2209"/>
  <c r="O158" i="2209" s="1"/>
  <c r="O176" i="2209" s="1"/>
  <c r="C34" i="2209"/>
  <c r="C158" i="2209" s="1"/>
  <c r="C176" i="2209" s="1"/>
  <c r="K34" i="2209"/>
  <c r="K158" i="2209" s="1"/>
  <c r="K176" i="2209" s="1"/>
  <c r="S34" i="2209"/>
  <c r="S158" i="2209" s="1"/>
  <c r="S176" i="2209" s="1"/>
  <c r="R34" i="2209"/>
  <c r="R158" i="2209" s="1"/>
  <c r="R176" i="2209" s="1"/>
  <c r="U156" i="2209"/>
  <c r="U175" i="2209"/>
  <c r="J175" i="2209"/>
  <c r="B158" i="2209"/>
  <c r="B176" i="2209" s="1"/>
  <c r="Q158" i="2209"/>
  <c r="Q176" i="2209" s="1"/>
  <c r="T34" i="2209"/>
  <c r="T158" i="2209" s="1"/>
  <c r="T176" i="2209" s="1"/>
  <c r="H175" i="2209"/>
  <c r="P175" i="2209"/>
  <c r="L161" i="2208"/>
  <c r="L179" i="2208" s="1"/>
  <c r="M168" i="2208"/>
  <c r="M33" i="2208"/>
  <c r="C34" i="2208"/>
  <c r="D178" i="2208"/>
  <c r="K169" i="2208"/>
  <c r="M169" i="2208" s="1"/>
  <c r="H36" i="2208"/>
  <c r="H161" i="2208" s="1"/>
  <c r="H179" i="2208" s="1"/>
  <c r="K33" i="2208"/>
  <c r="D34" i="2208"/>
  <c r="M45" i="2208"/>
  <c r="L160" i="2208"/>
  <c r="M80" i="2208"/>
  <c r="F161" i="2208"/>
  <c r="F179" i="2208" s="1"/>
  <c r="I36" i="2208"/>
  <c r="I161" i="2208" s="1"/>
  <c r="I179" i="2208" s="1"/>
  <c r="M174" i="2208"/>
  <c r="G161" i="2208"/>
  <c r="G179" i="2208" s="1"/>
  <c r="K177" i="2208"/>
  <c r="K157" i="2208"/>
  <c r="M157" i="2208" s="1"/>
  <c r="F129" i="2208"/>
  <c r="F160" i="2208" s="1"/>
  <c r="F177" i="2208"/>
  <c r="M32" i="2208"/>
  <c r="K32" i="2208"/>
  <c r="F169" i="2208"/>
  <c r="F178" i="2208" s="1"/>
  <c r="C129" i="2208"/>
  <c r="C177" i="2208"/>
  <c r="D18" i="2208"/>
  <c r="D158" i="2208"/>
  <c r="K158" i="2208" s="1"/>
  <c r="M158" i="2208" s="1"/>
  <c r="B159" i="2212" l="1"/>
  <c r="O35" i="2212"/>
  <c r="O36" i="2212" s="1"/>
  <c r="AC22" i="2212"/>
  <c r="AC34" i="2212" s="1"/>
  <c r="B158" i="2210"/>
  <c r="B176" i="2210" s="1"/>
  <c r="J158" i="2210"/>
  <c r="J176" i="2210" s="1"/>
  <c r="H158" i="2210"/>
  <c r="H176" i="2210" s="1"/>
  <c r="T158" i="2210"/>
  <c r="T176" i="2210" s="1"/>
  <c r="M160" i="2212"/>
  <c r="M178" i="2212" s="1"/>
  <c r="I160" i="2212"/>
  <c r="I178" i="2212" s="1"/>
  <c r="B160" i="2212"/>
  <c r="B178" i="2212" s="1"/>
  <c r="Q160" i="2212"/>
  <c r="Q178" i="2212" s="1"/>
  <c r="E160" i="2212"/>
  <c r="E178" i="2212" s="1"/>
  <c r="AC41" i="2212"/>
  <c r="AC45" i="2212" s="1"/>
  <c r="AC129" i="2212" s="1"/>
  <c r="AC167" i="2212"/>
  <c r="AC168" i="2212" s="1"/>
  <c r="AC96" i="2212"/>
  <c r="N159" i="2212"/>
  <c r="O158" i="2212"/>
  <c r="AA32" i="2212"/>
  <c r="AA33" i="2212"/>
  <c r="AA35" i="2212" s="1"/>
  <c r="AA36" i="2212" s="1"/>
  <c r="S160" i="2212"/>
  <c r="S178" i="2212" s="1"/>
  <c r="N160" i="2212"/>
  <c r="N178" i="2212" s="1"/>
  <c r="F178" i="2212"/>
  <c r="Z177" i="2212"/>
  <c r="L160" i="2212"/>
  <c r="L178" i="2212" s="1"/>
  <c r="K178" i="2212"/>
  <c r="AC61" i="2212"/>
  <c r="AA167" i="2212"/>
  <c r="AA168" i="2212" s="1"/>
  <c r="AA177" i="2212" s="1"/>
  <c r="AC150" i="2212"/>
  <c r="AC153" i="2212" s="1"/>
  <c r="C159" i="2212"/>
  <c r="C160" i="2212" s="1"/>
  <c r="C178" i="2212" s="1"/>
  <c r="AC74" i="2212"/>
  <c r="Y160" i="2212"/>
  <c r="Y178" i="2212" s="1"/>
  <c r="AA57" i="2212"/>
  <c r="L159" i="2212"/>
  <c r="AC157" i="2212"/>
  <c r="AA176" i="2212"/>
  <c r="Z129" i="2212"/>
  <c r="Z159" i="2212" s="1"/>
  <c r="AC57" i="2212"/>
  <c r="AA157" i="2212"/>
  <c r="AA158" i="2212" s="1"/>
  <c r="AC125" i="2212"/>
  <c r="AC128" i="2212" s="1"/>
  <c r="Z36" i="2212"/>
  <c r="O129" i="2212"/>
  <c r="O159" i="2212" s="1"/>
  <c r="O160" i="2212" s="1"/>
  <c r="O178" i="2212" s="1"/>
  <c r="T129" i="2212"/>
  <c r="T159" i="2212" s="1"/>
  <c r="R160" i="2212"/>
  <c r="R178" i="2212" s="1"/>
  <c r="AC33" i="2212"/>
  <c r="U178" i="2212"/>
  <c r="P160" i="2212"/>
  <c r="P178" i="2212" s="1"/>
  <c r="J129" i="2212"/>
  <c r="J159" i="2212" s="1"/>
  <c r="J160" i="2212" s="1"/>
  <c r="J178" i="2212" s="1"/>
  <c r="AC17" i="2212"/>
  <c r="AC18" i="2212" s="1"/>
  <c r="AC32" i="2212"/>
  <c r="AA72" i="2212"/>
  <c r="W160" i="2212"/>
  <c r="W178" i="2212" s="1"/>
  <c r="AC82" i="2212"/>
  <c r="AC88" i="2212" s="1"/>
  <c r="X178" i="2212"/>
  <c r="G160" i="2212"/>
  <c r="G178" i="2212" s="1"/>
  <c r="AC52" i="2212"/>
  <c r="T36" i="2212"/>
  <c r="AA104" i="2212"/>
  <c r="AA129" i="2212" s="1"/>
  <c r="AA159" i="2212" s="1"/>
  <c r="AC103" i="2212"/>
  <c r="AC104" i="2212" s="1"/>
  <c r="H160" i="2212"/>
  <c r="H178" i="2212" s="1"/>
  <c r="AC172" i="2212"/>
  <c r="AC173" i="2212" s="1"/>
  <c r="AC170" i="2212"/>
  <c r="AC131" i="2212"/>
  <c r="AC106" i="2212"/>
  <c r="AC107" i="2212" s="1"/>
  <c r="AC101" i="2212"/>
  <c r="AC122" i="2212"/>
  <c r="AC80" i="2212"/>
  <c r="AC72" i="2212"/>
  <c r="Z160" i="2211"/>
  <c r="Z178" i="2211" s="1"/>
  <c r="T160" i="2211"/>
  <c r="T178" i="2211" s="1"/>
  <c r="AA34" i="2211"/>
  <c r="AA35" i="2211" s="1"/>
  <c r="AC106" i="2211"/>
  <c r="AC107" i="2211" s="1"/>
  <c r="AA52" i="2211"/>
  <c r="AC101" i="2211"/>
  <c r="I178" i="2211"/>
  <c r="O160" i="2211"/>
  <c r="O178" i="2211" s="1"/>
  <c r="AA80" i="2211"/>
  <c r="AC74" i="2211"/>
  <c r="AC80" i="2211" s="1"/>
  <c r="AC52" i="2211"/>
  <c r="AC170" i="2211"/>
  <c r="AC176" i="2211" s="1"/>
  <c r="AA176" i="2211"/>
  <c r="AA122" i="2211"/>
  <c r="AC131" i="2211"/>
  <c r="AC158" i="2211" s="1"/>
  <c r="AA177" i="2211"/>
  <c r="AC45" i="2211"/>
  <c r="AC64" i="2211"/>
  <c r="AC72" i="2211" s="1"/>
  <c r="AC177" i="2211"/>
  <c r="AC157" i="2211"/>
  <c r="AA45" i="2211"/>
  <c r="AC54" i="2211"/>
  <c r="AC57" i="2211" s="1"/>
  <c r="AA57" i="2211"/>
  <c r="AA129" i="2211"/>
  <c r="AA36" i="2211"/>
  <c r="G159" i="2211"/>
  <c r="G160" i="2211" s="1"/>
  <c r="G178" i="2211" s="1"/>
  <c r="AA157" i="2211"/>
  <c r="AA158" i="2211" s="1"/>
  <c r="AC150" i="2211"/>
  <c r="AC153" i="2211" s="1"/>
  <c r="AC39" i="2211"/>
  <c r="AA101" i="2211"/>
  <c r="AC22" i="2211"/>
  <c r="AC34" i="2211" s="1"/>
  <c r="AC35" i="2211" s="1"/>
  <c r="AC36" i="2211" s="1"/>
  <c r="R158" i="2210"/>
  <c r="R176" i="2210" s="1"/>
  <c r="M157" i="2210"/>
  <c r="M158" i="2210"/>
  <c r="M176" i="2210" s="1"/>
  <c r="L158" i="2210"/>
  <c r="L176" i="2210" s="1"/>
  <c r="D158" i="2210"/>
  <c r="D176" i="2210" s="1"/>
  <c r="E158" i="2210"/>
  <c r="E176" i="2210" s="1"/>
  <c r="O157" i="2210"/>
  <c r="O158" i="2210" s="1"/>
  <c r="O176" i="2210" s="1"/>
  <c r="F158" i="2210"/>
  <c r="F176" i="2210" s="1"/>
  <c r="U34" i="2210"/>
  <c r="U158" i="2210" s="1"/>
  <c r="U176" i="2210" s="1"/>
  <c r="C158" i="2210"/>
  <c r="C176" i="2210" s="1"/>
  <c r="I158" i="2210"/>
  <c r="I176" i="2210" s="1"/>
  <c r="P176" i="2209"/>
  <c r="J176" i="2209"/>
  <c r="H176" i="2209"/>
  <c r="U158" i="2209"/>
  <c r="U176" i="2209" s="1"/>
  <c r="C160" i="2208"/>
  <c r="K178" i="2208"/>
  <c r="C35" i="2208"/>
  <c r="D160" i="2208"/>
  <c r="K160" i="2208" s="1"/>
  <c r="D35" i="2208"/>
  <c r="K35" i="2208" s="1"/>
  <c r="K34" i="2208"/>
  <c r="M34" i="2208" s="1"/>
  <c r="K18" i="2208"/>
  <c r="M18" i="2208" s="1"/>
  <c r="K129" i="2208"/>
  <c r="M129" i="2208" s="1"/>
  <c r="M177" i="2208"/>
  <c r="C178" i="2208"/>
  <c r="M178" i="2208" s="1"/>
  <c r="AC35" i="2212" l="1"/>
  <c r="AC36" i="2212"/>
  <c r="Z160" i="2212"/>
  <c r="Z178" i="2212" s="1"/>
  <c r="AC158" i="2212"/>
  <c r="AC159" i="2212" s="1"/>
  <c r="AC160" i="2212" s="1"/>
  <c r="T160" i="2212"/>
  <c r="T178" i="2212" s="1"/>
  <c r="AA160" i="2212"/>
  <c r="AA178" i="2212" s="1"/>
  <c r="AC176" i="2212"/>
  <c r="AC177" i="2212" s="1"/>
  <c r="AA159" i="2211"/>
  <c r="AA160" i="2211" s="1"/>
  <c r="AA178" i="2211" s="1"/>
  <c r="AC129" i="2211"/>
  <c r="AC159" i="2211" s="1"/>
  <c r="AC160" i="2211" s="1"/>
  <c r="AC178" i="2211" s="1"/>
  <c r="M35" i="2208"/>
  <c r="C36" i="2208"/>
  <c r="D36" i="2208"/>
  <c r="M160" i="2208"/>
  <c r="AC178" i="2212" l="1"/>
  <c r="C161" i="2208"/>
  <c r="D161" i="2208"/>
  <c r="K36" i="2208"/>
  <c r="M36" i="2208" s="1"/>
  <c r="D179" i="2208" l="1"/>
  <c r="K179" i="2208" s="1"/>
  <c r="K161" i="2208"/>
  <c r="M161" i="2208"/>
  <c r="C179" i="2208"/>
  <c r="M179" i="2208" s="1"/>
</calcChain>
</file>

<file path=xl/sharedStrings.xml><?xml version="1.0" encoding="utf-8"?>
<sst xmlns="http://schemas.openxmlformats.org/spreadsheetml/2006/main" count="3108" uniqueCount="364">
  <si>
    <t>Intrepid Spirits Limited</t>
  </si>
  <si>
    <t>Parent Company : Intrepid Spirits Holdings Inc (Consolidated)</t>
  </si>
  <si>
    <t/>
  </si>
  <si>
    <t>Financial Row</t>
  </si>
  <si>
    <t>Type</t>
  </si>
  <si>
    <t>Date</t>
  </si>
  <si>
    <t>Document Number</t>
  </si>
  <si>
    <t>Name</t>
  </si>
  <si>
    <t>Clr</t>
  </si>
  <si>
    <t>Split</t>
  </si>
  <si>
    <t>Amount</t>
  </si>
  <si>
    <t>Region (GL)</t>
  </si>
  <si>
    <t>Brand</t>
  </si>
  <si>
    <t>Ordinary Income/Expense</t>
  </si>
  <si>
    <t>Cost Of Sales</t>
  </si>
  <si>
    <t>50000 - - COST OF GOODS SOLD -</t>
  </si>
  <si>
    <t>50010 - Cost of Goods Sold</t>
  </si>
  <si>
    <t>Item Fulfillment</t>
  </si>
  <si>
    <t>F</t>
  </si>
  <si>
    <t>United Kingdom</t>
  </si>
  <si>
    <t>Egan's</t>
  </si>
  <si>
    <t>Rest Of World/Global</t>
  </si>
  <si>
    <t>Fuba</t>
  </si>
  <si>
    <t>Ireland</t>
  </si>
  <si>
    <t>Regal Rogue</t>
  </si>
  <si>
    <t>Pusser's</t>
  </si>
  <si>
    <t>Cocalero</t>
  </si>
  <si>
    <t>Europe</t>
  </si>
  <si>
    <t>Plantation</t>
  </si>
  <si>
    <t>Michter's</t>
  </si>
  <si>
    <t>-</t>
  </si>
  <si>
    <t>Mad March Hare</t>
  </si>
  <si>
    <t>Canada</t>
  </si>
  <si>
    <t>Los Javis</t>
  </si>
  <si>
    <t>Latam</t>
  </si>
  <si>
    <t>Japan</t>
  </si>
  <si>
    <t>United States</t>
  </si>
  <si>
    <t>Kyro</t>
  </si>
  <si>
    <t>Australia</t>
  </si>
  <si>
    <t>Germany</t>
  </si>
  <si>
    <t>Intrepid Japan</t>
  </si>
  <si>
    <t>Merlet</t>
  </si>
  <si>
    <t>Nigeria</t>
  </si>
  <si>
    <t>Total - 50000 - - COST OF GOODS SOLD -</t>
  </si>
  <si>
    <t>Total - Cost Of Sales</t>
  </si>
  <si>
    <t>Gross Profit</t>
  </si>
  <si>
    <t>Net Ordinary Income</t>
  </si>
  <si>
    <t>Net Income</t>
  </si>
  <si>
    <t>Profit and Loss</t>
  </si>
  <si>
    <t> </t>
  </si>
  <si>
    <t>Intrepid Spirits Holdings Inc</t>
  </si>
  <si>
    <t>Total</t>
  </si>
  <si>
    <t>Cocalero Productions Limited</t>
  </si>
  <si>
    <t>Intrepid Australia Ltd</t>
  </si>
  <si>
    <t>Intrepid Spirits USA Inc</t>
  </si>
  <si>
    <t>Adjustment</t>
  </si>
  <si>
    <t>Income</t>
  </si>
  <si>
    <t>40000 - - SALES -</t>
  </si>
  <si>
    <t>40010 - Sales</t>
  </si>
  <si>
    <t>40030 - Sales Point of Sale</t>
  </si>
  <si>
    <t>40050 - Shipping and Handling</t>
  </si>
  <si>
    <t>40100 - Other Revenue</t>
  </si>
  <si>
    <t>Total - 40000 - - SALES -</t>
  </si>
  <si>
    <t>Total - Income</t>
  </si>
  <si>
    <t>50020 - Stock Wastage</t>
  </si>
  <si>
    <t>50030 - Cost of Goods Sold PoS</t>
  </si>
  <si>
    <t>50050 - Stock Adjustment</t>
  </si>
  <si>
    <t>51000 - - LANDED COST -</t>
  </si>
  <si>
    <t>51200 - Inbound Freight</t>
  </si>
  <si>
    <t>Total - 51000 - - LANDED COST -</t>
  </si>
  <si>
    <t>Expense</t>
  </si>
  <si>
    <t>60000 - - GENERAL ADMIN EXPENSES -</t>
  </si>
  <si>
    <t>60001 - Unclassified Expenses</t>
  </si>
  <si>
    <t>60100 - - PAYROLL COSTS -</t>
  </si>
  <si>
    <t>60110 - Wages and Salaries</t>
  </si>
  <si>
    <t>60120 - Salaries - Management</t>
  </si>
  <si>
    <t>60130 - Labor Insurance</t>
  </si>
  <si>
    <t>60140 - Employer Pension Expenses</t>
  </si>
  <si>
    <t>Total - 60100 - - PAYROLL COSTS -</t>
  </si>
  <si>
    <t>60500 - - EMPLOYMENT COSTS -</t>
  </si>
  <si>
    <t>60510 - Staff Welfare</t>
  </si>
  <si>
    <t>60520 - Employee Health Insurance</t>
  </si>
  <si>
    <t>60540 - Bike to Work</t>
  </si>
  <si>
    <t>Total - 60500 - - EMPLOYMENT COSTS -</t>
  </si>
  <si>
    <t>61000 - - RENT &amp; RATES -</t>
  </si>
  <si>
    <t>61010 - Rent</t>
  </si>
  <si>
    <t>61020 - Rates</t>
  </si>
  <si>
    <t>61030 - Storage Fees</t>
  </si>
  <si>
    <t>Total - 61000 - - RENT &amp; RATES -</t>
  </si>
  <si>
    <t>61100 - - BUILDING COSTS -</t>
  </si>
  <si>
    <t>61130 - Repairs &amp; Maintenance</t>
  </si>
  <si>
    <t>Total - 61100 - - BUILDING COSTS -</t>
  </si>
  <si>
    <t>61200 - - TRAVEL COSTS -</t>
  </si>
  <si>
    <t>61210 - General Travel - Taxis/Public Transport</t>
  </si>
  <si>
    <t>61220 - General Travel - Hotels</t>
  </si>
  <si>
    <t>61230 - General Travel - Flights</t>
  </si>
  <si>
    <t>61240 - General Travel - Subsistance</t>
  </si>
  <si>
    <t>61260 - Car Rental</t>
  </si>
  <si>
    <t>61270 - Car Lease</t>
  </si>
  <si>
    <t>61280 - General Travel - Fuel</t>
  </si>
  <si>
    <t>61290 - Motor Vehicle Expenses</t>
  </si>
  <si>
    <t>Total - 61200 - - TRAVEL COSTS -</t>
  </si>
  <si>
    <t>61300 - - PROFESSIONAL FEES -</t>
  </si>
  <si>
    <t>61310 - Legal Expenses</t>
  </si>
  <si>
    <t>61315 - Trademark Expenses</t>
  </si>
  <si>
    <t>61320 - Consultancy Fees</t>
  </si>
  <si>
    <t>61330 - Accountancy Fees</t>
  </si>
  <si>
    <t>61340 - Consultant - Directors</t>
  </si>
  <si>
    <t>Total - 61300 - - PROFESSIONAL FEES -</t>
  </si>
  <si>
    <t>61400 - - OFFICE EXPENSES -</t>
  </si>
  <si>
    <t>61410 - Telephone &amp; Internet</t>
  </si>
  <si>
    <t>61420 - Printing &amp; Stationary</t>
  </si>
  <si>
    <t>61430 - Postage</t>
  </si>
  <si>
    <t>61440 - Software Expenses</t>
  </si>
  <si>
    <t>61450 - Office Courier</t>
  </si>
  <si>
    <t>Total - 61400 - - OFFICE EXPENSES -</t>
  </si>
  <si>
    <t>61500 - - GENERAL EXPENSES -</t>
  </si>
  <si>
    <t>61510 - Insurance</t>
  </si>
  <si>
    <t>61520 - Credit Insurance</t>
  </si>
  <si>
    <t>61525 - Provision for RR Incentive</t>
  </si>
  <si>
    <t>61530 - Subscriptions</t>
  </si>
  <si>
    <t>61535 - Meeting</t>
  </si>
  <si>
    <t>61540 - Licence Fee</t>
  </si>
  <si>
    <t>61550 - General Expenses</t>
  </si>
  <si>
    <t>61570 - Donations/Charity</t>
  </si>
  <si>
    <t>61595 - General Write Off</t>
  </si>
  <si>
    <t>Total - 61500 - - GENERAL EXPENSES -</t>
  </si>
  <si>
    <t>61600 - - DEPRECIATION -</t>
  </si>
  <si>
    <t>Total - 61600 - - DEPRECIATION -</t>
  </si>
  <si>
    <t>62000 - - SELLING &amp; DISTRIBUTION COSTS -</t>
  </si>
  <si>
    <t>62010 - Warehousing Fees</t>
  </si>
  <si>
    <t>62030 - Freight &amp; Courier</t>
  </si>
  <si>
    <t>62050 - Customs Fees</t>
  </si>
  <si>
    <t>62070 - State Tax</t>
  </si>
  <si>
    <t>62080 - Sales Commission</t>
  </si>
  <si>
    <t>62100 - Duty</t>
  </si>
  <si>
    <t>62120 - Sales Person AUS</t>
  </si>
  <si>
    <t>62140 - Sales Person EUR</t>
  </si>
  <si>
    <t>62150 - Sales Person CAN</t>
  </si>
  <si>
    <t>Total - 62000 - - SELLING &amp; DISTRIBUTION COSTS -</t>
  </si>
  <si>
    <t>63000 - - BANK CHARGES -</t>
  </si>
  <si>
    <t>63010 - Bank Fees</t>
  </si>
  <si>
    <t>63020 - Bank Interest</t>
  </si>
  <si>
    <t>63030 - Finance Charges</t>
  </si>
  <si>
    <t>63050 - Realised Currency Gains/Losses</t>
  </si>
  <si>
    <t>Total - 63000 - - BANK CHARGES -</t>
  </si>
  <si>
    <t>Total - 60000 - - GENERAL ADMIN EXPENSES -</t>
  </si>
  <si>
    <t>65000 - - MARKETING -</t>
  </si>
  <si>
    <t>65020 - Promotional Events</t>
  </si>
  <si>
    <t>65030 - Marketing - Trade Shows</t>
  </si>
  <si>
    <t>65060 - Sampling Costs</t>
  </si>
  <si>
    <t>65100 - Advertising</t>
  </si>
  <si>
    <t>65105 - E-commerce Discounts</t>
  </si>
  <si>
    <t>65110 - E-commerce Advertising</t>
  </si>
  <si>
    <t>65115 - E-commerce web hosting</t>
  </si>
  <si>
    <t>65120 - Social Media Costs</t>
  </si>
  <si>
    <t>65125 - Email Marketing</t>
  </si>
  <si>
    <t>65130 - Public Relations</t>
  </si>
  <si>
    <t>65135 - Agency Fees</t>
  </si>
  <si>
    <t>65140 - General Marketing</t>
  </si>
  <si>
    <t>65150 - Marketing Consultancy</t>
  </si>
  <si>
    <t>65200 - Entertainment - Marketing</t>
  </si>
  <si>
    <t>65500 - -BRANDING -</t>
  </si>
  <si>
    <t>65510 - Branding &amp; Design Costs</t>
  </si>
  <si>
    <t>Total - 65500 - -BRANDING -</t>
  </si>
  <si>
    <t>66000 - - AMP COSTS -</t>
  </si>
  <si>
    <t>66010 - AMP Accrual</t>
  </si>
  <si>
    <t>66020 - AMP Expenditure</t>
  </si>
  <si>
    <t>Total - 66000 - - AMP COSTS -</t>
  </si>
  <si>
    <t>Total - 65000 - - MARKETING -</t>
  </si>
  <si>
    <t>Goodwill Impairment</t>
  </si>
  <si>
    <t>Total - Expense</t>
  </si>
  <si>
    <t>Other Income and Expenses</t>
  </si>
  <si>
    <t>Other Income</t>
  </si>
  <si>
    <t>80000 - - OTHER INCOME -</t>
  </si>
  <si>
    <t>80010 - Interest Income</t>
  </si>
  <si>
    <t>80015 - Exchange Gain</t>
  </si>
  <si>
    <t>Total - 80000 - - OTHER INCOME -</t>
  </si>
  <si>
    <t>Total - Other Income</t>
  </si>
  <si>
    <t>Other Expense</t>
  </si>
  <si>
    <t>63060 - Exchange Loss</t>
  </si>
  <si>
    <t>70000 - - TAX -</t>
  </si>
  <si>
    <t>70100 - Corporation Tax</t>
  </si>
  <si>
    <t>Total - 70000 - - TAX -</t>
  </si>
  <si>
    <t>Rounding Gain/Loss</t>
  </si>
  <si>
    <t>Realized Gain/Loss</t>
  </si>
  <si>
    <t>Total - Other Expense</t>
  </si>
  <si>
    <t>Net Other Income</t>
  </si>
  <si>
    <t>- Unassigned -</t>
  </si>
  <si>
    <t>D1</t>
  </si>
  <si>
    <t>Other</t>
  </si>
  <si>
    <t>APAC</t>
  </si>
  <si>
    <t>Americas</t>
  </si>
  <si>
    <t>EMEA</t>
  </si>
  <si>
    <t>China</t>
  </si>
  <si>
    <t>Africa</t>
  </si>
  <si>
    <t>Invoice</t>
  </si>
  <si>
    <t>11110 - - INTERCOMPANY ACCOUNTS RECEIVABLE - : Intercompany Accounts Receivable</t>
  </si>
  <si>
    <t>Account</t>
  </si>
  <si>
    <t>From Jan 2022 to Aug 2022</t>
  </si>
  <si>
    <t>La Republica</t>
  </si>
  <si>
    <t>Caleno</t>
  </si>
  <si>
    <t>Ban Poitin</t>
  </si>
  <si>
    <t>Full Bore</t>
  </si>
  <si>
    <t>IF01856</t>
  </si>
  <si>
    <t>Korea</t>
  </si>
  <si>
    <t>IF01916</t>
  </si>
  <si>
    <t>IF01973</t>
  </si>
  <si>
    <t>Item Receipt</t>
  </si>
  <si>
    <t>India</t>
  </si>
  <si>
    <t>IF02110</t>
  </si>
  <si>
    <t>IF02109</t>
  </si>
  <si>
    <t>IF02142</t>
  </si>
  <si>
    <t>IF02182</t>
  </si>
  <si>
    <t>IF02190</t>
  </si>
  <si>
    <t>IF02188</t>
  </si>
  <si>
    <t>IF02192</t>
  </si>
  <si>
    <t>IF02196</t>
  </si>
  <si>
    <t>IF02210</t>
  </si>
  <si>
    <t>IF02209</t>
  </si>
  <si>
    <t>IF02211</t>
  </si>
  <si>
    <t>IF02213</t>
  </si>
  <si>
    <t>IF02214</t>
  </si>
  <si>
    <t>IF02216</t>
  </si>
  <si>
    <t>IF02218</t>
  </si>
  <si>
    <t>IF02215</t>
  </si>
  <si>
    <t>IF02217</t>
  </si>
  <si>
    <t>IF02220</t>
  </si>
  <si>
    <t>IF02225</t>
  </si>
  <si>
    <t>IF02251</t>
  </si>
  <si>
    <t>IF02246</t>
  </si>
  <si>
    <t>IF02253</t>
  </si>
  <si>
    <t>IF02270</t>
  </si>
  <si>
    <t>IF02267</t>
  </si>
  <si>
    <t>IF02262</t>
  </si>
  <si>
    <t>IF02263</t>
  </si>
  <si>
    <t>South Africa</t>
  </si>
  <si>
    <t>IF02276</t>
  </si>
  <si>
    <t>IF02289</t>
  </si>
  <si>
    <t>Little &amp; Green</t>
  </si>
  <si>
    <t>IF02296</t>
  </si>
  <si>
    <t>IF02318</t>
  </si>
  <si>
    <t>IF02314</t>
  </si>
  <si>
    <t>IF02353</t>
  </si>
  <si>
    <t>IF02351</t>
  </si>
  <si>
    <t>IF02354</t>
  </si>
  <si>
    <t>IF02347</t>
  </si>
  <si>
    <t>IF02345</t>
  </si>
  <si>
    <t>IR01191</t>
  </si>
  <si>
    <t>22100 - - OTHER CURRENT LIABILITIES - : Accrued Purchases</t>
  </si>
  <si>
    <t>IR01192</t>
  </si>
  <si>
    <t>IF02376</t>
  </si>
  <si>
    <t>IF02388</t>
  </si>
  <si>
    <t>IF02386</t>
  </si>
  <si>
    <t>IF02392</t>
  </si>
  <si>
    <t>IF02383</t>
  </si>
  <si>
    <t>IF02390</t>
  </si>
  <si>
    <t>IF02403</t>
  </si>
  <si>
    <t>IF02409</t>
  </si>
  <si>
    <t>IF02411</t>
  </si>
  <si>
    <t>IF02417</t>
  </si>
  <si>
    <t>IF02416</t>
  </si>
  <si>
    <t>IF02415</t>
  </si>
  <si>
    <t>IF02427</t>
  </si>
  <si>
    <t>IF02447</t>
  </si>
  <si>
    <t>IF02445</t>
  </si>
  <si>
    <t>IF02456</t>
  </si>
  <si>
    <t>IF02454</t>
  </si>
  <si>
    <t>Intrepid Spirits Ireland Ltd.</t>
  </si>
  <si>
    <t>Cocalero International HK Limited</t>
  </si>
  <si>
    <t>51100 - Customs Fees</t>
  </si>
  <si>
    <t>51400 - Import Consumption Tax</t>
  </si>
  <si>
    <t>51410 - Import National Consumption Tax</t>
  </si>
  <si>
    <t>51420 - Import Local Consumption Tax</t>
  </si>
  <si>
    <t>Total - 51400 - Import Consumption Tax</t>
  </si>
  <si>
    <t>60550 - Staff Relocation</t>
  </si>
  <si>
    <t>60560 - Visa Sponsorship</t>
  </si>
  <si>
    <t>61110 - Light, Power, Heating</t>
  </si>
  <si>
    <t>61285 - Entertainment - Travel</t>
  </si>
  <si>
    <t>61325 - Company Secretary Fees</t>
  </si>
  <si>
    <t>61490 - Cleaning</t>
  </si>
  <si>
    <t>61545 - Commission Fees</t>
  </si>
  <si>
    <t>61560 - Sundry Taxes</t>
  </si>
  <si>
    <t>61620 - Depreciation - Computer Equipment</t>
  </si>
  <si>
    <t>61700 - - RESEARCH &amp; DEVELOPMENT -</t>
  </si>
  <si>
    <t>61710 - R&amp;D Costs</t>
  </si>
  <si>
    <t>Total - 61700 - - RESEARCH &amp; DEVELOPMENT -</t>
  </si>
  <si>
    <t>62040 - Broker Fees</t>
  </si>
  <si>
    <t>62110 - VAT</t>
  </si>
  <si>
    <t>62115 - Entertainment - Sales &amp; Distribution</t>
  </si>
  <si>
    <t>62130 - Sales Person SA</t>
  </si>
  <si>
    <t>65050 - Billbacks</t>
  </si>
  <si>
    <t>65090 - Brand Sponsorship</t>
  </si>
  <si>
    <t>65145 - Photography/Video Content</t>
  </si>
  <si>
    <t>65160 - Web Management</t>
  </si>
  <si>
    <t>65530 - Label Development Costs</t>
  </si>
  <si>
    <t>65550 - PoS Design</t>
  </si>
  <si>
    <t>80005 - Other Income</t>
  </si>
  <si>
    <t>Hong Kong</t>
  </si>
  <si>
    <t>Northern Ireland</t>
  </si>
  <si>
    <t>INV11373</t>
  </si>
  <si>
    <t>INV11374</t>
  </si>
  <si>
    <t>INV11431</t>
  </si>
  <si>
    <t>INV12065</t>
  </si>
  <si>
    <t>INV11559</t>
  </si>
  <si>
    <t>INV11527</t>
  </si>
  <si>
    <t>INV11566</t>
  </si>
  <si>
    <t>INV12066</t>
  </si>
  <si>
    <t>INV11645</t>
  </si>
  <si>
    <t>INV11687</t>
  </si>
  <si>
    <t>INV12067</t>
  </si>
  <si>
    <t>INV11764</t>
  </si>
  <si>
    <t>INV11773</t>
  </si>
  <si>
    <t>INV11774</t>
  </si>
  <si>
    <t>INV11777</t>
  </si>
  <si>
    <t>INV11775</t>
  </si>
  <si>
    <t>INV11793</t>
  </si>
  <si>
    <t>INV11789</t>
  </si>
  <si>
    <t>INV11795</t>
  </si>
  <si>
    <t>INV11796</t>
  </si>
  <si>
    <t>INV11788</t>
  </si>
  <si>
    <t>INV11790</t>
  </si>
  <si>
    <t>INV11797</t>
  </si>
  <si>
    <t>INV11792</t>
  </si>
  <si>
    <t>INV11794</t>
  </si>
  <si>
    <t>INV11798</t>
  </si>
  <si>
    <t>INV11802</t>
  </si>
  <si>
    <t>INV11821</t>
  </si>
  <si>
    <t>INV11820</t>
  </si>
  <si>
    <t>INV11816</t>
  </si>
  <si>
    <t>INV11823</t>
  </si>
  <si>
    <t>INV11828</t>
  </si>
  <si>
    <t>INV11830</t>
  </si>
  <si>
    <t>INV11829</t>
  </si>
  <si>
    <t>INV11836</t>
  </si>
  <si>
    <t>INV11844</t>
  </si>
  <si>
    <t>INV11852</t>
  </si>
  <si>
    <t>INV11867</t>
  </si>
  <si>
    <t>INV11868</t>
  </si>
  <si>
    <t>INV11874</t>
  </si>
  <si>
    <t>INV12068</t>
  </si>
  <si>
    <t>INV11912</t>
  </si>
  <si>
    <t>INV11914</t>
  </si>
  <si>
    <t>INV11915</t>
  </si>
  <si>
    <t>INV11916</t>
  </si>
  <si>
    <t>INV11926</t>
  </si>
  <si>
    <t>INV11942</t>
  </si>
  <si>
    <t>INV11943</t>
  </si>
  <si>
    <t>INV11939</t>
  </si>
  <si>
    <t>INV11944</t>
  </si>
  <si>
    <t>INV11940</t>
  </si>
  <si>
    <t>INV11954</t>
  </si>
  <si>
    <t>INV11962</t>
  </si>
  <si>
    <t>INV11961</t>
  </si>
  <si>
    <t>INV11965</t>
  </si>
  <si>
    <t>INV11964</t>
  </si>
  <si>
    <t>INV11963</t>
  </si>
  <si>
    <t>INV11975</t>
  </si>
  <si>
    <t>INV11986</t>
  </si>
  <si>
    <t>INV11988</t>
  </si>
  <si>
    <t>INV11992</t>
  </si>
  <si>
    <t>INV11991</t>
  </si>
  <si>
    <t>INV12070</t>
  </si>
  <si>
    <t>INV12071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</si>
</sst>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_);\(&quot;$&quot;#,##0.00\)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Arial"/>
      <family val="2"/>
    </font>
    <font>
      <sz val="8"/>
      <name val="Arial"/>
    </font>
    <font>
      <b/>
      <sz val="12"/>
      <name val="Arial"/>
      <family val="2"/>
    </font>
    <font>
      <b/>
      <sz val="14"/>
      <name val="Arial"/>
      <family val="2"/>
    </font>
    <font>
      <b/>
      <sz val="7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2"/>
      <name val="Arial"/>
    </font>
    <font>
      <b/>
      <sz val="14"/>
      <name val="Arial"/>
    </font>
    <font>
      <b/>
      <sz val="7"/>
      <name val="Arial"/>
    </font>
    <font>
      <b/>
      <sz val="8"/>
      <color indexed="8"/>
      <name val="Arial"/>
    </font>
    <font>
      <sz val="8"/>
      <color indexed="8"/>
      <name val="Arial"/>
    </font>
  </fonts>
  <fills count="4">
    <fill>
      <patternFill patternType="none"/>
    </fill>
    <fill>
      <patternFill patternType="gray125"/>
    </fill>
    <fill>
      <patternFill patternType="solid">
        <fgColor rgb="FFD0D0D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dotted">
        <color rgb="FFC0C0C0"/>
      </top>
      <bottom/>
      <diagonal/>
    </border>
    <border>
      <left/>
      <right/>
      <top style="dotted">
        <color rgb="FF96969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3" fillId="0" borderId="0"/>
  </cellStyleXfs>
  <cellXfs count="68">
    <xf numFmtId="0" fontId="0" fillId="0" borderId="0" xfId="0"/>
    <xf numFmtId="0" fontId="1" fillId="0" borderId="0" xfId="1"/>
    <xf numFmtId="0" fontId="6" fillId="2" borderId="3" xfId="1" applyFont="1" applyFill="1" applyBorder="1" applyAlignment="1">
      <alignment horizontal="left"/>
    </xf>
    <xf numFmtId="0" fontId="6" fillId="3" borderId="3" xfId="1" applyFont="1" applyFill="1" applyBorder="1" applyAlignment="1">
      <alignment horizontal="right"/>
    </xf>
    <xf numFmtId="0" fontId="7" fillId="0" borderId="0" xfId="1" applyFont="1" applyAlignment="1">
      <alignment horizontal="left" vertical="center"/>
    </xf>
    <xf numFmtId="164" fontId="7" fillId="0" borderId="0" xfId="1" applyNumberFormat="1" applyFont="1" applyAlignment="1">
      <alignment horizontal="right" vertical="center"/>
    </xf>
    <xf numFmtId="164" fontId="7" fillId="3" borderId="0" xfId="1" applyNumberFormat="1" applyFont="1" applyFill="1" applyAlignment="1">
      <alignment horizontal="right" vertical="center"/>
    </xf>
    <xf numFmtId="0" fontId="7" fillId="0" borderId="0" xfId="1" applyFont="1" applyAlignment="1">
      <alignment horizontal="left" indent="1"/>
    </xf>
    <xf numFmtId="0" fontId="7" fillId="0" borderId="0" xfId="1" applyFont="1" applyAlignment="1">
      <alignment horizontal="left" indent="2"/>
    </xf>
    <xf numFmtId="0" fontId="8" fillId="0" borderId="0" xfId="1" applyFont="1" applyAlignment="1">
      <alignment horizontal="left" indent="3"/>
    </xf>
    <xf numFmtId="164" fontId="8" fillId="0" borderId="0" xfId="1" applyNumberFormat="1" applyFont="1" applyAlignment="1">
      <alignment horizontal="right" vertical="center"/>
    </xf>
    <xf numFmtId="164" fontId="8" fillId="3" borderId="0" xfId="1" applyNumberFormat="1" applyFont="1" applyFill="1" applyAlignment="1">
      <alignment horizontal="right" vertical="center"/>
    </xf>
    <xf numFmtId="0" fontId="7" fillId="0" borderId="1" xfId="1" applyFont="1" applyBorder="1" applyAlignment="1">
      <alignment horizontal="left" indent="2"/>
    </xf>
    <xf numFmtId="164" fontId="7" fillId="0" borderId="1" xfId="1" applyNumberFormat="1" applyFont="1" applyBorder="1" applyAlignment="1">
      <alignment horizontal="right" vertical="center"/>
    </xf>
    <xf numFmtId="164" fontId="7" fillId="3" borderId="1" xfId="1" applyNumberFormat="1" applyFont="1" applyFill="1" applyBorder="1" applyAlignment="1">
      <alignment horizontal="right" vertical="center"/>
    </xf>
    <xf numFmtId="0" fontId="7" fillId="0" borderId="1" xfId="1" applyFont="1" applyBorder="1" applyAlignment="1">
      <alignment horizontal="left" indent="1"/>
    </xf>
    <xf numFmtId="0" fontId="7" fillId="0" borderId="0" xfId="1" applyFont="1" applyAlignment="1">
      <alignment horizontal="left" indent="3"/>
    </xf>
    <xf numFmtId="0" fontId="8" fillId="0" borderId="0" xfId="1" applyFont="1" applyAlignment="1">
      <alignment horizontal="left" indent="4"/>
    </xf>
    <xf numFmtId="0" fontId="7" fillId="0" borderId="0" xfId="1" applyFont="1" applyAlignment="1">
      <alignment horizontal="left" indent="4"/>
    </xf>
    <xf numFmtId="0" fontId="8" fillId="0" borderId="0" xfId="1" applyFont="1" applyAlignment="1">
      <alignment horizontal="left" indent="5"/>
    </xf>
    <xf numFmtId="0" fontId="7" fillId="0" borderId="1" xfId="1" applyFont="1" applyBorder="1" applyAlignment="1">
      <alignment horizontal="left" indent="4"/>
    </xf>
    <xf numFmtId="0" fontId="7" fillId="0" borderId="1" xfId="1" applyFont="1" applyBorder="1" applyAlignment="1">
      <alignment horizontal="left" indent="3"/>
    </xf>
    <xf numFmtId="0" fontId="7" fillId="0" borderId="2" xfId="1" applyFont="1" applyBorder="1" applyAlignment="1">
      <alignment horizontal="left" indent="1"/>
    </xf>
    <xf numFmtId="164" fontId="7" fillId="0" borderId="2" xfId="1" applyNumberFormat="1" applyFont="1" applyBorder="1" applyAlignment="1">
      <alignment horizontal="right" vertical="center"/>
    </xf>
    <xf numFmtId="164" fontId="7" fillId="3" borderId="2" xfId="1" applyNumberFormat="1" applyFont="1" applyFill="1" applyBorder="1" applyAlignment="1">
      <alignment horizontal="right" vertical="center"/>
    </xf>
    <xf numFmtId="0" fontId="7" fillId="0" borderId="2" xfId="1" applyFont="1" applyBorder="1" applyAlignment="1">
      <alignment horizontal="left" vertical="center"/>
    </xf>
    <xf numFmtId="0" fontId="8" fillId="0" borderId="0" xfId="1" applyFont="1" applyAlignment="1">
      <alignment horizontal="left" indent="2"/>
    </xf>
    <xf numFmtId="0" fontId="6" fillId="2" borderId="0" xfId="1" applyFont="1" applyFill="1" applyAlignment="1">
      <alignment horizontal="left"/>
    </xf>
    <xf numFmtId="0" fontId="8" fillId="0" borderId="0" xfId="1" applyFont="1" applyAlignment="1">
      <alignment horizontal="left" vertical="center"/>
    </xf>
    <xf numFmtId="14" fontId="8" fillId="0" borderId="0" xfId="1" applyNumberFormat="1" applyFont="1" applyAlignment="1">
      <alignment horizontal="left" vertical="center"/>
    </xf>
    <xf numFmtId="0" fontId="6" fillId="2" borderId="3" xfId="1" applyFont="1" applyFill="1" applyBorder="1" applyAlignment="1">
      <alignment horizontal="center"/>
    </xf>
    <xf numFmtId="0" fontId="6" fillId="2" borderId="3" xfId="1" applyFont="1" applyFill="1" applyBorder="1" applyAlignment="1">
      <alignment horizontal="right"/>
    </xf>
    <xf numFmtId="0" fontId="6" fillId="2" borderId="0" xfId="1" applyFont="1" applyFill="1" applyAlignment="1">
      <alignment horizontal="right"/>
    </xf>
    <xf numFmtId="0" fontId="3" fillId="0" borderId="0" xfId="3"/>
    <xf numFmtId="0" fontId="11" fillId="2" borderId="0" xfId="3" applyFont="1" applyFill="1" applyAlignment="1">
      <alignment horizontal="left"/>
    </xf>
    <xf numFmtId="0" fontId="11" fillId="2" borderId="0" xfId="3" applyFont="1" applyFill="1" applyAlignment="1">
      <alignment horizontal="right"/>
    </xf>
    <xf numFmtId="0" fontId="12" fillId="0" borderId="0" xfId="3" applyFont="1" applyAlignment="1">
      <alignment horizontal="left" vertical="center"/>
    </xf>
    <xf numFmtId="164" fontId="12" fillId="0" borderId="0" xfId="3" applyNumberFormat="1" applyFont="1" applyAlignment="1">
      <alignment horizontal="right" vertical="center"/>
    </xf>
    <xf numFmtId="0" fontId="12" fillId="0" borderId="0" xfId="3" applyFont="1" applyAlignment="1">
      <alignment horizontal="left" indent="1"/>
    </xf>
    <xf numFmtId="0" fontId="12" fillId="0" borderId="0" xfId="3" applyFont="1" applyAlignment="1">
      <alignment horizontal="left" indent="2"/>
    </xf>
    <xf numFmtId="0" fontId="12" fillId="0" borderId="0" xfId="3" applyFont="1" applyAlignment="1">
      <alignment horizontal="left" indent="3"/>
    </xf>
    <xf numFmtId="0" fontId="13" fillId="0" borderId="0" xfId="3" applyFont="1" applyAlignment="1">
      <alignment horizontal="left" indent="4"/>
    </xf>
    <xf numFmtId="0" fontId="13" fillId="0" borderId="0" xfId="3" applyFont="1" applyAlignment="1">
      <alignment horizontal="left" vertical="center"/>
    </xf>
    <xf numFmtId="14" fontId="13" fillId="0" borderId="0" xfId="3" applyNumberFormat="1" applyFont="1" applyAlignment="1">
      <alignment horizontal="left" vertical="center"/>
    </xf>
    <xf numFmtId="164" fontId="13" fillId="0" borderId="0" xfId="3" applyNumberFormat="1" applyFont="1" applyAlignment="1">
      <alignment horizontal="right" vertical="center"/>
    </xf>
    <xf numFmtId="0" fontId="12" fillId="0" borderId="1" xfId="3" applyFont="1" applyBorder="1" applyAlignment="1">
      <alignment horizontal="left" indent="3"/>
    </xf>
    <xf numFmtId="164" fontId="12" fillId="0" borderId="1" xfId="3" applyNumberFormat="1" applyFont="1" applyBorder="1" applyAlignment="1">
      <alignment horizontal="right" vertical="center"/>
    </xf>
    <xf numFmtId="0" fontId="12" fillId="0" borderId="1" xfId="3" applyFont="1" applyBorder="1" applyAlignment="1">
      <alignment horizontal="left" indent="2"/>
    </xf>
    <xf numFmtId="0" fontId="12" fillId="0" borderId="1" xfId="3" applyFont="1" applyBorder="1" applyAlignment="1">
      <alignment horizontal="left" indent="1"/>
    </xf>
    <xf numFmtId="0" fontId="12" fillId="0" borderId="2" xfId="3" applyFont="1" applyBorder="1" applyAlignment="1">
      <alignment horizontal="left" indent="1"/>
    </xf>
    <xf numFmtId="0" fontId="12" fillId="0" borderId="2" xfId="3" applyFont="1" applyBorder="1" applyAlignment="1">
      <alignment horizontal="left" vertical="center"/>
    </xf>
    <xf numFmtId="164" fontId="12" fillId="0" borderId="2" xfId="3" applyNumberFormat="1" applyFont="1" applyBorder="1" applyAlignment="1">
      <alignment horizontal="right" vertical="center"/>
    </xf>
    <xf numFmtId="0" fontId="13" fillId="0" borderId="0" xfId="3" applyFont="1" applyAlignment="1">
      <alignment horizontal="left" indent="3"/>
    </xf>
    <xf numFmtId="0" fontId="12" fillId="0" borderId="0" xfId="3" applyFont="1" applyAlignment="1">
      <alignment horizontal="left" indent="4"/>
    </xf>
    <xf numFmtId="0" fontId="13" fillId="0" borderId="0" xfId="3" applyFont="1" applyAlignment="1">
      <alignment horizontal="left" indent="5"/>
    </xf>
    <xf numFmtId="0" fontId="12" fillId="0" borderId="1" xfId="3" applyFont="1" applyBorder="1" applyAlignment="1">
      <alignment horizontal="left" indent="4"/>
    </xf>
    <xf numFmtId="0" fontId="13" fillId="0" borderId="0" xfId="3" applyFont="1" applyAlignment="1">
      <alignment horizontal="left" indent="2"/>
    </xf>
    <xf numFmtId="0" fontId="8" fillId="0" borderId="0" xfId="3" applyFont="1" applyAlignment="1">
      <alignment horizontal="left" indent="2"/>
    </xf>
    <xf numFmtId="164" fontId="8" fillId="0" borderId="0" xfId="3" applyNumberFormat="1" applyFont="1" applyAlignment="1">
      <alignment horizontal="right" vertical="center"/>
    </xf>
    <xf numFmtId="164" fontId="13" fillId="3" borderId="0" xfId="3" applyNumberFormat="1" applyFont="1" applyFill="1" applyAlignment="1">
      <alignment horizontal="right" vertical="center"/>
    </xf>
    <xf numFmtId="0" fontId="6" fillId="2" borderId="3" xfId="1" applyFont="1" applyFill="1" applyBorder="1" applyAlignment="1">
      <alignment horizontal="center"/>
    </xf>
    <xf numFmtId="0" fontId="6" fillId="2" borderId="3" xfId="1" applyFont="1" applyFill="1" applyBorder="1" applyAlignment="1">
      <alignment horizontal="right"/>
    </xf>
    <xf numFmtId="0" fontId="4" fillId="0" borderId="0" xfId="1" applyFont="1" applyAlignment="1">
      <alignment horizontal="center"/>
    </xf>
    <xf numFmtId="0" fontId="5" fillId="0" borderId="0" xfId="1" applyFont="1" applyAlignment="1">
      <alignment horizontal="center"/>
    </xf>
    <xf numFmtId="0" fontId="9" fillId="0" borderId="0" xfId="3" applyFont="1" applyAlignment="1">
      <alignment horizontal="center"/>
    </xf>
    <xf numFmtId="0" fontId="10" fillId="0" borderId="0" xfId="3" applyFont="1" applyAlignment="1">
      <alignment horizontal="center"/>
    </xf>
    <xf numFmtId="0" fontId="6" fillId="2" borderId="0" xfId="1" applyFont="1" applyFill="1" applyAlignment="1">
      <alignment horizontal="right"/>
    </xf>
    <xf numFmtId="0" fontId="6" fillId="2" borderId="0" xfId="1" applyFont="1" applyFill="1" applyAlignment="1">
      <alignment horizontal="center"/>
    </xf>
  </cellXfs>
  <cellStyles count="4">
    <cellStyle name="Normal" xfId="0" builtinId="0"/>
    <cellStyle name="Normal 2" xfId="1" xr:uid="{D36CAF30-5972-4F9D-A663-864779E4B316}"/>
    <cellStyle name="Normal 3" xfId="2" xr:uid="{09192BCA-96B9-4306-B18E-112D27CB900C}"/>
    <cellStyle name="Normal 4" xfId="3" xr:uid="{21238977-F30D-4C46-9F0A-D267C0A931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D49D0-62CC-43D6-996B-3CCF89C9D357}">
  <sheetPr codeName="Sheet5"/>
  <dimension ref="A1:M179"/>
  <sheetViews>
    <sheetView tabSelected="1" workbookViewId="0">
      <selection activeCell="A159" sqref="A159:XFD159"/>
    </sheetView>
  </sheetViews>
  <sheetFormatPr defaultRowHeight="14.5" x14ac:dyDescent="0.35"/>
  <cols>
    <col min="1" max="1" width="41.1796875" bestFit="1" customWidth="1"/>
    <col min="2" max="2" width="9.81640625" bestFit="1" customWidth="1"/>
    <col min="3" max="3" width="22.26953125" bestFit="1" customWidth="1"/>
    <col min="4" max="4" width="10.54296875" bestFit="1" customWidth="1"/>
    <col min="5" max="5" width="19.6328125" bestFit="1" customWidth="1"/>
    <col min="6" max="6" width="14" bestFit="1" customWidth="1"/>
    <col min="7" max="7" width="9.81640625" bestFit="1" customWidth="1"/>
    <col min="8" max="8" width="17.81640625" bestFit="1" customWidth="1"/>
    <col min="9" max="9" width="15.36328125" bestFit="1" customWidth="1"/>
    <col min="10" max="10" width="11" bestFit="1" customWidth="1"/>
    <col min="11" max="11" width="10.54296875" bestFit="1" customWidth="1"/>
    <col min="12" max="12" width="7.81640625" bestFit="1" customWidth="1"/>
    <col min="13" max="13" width="11" bestFit="1" customWidth="1"/>
  </cols>
  <sheetData>
    <row r="1" spans="1:13" s="1" customFormat="1" ht="15.5" x14ac:dyDescent="0.35">
      <c r="A1" s="62" t="s">
        <v>0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s="1" customFormat="1" ht="15.5" x14ac:dyDescent="0.35">
      <c r="A2" s="62" t="s">
        <v>1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</row>
    <row r="3" spans="1:13" s="1" customFormat="1" ht="18" x14ac:dyDescent="0.4">
      <c r="A3" s="63" t="s">
        <v>48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13" s="1" customFormat="1" ht="18" x14ac:dyDescent="0.4">
      <c r="A4" s="63" t="s">
        <v>199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</row>
    <row r="5" spans="1:13" s="1" customFormat="1" ht="18" x14ac:dyDescent="0.4">
      <c r="A5" s="63" t="s">
        <v>2</v>
      </c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</row>
    <row r="6" spans="1:13" s="1" customFormat="1" ht="18" x14ac:dyDescent="0.4">
      <c r="A6" s="63" t="s">
        <v>2</v>
      </c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</row>
    <row r="7" spans="1:13" s="1" customFormat="1" ht="10" x14ac:dyDescent="0.2">
      <c r="A7" s="2" t="s">
        <v>49</v>
      </c>
      <c r="B7" s="60" t="s">
        <v>50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</row>
    <row r="8" spans="1:13" s="1" customFormat="1" ht="10" x14ac:dyDescent="0.2">
      <c r="A8" s="2" t="s">
        <v>49</v>
      </c>
      <c r="B8" s="61" t="s">
        <v>10</v>
      </c>
      <c r="C8" s="31" t="s">
        <v>269</v>
      </c>
      <c r="D8" s="60" t="s">
        <v>0</v>
      </c>
      <c r="E8" s="60"/>
      <c r="F8" s="60"/>
      <c r="G8" s="60"/>
      <c r="H8" s="60"/>
      <c r="I8" s="60"/>
      <c r="J8" s="60"/>
      <c r="K8" s="60"/>
      <c r="L8" s="30"/>
      <c r="M8" s="31" t="s">
        <v>51</v>
      </c>
    </row>
    <row r="9" spans="1:13" s="1" customFormat="1" ht="10" x14ac:dyDescent="0.2">
      <c r="A9" s="2" t="s">
        <v>49</v>
      </c>
      <c r="B9" s="61"/>
      <c r="C9" s="61" t="s">
        <v>10</v>
      </c>
      <c r="D9" s="61" t="s">
        <v>10</v>
      </c>
      <c r="E9" s="31" t="s">
        <v>52</v>
      </c>
      <c r="F9" s="31" t="s">
        <v>53</v>
      </c>
      <c r="G9" s="31" t="s">
        <v>40</v>
      </c>
      <c r="H9" s="31" t="s">
        <v>268</v>
      </c>
      <c r="I9" s="31" t="s">
        <v>54</v>
      </c>
      <c r="J9" s="31"/>
      <c r="K9" s="31" t="s">
        <v>51</v>
      </c>
      <c r="L9" s="31"/>
      <c r="M9" s="61" t="s">
        <v>10</v>
      </c>
    </row>
    <row r="10" spans="1:13" s="1" customFormat="1" ht="10" x14ac:dyDescent="0.2">
      <c r="A10" s="2" t="s">
        <v>49</v>
      </c>
      <c r="B10" s="61"/>
      <c r="C10" s="61"/>
      <c r="D10" s="61"/>
      <c r="E10" s="31" t="s">
        <v>10</v>
      </c>
      <c r="F10" s="31" t="s">
        <v>10</v>
      </c>
      <c r="G10" s="31" t="s">
        <v>10</v>
      </c>
      <c r="H10" s="31" t="s">
        <v>10</v>
      </c>
      <c r="I10" s="31" t="s">
        <v>10</v>
      </c>
      <c r="J10" s="3" t="s">
        <v>55</v>
      </c>
      <c r="K10" s="31" t="s">
        <v>10</v>
      </c>
      <c r="L10" s="3" t="s">
        <v>55</v>
      </c>
      <c r="M10" s="61"/>
    </row>
    <row r="11" spans="1:13" s="1" customFormat="1" ht="10.5" x14ac:dyDescent="0.2">
      <c r="A11" s="4" t="s">
        <v>13</v>
      </c>
      <c r="B11" s="5"/>
      <c r="C11" s="5"/>
      <c r="D11" s="5"/>
      <c r="E11" s="5"/>
      <c r="F11" s="5"/>
      <c r="G11" s="5"/>
      <c r="H11" s="5"/>
      <c r="I11" s="5"/>
      <c r="J11" s="6"/>
      <c r="K11" s="5"/>
      <c r="L11" s="6"/>
      <c r="M11" s="5"/>
    </row>
    <row r="12" spans="1:13" s="1" customFormat="1" ht="10.5" x14ac:dyDescent="0.25">
      <c r="A12" s="7" t="s">
        <v>56</v>
      </c>
      <c r="B12" s="5"/>
      <c r="C12" s="5"/>
      <c r="D12" s="5"/>
      <c r="E12" s="5"/>
      <c r="F12" s="5"/>
      <c r="G12" s="5"/>
      <c r="H12" s="5"/>
      <c r="I12" s="5"/>
      <c r="J12" s="6"/>
      <c r="K12" s="5"/>
      <c r="L12" s="6"/>
      <c r="M12" s="5"/>
    </row>
    <row r="13" spans="1:13" s="1" customFormat="1" ht="10.5" x14ac:dyDescent="0.25">
      <c r="A13" s="8" t="s">
        <v>57</v>
      </c>
      <c r="B13" s="5"/>
      <c r="C13" s="5"/>
      <c r="D13" s="5"/>
      <c r="E13" s="5"/>
      <c r="F13" s="5"/>
      <c r="G13" s="5"/>
      <c r="H13" s="5"/>
      <c r="I13" s="5"/>
      <c r="J13" s="6"/>
      <c r="K13" s="5">
        <f t="shared" ref="K13:K76" si="0">SUM(D13:J13)</f>
        <v>0</v>
      </c>
      <c r="L13" s="6"/>
      <c r="M13" s="5">
        <f t="shared" ref="M13:M76" si="1">SUM(B13,K13,L13)+C13</f>
        <v>0</v>
      </c>
    </row>
    <row r="14" spans="1:13" s="1" customFormat="1" ht="10" x14ac:dyDescent="0.2">
      <c r="A14" s="9" t="s">
        <v>58</v>
      </c>
      <c r="B14" s="10">
        <v>0</v>
      </c>
      <c r="C14" s="10">
        <v>0</v>
      </c>
      <c r="D14" s="10">
        <v>4770212.6329301344</v>
      </c>
      <c r="E14" s="10">
        <v>0</v>
      </c>
      <c r="F14" s="10">
        <v>122341.02779302595</v>
      </c>
      <c r="G14" s="10">
        <v>106033.8729648727</v>
      </c>
      <c r="H14" s="10">
        <v>106724.3930775879</v>
      </c>
      <c r="I14" s="10">
        <v>740135.37439230946</v>
      </c>
      <c r="J14" s="11">
        <v>-1131731.7552219215</v>
      </c>
      <c r="K14" s="10">
        <f t="shared" si="0"/>
        <v>4713715.5459360089</v>
      </c>
      <c r="L14" s="11">
        <v>0</v>
      </c>
      <c r="M14" s="10">
        <f t="shared" si="1"/>
        <v>4713715.5459360089</v>
      </c>
    </row>
    <row r="15" spans="1:13" s="1" customFormat="1" ht="10" x14ac:dyDescent="0.2">
      <c r="A15" s="9" t="s">
        <v>59</v>
      </c>
      <c r="B15" s="10">
        <v>0</v>
      </c>
      <c r="C15" s="10">
        <v>0</v>
      </c>
      <c r="D15" s="10">
        <v>271775.36394479696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1"/>
      <c r="K15" s="10">
        <f t="shared" si="0"/>
        <v>271775.36394479696</v>
      </c>
      <c r="L15" s="11"/>
      <c r="M15" s="10">
        <f t="shared" si="1"/>
        <v>271775.36394479696</v>
      </c>
    </row>
    <row r="16" spans="1:13" s="1" customFormat="1" ht="10" x14ac:dyDescent="0.2">
      <c r="A16" s="9" t="s">
        <v>61</v>
      </c>
      <c r="B16" s="10">
        <v>0</v>
      </c>
      <c r="C16" s="10">
        <v>0</v>
      </c>
      <c r="D16" s="10">
        <v>258496.81266337479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1"/>
      <c r="K16" s="10">
        <f t="shared" si="0"/>
        <v>258496.81266337479</v>
      </c>
      <c r="L16" s="11"/>
      <c r="M16" s="10">
        <f t="shared" si="1"/>
        <v>258496.81266337479</v>
      </c>
    </row>
    <row r="17" spans="1:13" s="1" customFormat="1" ht="10.5" x14ac:dyDescent="0.25">
      <c r="A17" s="12" t="s">
        <v>62</v>
      </c>
      <c r="B17" s="13">
        <f t="shared" ref="B17:J17" si="2">SUM(B14:B16)</f>
        <v>0</v>
      </c>
      <c r="C17" s="13">
        <f t="shared" si="2"/>
        <v>0</v>
      </c>
      <c r="D17" s="13">
        <f t="shared" si="2"/>
        <v>5300484.8095383057</v>
      </c>
      <c r="E17" s="13">
        <f t="shared" si="2"/>
        <v>0</v>
      </c>
      <c r="F17" s="13">
        <f t="shared" si="2"/>
        <v>122341.02779302595</v>
      </c>
      <c r="G17" s="13">
        <f t="shared" si="2"/>
        <v>106033.8729648727</v>
      </c>
      <c r="H17" s="13">
        <f t="shared" si="2"/>
        <v>106724.3930775879</v>
      </c>
      <c r="I17" s="13">
        <f t="shared" si="2"/>
        <v>740135.37439230946</v>
      </c>
      <c r="J17" s="14">
        <f t="shared" si="2"/>
        <v>-1131731.7552219215</v>
      </c>
      <c r="K17" s="13">
        <f t="shared" si="0"/>
        <v>5243987.7225441802</v>
      </c>
      <c r="L17" s="14">
        <f>SUM(L14:L16)</f>
        <v>0</v>
      </c>
      <c r="M17" s="13">
        <f t="shared" si="1"/>
        <v>5243987.7225441802</v>
      </c>
    </row>
    <row r="18" spans="1:13" s="1" customFormat="1" ht="10.5" x14ac:dyDescent="0.25">
      <c r="A18" s="15" t="s">
        <v>63</v>
      </c>
      <c r="B18" s="13">
        <f t="shared" ref="B18:L18" si="3">SUM(B17)</f>
        <v>0</v>
      </c>
      <c r="C18" s="13">
        <f t="shared" si="3"/>
        <v>0</v>
      </c>
      <c r="D18" s="13">
        <f t="shared" si="3"/>
        <v>5300484.8095383057</v>
      </c>
      <c r="E18" s="13">
        <f t="shared" si="3"/>
        <v>0</v>
      </c>
      <c r="F18" s="13">
        <f t="shared" si="3"/>
        <v>122341.02779302595</v>
      </c>
      <c r="G18" s="13">
        <f t="shared" si="3"/>
        <v>106033.8729648727</v>
      </c>
      <c r="H18" s="13">
        <f t="shared" si="3"/>
        <v>106724.3930775879</v>
      </c>
      <c r="I18" s="13">
        <f t="shared" si="3"/>
        <v>740135.37439230946</v>
      </c>
      <c r="J18" s="14">
        <f t="shared" si="3"/>
        <v>-1131731.7552219215</v>
      </c>
      <c r="K18" s="13">
        <f t="shared" si="0"/>
        <v>5243987.7225441802</v>
      </c>
      <c r="L18" s="14">
        <f t="shared" si="3"/>
        <v>0</v>
      </c>
      <c r="M18" s="13">
        <f t="shared" si="1"/>
        <v>5243987.7225441802</v>
      </c>
    </row>
    <row r="19" spans="1:13" s="1" customFormat="1" ht="10.5" x14ac:dyDescent="0.25">
      <c r="A19" s="7" t="s">
        <v>14</v>
      </c>
      <c r="B19" s="5"/>
      <c r="C19" s="5"/>
      <c r="D19" s="5"/>
      <c r="E19" s="5"/>
      <c r="F19" s="5"/>
      <c r="G19" s="5"/>
      <c r="H19" s="5"/>
      <c r="I19" s="5"/>
      <c r="J19" s="6"/>
      <c r="K19" s="5">
        <f t="shared" si="0"/>
        <v>0</v>
      </c>
      <c r="L19" s="6"/>
      <c r="M19" s="5">
        <f t="shared" si="1"/>
        <v>0</v>
      </c>
    </row>
    <row r="20" spans="1:13" s="1" customFormat="1" ht="10.5" x14ac:dyDescent="0.25">
      <c r="A20" s="8" t="s">
        <v>15</v>
      </c>
      <c r="B20" s="5"/>
      <c r="C20" s="5"/>
      <c r="D20" s="5"/>
      <c r="E20" s="5"/>
      <c r="F20" s="5"/>
      <c r="G20" s="5"/>
      <c r="H20" s="5"/>
      <c r="I20" s="5"/>
      <c r="J20" s="6"/>
      <c r="K20" s="5">
        <f t="shared" si="0"/>
        <v>0</v>
      </c>
      <c r="L20" s="6"/>
      <c r="M20" s="5">
        <f t="shared" si="1"/>
        <v>0</v>
      </c>
    </row>
    <row r="21" spans="1:13" s="1" customFormat="1" ht="10" x14ac:dyDescent="0.2">
      <c r="A21" s="26" t="s">
        <v>60</v>
      </c>
      <c r="B21" s="10">
        <v>0</v>
      </c>
      <c r="C21" s="10">
        <v>0</v>
      </c>
      <c r="D21" s="10">
        <v>31299.590839732853</v>
      </c>
      <c r="E21" s="10">
        <v>0</v>
      </c>
      <c r="F21" s="10">
        <v>113.57367803146326</v>
      </c>
      <c r="G21" s="10">
        <v>-170.01165455613545</v>
      </c>
      <c r="H21" s="10">
        <v>0</v>
      </c>
      <c r="I21" s="10">
        <v>0</v>
      </c>
      <c r="J21" s="11"/>
      <c r="K21" s="10">
        <f t="shared" si="0"/>
        <v>31243.152863208179</v>
      </c>
      <c r="L21" s="11"/>
      <c r="M21" s="10">
        <f t="shared" si="1"/>
        <v>31243.152863208179</v>
      </c>
    </row>
    <row r="22" spans="1:13" s="1" customFormat="1" ht="10" x14ac:dyDescent="0.2">
      <c r="A22" s="9" t="s">
        <v>16</v>
      </c>
      <c r="B22" s="10">
        <v>0</v>
      </c>
      <c r="C22" s="10">
        <v>0</v>
      </c>
      <c r="D22" s="10">
        <v>1634639.8475739581</v>
      </c>
      <c r="E22" s="10">
        <v>0</v>
      </c>
      <c r="F22" s="10">
        <v>98834.949076342949</v>
      </c>
      <c r="G22" s="10">
        <v>52010.421893907362</v>
      </c>
      <c r="H22" s="10">
        <v>83517.526062758596</v>
      </c>
      <c r="I22" s="10">
        <v>0</v>
      </c>
      <c r="J22" s="11">
        <v>-259455.73193053462</v>
      </c>
      <c r="K22" s="10">
        <f t="shared" si="0"/>
        <v>1609547.0126764325</v>
      </c>
      <c r="L22" s="11">
        <v>0</v>
      </c>
      <c r="M22" s="10">
        <f t="shared" si="1"/>
        <v>1609547.0126764325</v>
      </c>
    </row>
    <row r="23" spans="1:13" s="1" customFormat="1" ht="10" x14ac:dyDescent="0.2">
      <c r="A23" s="9" t="s">
        <v>64</v>
      </c>
      <c r="B23" s="10">
        <v>0</v>
      </c>
      <c r="C23" s="10">
        <v>0</v>
      </c>
      <c r="D23" s="10">
        <v>12394.532638715993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1"/>
      <c r="K23" s="10">
        <f t="shared" si="0"/>
        <v>12394.532638715993</v>
      </c>
      <c r="L23" s="11"/>
      <c r="M23" s="10">
        <f t="shared" si="1"/>
        <v>12394.532638715993</v>
      </c>
    </row>
    <row r="24" spans="1:13" s="1" customFormat="1" ht="10" x14ac:dyDescent="0.2">
      <c r="A24" s="9" t="s">
        <v>65</v>
      </c>
      <c r="B24" s="10">
        <v>0</v>
      </c>
      <c r="C24" s="10">
        <v>0</v>
      </c>
      <c r="D24" s="10">
        <v>226519.07976608592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1"/>
      <c r="K24" s="10">
        <f t="shared" si="0"/>
        <v>226519.07976608592</v>
      </c>
      <c r="L24" s="11"/>
      <c r="M24" s="10">
        <f t="shared" si="1"/>
        <v>226519.07976608592</v>
      </c>
    </row>
    <row r="25" spans="1:13" s="1" customFormat="1" ht="10" x14ac:dyDescent="0.2">
      <c r="A25" s="9" t="s">
        <v>66</v>
      </c>
      <c r="B25" s="10">
        <v>0</v>
      </c>
      <c r="C25" s="10">
        <v>0</v>
      </c>
      <c r="D25" s="10">
        <v>-3549.166282272673</v>
      </c>
      <c r="E25" s="10">
        <v>0</v>
      </c>
      <c r="F25" s="10">
        <v>-5010.5462262538031</v>
      </c>
      <c r="G25" s="10">
        <v>0</v>
      </c>
      <c r="H25" s="10">
        <v>0</v>
      </c>
      <c r="I25" s="10">
        <v>0</v>
      </c>
      <c r="J25" s="11"/>
      <c r="K25" s="10">
        <f t="shared" si="0"/>
        <v>-8559.7125085264761</v>
      </c>
      <c r="L25" s="11"/>
      <c r="M25" s="10">
        <f t="shared" si="1"/>
        <v>-8559.7125085264761</v>
      </c>
    </row>
    <row r="26" spans="1:13" s="1" customFormat="1" ht="10.5" x14ac:dyDescent="0.25">
      <c r="A26" s="16" t="s">
        <v>67</v>
      </c>
      <c r="B26" s="5"/>
      <c r="C26" s="5"/>
      <c r="D26" s="5"/>
      <c r="E26" s="5"/>
      <c r="F26" s="5"/>
      <c r="G26" s="5"/>
      <c r="H26" s="5"/>
      <c r="I26" s="5"/>
      <c r="J26" s="6"/>
      <c r="K26" s="5">
        <f t="shared" si="0"/>
        <v>0</v>
      </c>
      <c r="L26" s="6"/>
      <c r="M26" s="5">
        <f t="shared" si="1"/>
        <v>0</v>
      </c>
    </row>
    <row r="27" spans="1:13" s="1" customFormat="1" ht="10" x14ac:dyDescent="0.2">
      <c r="A27" s="17" t="s">
        <v>270</v>
      </c>
      <c r="B27" s="10">
        <v>0</v>
      </c>
      <c r="C27" s="10">
        <v>0</v>
      </c>
      <c r="D27" s="10">
        <v>0</v>
      </c>
      <c r="E27" s="10">
        <v>0</v>
      </c>
      <c r="F27" s="10">
        <v>0</v>
      </c>
      <c r="G27" s="10">
        <v>14049.854273169318</v>
      </c>
      <c r="H27" s="10">
        <v>0</v>
      </c>
      <c r="I27" s="10">
        <v>0</v>
      </c>
      <c r="J27" s="11"/>
      <c r="K27" s="10">
        <f t="shared" si="0"/>
        <v>14049.854273169318</v>
      </c>
      <c r="L27" s="11"/>
      <c r="M27" s="10">
        <f t="shared" si="1"/>
        <v>14049.854273169318</v>
      </c>
    </row>
    <row r="28" spans="1:13" s="1" customFormat="1" ht="10" x14ac:dyDescent="0.2">
      <c r="A28" s="17" t="s">
        <v>68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1011.302310503562</v>
      </c>
      <c r="H28" s="10">
        <v>0</v>
      </c>
      <c r="I28" s="10">
        <v>0</v>
      </c>
      <c r="J28" s="11"/>
      <c r="K28" s="10">
        <f t="shared" si="0"/>
        <v>1011.302310503562</v>
      </c>
      <c r="L28" s="11"/>
      <c r="M28" s="10">
        <f t="shared" si="1"/>
        <v>1011.302310503562</v>
      </c>
    </row>
    <row r="29" spans="1:13" s="1" customFormat="1" ht="10.5" x14ac:dyDescent="0.25">
      <c r="A29" s="18" t="s">
        <v>271</v>
      </c>
      <c r="B29" s="5"/>
      <c r="C29" s="5"/>
      <c r="D29" s="5"/>
      <c r="E29" s="5"/>
      <c r="F29" s="5"/>
      <c r="G29" s="5"/>
      <c r="H29" s="5"/>
      <c r="I29" s="5"/>
      <c r="J29" s="6"/>
      <c r="K29" s="5">
        <f t="shared" si="0"/>
        <v>0</v>
      </c>
      <c r="L29" s="6"/>
      <c r="M29" s="5">
        <f t="shared" si="1"/>
        <v>0</v>
      </c>
    </row>
    <row r="30" spans="1:13" s="1" customFormat="1" ht="10" x14ac:dyDescent="0.2">
      <c r="A30" s="19" t="s">
        <v>272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17987.539677014658</v>
      </c>
      <c r="H30" s="10">
        <v>0</v>
      </c>
      <c r="I30" s="10">
        <v>0</v>
      </c>
      <c r="J30" s="11"/>
      <c r="K30" s="10">
        <f t="shared" si="0"/>
        <v>17987.539677014658</v>
      </c>
      <c r="L30" s="11"/>
      <c r="M30" s="10">
        <f t="shared" si="1"/>
        <v>17987.539677014658</v>
      </c>
    </row>
    <row r="31" spans="1:13" s="1" customFormat="1" ht="10" x14ac:dyDescent="0.2">
      <c r="A31" s="19" t="s">
        <v>273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5070.6080123549273</v>
      </c>
      <c r="H31" s="10">
        <v>0</v>
      </c>
      <c r="I31" s="10">
        <v>0</v>
      </c>
      <c r="J31" s="11"/>
      <c r="K31" s="10">
        <f t="shared" si="0"/>
        <v>5070.6080123549273</v>
      </c>
      <c r="L31" s="11"/>
      <c r="M31" s="10">
        <f t="shared" si="1"/>
        <v>5070.6080123549273</v>
      </c>
    </row>
    <row r="32" spans="1:13" s="1" customFormat="1" ht="10.5" x14ac:dyDescent="0.25">
      <c r="A32" s="20" t="s">
        <v>274</v>
      </c>
      <c r="B32" s="13">
        <f t="shared" ref="B32:L32" si="4">SUM(B30:B31)</f>
        <v>0</v>
      </c>
      <c r="C32" s="13">
        <f t="shared" si="4"/>
        <v>0</v>
      </c>
      <c r="D32" s="13">
        <f t="shared" si="4"/>
        <v>0</v>
      </c>
      <c r="E32" s="13">
        <f t="shared" si="4"/>
        <v>0</v>
      </c>
      <c r="F32" s="13">
        <f t="shared" si="4"/>
        <v>0</v>
      </c>
      <c r="G32" s="13">
        <f t="shared" si="4"/>
        <v>23058.147689369587</v>
      </c>
      <c r="H32" s="13">
        <f t="shared" si="4"/>
        <v>0</v>
      </c>
      <c r="I32" s="13">
        <f t="shared" si="4"/>
        <v>0</v>
      </c>
      <c r="J32" s="14">
        <f t="shared" si="4"/>
        <v>0</v>
      </c>
      <c r="K32" s="13">
        <f t="shared" si="0"/>
        <v>23058.147689369587</v>
      </c>
      <c r="L32" s="14">
        <f t="shared" si="4"/>
        <v>0</v>
      </c>
      <c r="M32" s="13">
        <f t="shared" si="1"/>
        <v>23058.147689369587</v>
      </c>
    </row>
    <row r="33" spans="1:13" s="1" customFormat="1" ht="10.5" x14ac:dyDescent="0.25">
      <c r="A33" s="21" t="s">
        <v>69</v>
      </c>
      <c r="B33" s="13">
        <f t="shared" ref="B33:L33" si="5">SUM(B27:B28,B32)</f>
        <v>0</v>
      </c>
      <c r="C33" s="13">
        <f t="shared" si="5"/>
        <v>0</v>
      </c>
      <c r="D33" s="13">
        <f t="shared" si="5"/>
        <v>0</v>
      </c>
      <c r="E33" s="13">
        <f t="shared" si="5"/>
        <v>0</v>
      </c>
      <c r="F33" s="13">
        <f t="shared" si="5"/>
        <v>0</v>
      </c>
      <c r="G33" s="13">
        <f t="shared" si="5"/>
        <v>38119.304273042464</v>
      </c>
      <c r="H33" s="13">
        <f t="shared" si="5"/>
        <v>0</v>
      </c>
      <c r="I33" s="13">
        <f t="shared" si="5"/>
        <v>0</v>
      </c>
      <c r="J33" s="14">
        <f t="shared" si="5"/>
        <v>0</v>
      </c>
      <c r="K33" s="13">
        <f t="shared" si="0"/>
        <v>38119.304273042464</v>
      </c>
      <c r="L33" s="14">
        <f t="shared" si="5"/>
        <v>0</v>
      </c>
      <c r="M33" s="13">
        <f t="shared" si="1"/>
        <v>38119.304273042464</v>
      </c>
    </row>
    <row r="34" spans="1:13" s="1" customFormat="1" ht="10.5" x14ac:dyDescent="0.25">
      <c r="A34" s="12" t="s">
        <v>43</v>
      </c>
      <c r="B34" s="13">
        <f t="shared" ref="B34:L34" si="6">SUM(B22:B25,B33)+B21</f>
        <v>0</v>
      </c>
      <c r="C34" s="13">
        <f t="shared" si="6"/>
        <v>0</v>
      </c>
      <c r="D34" s="13">
        <f t="shared" si="6"/>
        <v>1901303.8845362202</v>
      </c>
      <c r="E34" s="13">
        <f t="shared" si="6"/>
        <v>0</v>
      </c>
      <c r="F34" s="13">
        <f t="shared" si="6"/>
        <v>93937.976528120606</v>
      </c>
      <c r="G34" s="13">
        <f t="shared" si="6"/>
        <v>89959.714512393693</v>
      </c>
      <c r="H34" s="13">
        <f t="shared" si="6"/>
        <v>83517.526062758596</v>
      </c>
      <c r="I34" s="13">
        <f t="shared" si="6"/>
        <v>0</v>
      </c>
      <c r="J34" s="14">
        <f t="shared" si="6"/>
        <v>-259455.73193053462</v>
      </c>
      <c r="K34" s="13">
        <f t="shared" si="0"/>
        <v>1909263.3697089588</v>
      </c>
      <c r="L34" s="14">
        <f t="shared" si="6"/>
        <v>0</v>
      </c>
      <c r="M34" s="13">
        <f t="shared" si="1"/>
        <v>1909263.3697089588</v>
      </c>
    </row>
    <row r="35" spans="1:13" s="1" customFormat="1" ht="10.5" x14ac:dyDescent="0.25">
      <c r="A35" s="15" t="s">
        <v>44</v>
      </c>
      <c r="B35" s="13">
        <f t="shared" ref="B35:L35" si="7">SUM(B34)</f>
        <v>0</v>
      </c>
      <c r="C35" s="13">
        <f t="shared" si="7"/>
        <v>0</v>
      </c>
      <c r="D35" s="13">
        <f t="shared" si="7"/>
        <v>1901303.8845362202</v>
      </c>
      <c r="E35" s="13">
        <f t="shared" si="7"/>
        <v>0</v>
      </c>
      <c r="F35" s="13">
        <f t="shared" si="7"/>
        <v>93937.976528120606</v>
      </c>
      <c r="G35" s="13">
        <f t="shared" si="7"/>
        <v>89959.714512393693</v>
      </c>
      <c r="H35" s="13">
        <f t="shared" si="7"/>
        <v>83517.526062758596</v>
      </c>
      <c r="I35" s="13">
        <f t="shared" si="7"/>
        <v>0</v>
      </c>
      <c r="J35" s="14">
        <f t="shared" si="7"/>
        <v>-259455.73193053462</v>
      </c>
      <c r="K35" s="13">
        <f t="shared" si="0"/>
        <v>1909263.3697089588</v>
      </c>
      <c r="L35" s="14">
        <f t="shared" si="7"/>
        <v>0</v>
      </c>
      <c r="M35" s="13">
        <f t="shared" si="1"/>
        <v>1909263.3697089588</v>
      </c>
    </row>
    <row r="36" spans="1:13" s="1" customFormat="1" ht="10.5" x14ac:dyDescent="0.25">
      <c r="A36" s="22" t="s">
        <v>45</v>
      </c>
      <c r="B36" s="23">
        <f t="shared" ref="B36:L36" si="8">B18-B35</f>
        <v>0</v>
      </c>
      <c r="C36" s="23">
        <f t="shared" si="8"/>
        <v>0</v>
      </c>
      <c r="D36" s="23">
        <f t="shared" si="8"/>
        <v>3399180.9250020855</v>
      </c>
      <c r="E36" s="23">
        <f t="shared" si="8"/>
        <v>0</v>
      </c>
      <c r="F36" s="23">
        <f t="shared" si="8"/>
        <v>28403.051264905342</v>
      </c>
      <c r="G36" s="23">
        <f t="shared" si="8"/>
        <v>16074.158452479009</v>
      </c>
      <c r="H36" s="23">
        <f t="shared" si="8"/>
        <v>23206.867014829302</v>
      </c>
      <c r="I36" s="23">
        <f t="shared" si="8"/>
        <v>740135.37439230946</v>
      </c>
      <c r="J36" s="24">
        <f t="shared" si="8"/>
        <v>-872276.0232913869</v>
      </c>
      <c r="K36" s="23">
        <f t="shared" si="0"/>
        <v>3334724.3528352221</v>
      </c>
      <c r="L36" s="24">
        <f t="shared" si="8"/>
        <v>0</v>
      </c>
      <c r="M36" s="23">
        <f t="shared" si="1"/>
        <v>3334724.3528352221</v>
      </c>
    </row>
    <row r="37" spans="1:13" s="1" customFormat="1" ht="10.5" x14ac:dyDescent="0.25">
      <c r="A37" s="7" t="s">
        <v>70</v>
      </c>
      <c r="B37" s="5"/>
      <c r="C37" s="5"/>
      <c r="D37" s="5"/>
      <c r="E37" s="5"/>
      <c r="F37" s="5"/>
      <c r="G37" s="5"/>
      <c r="H37" s="5"/>
      <c r="I37" s="5"/>
      <c r="J37" s="6"/>
      <c r="K37" s="5">
        <f t="shared" si="0"/>
        <v>0</v>
      </c>
      <c r="L37" s="6"/>
      <c r="M37" s="5">
        <f t="shared" si="1"/>
        <v>0</v>
      </c>
    </row>
    <row r="38" spans="1:13" s="1" customFormat="1" ht="10.5" x14ac:dyDescent="0.25">
      <c r="A38" s="8" t="s">
        <v>71</v>
      </c>
      <c r="B38" s="5"/>
      <c r="C38" s="5"/>
      <c r="D38" s="5"/>
      <c r="E38" s="5"/>
      <c r="F38" s="5"/>
      <c r="G38" s="5"/>
      <c r="H38" s="5"/>
      <c r="I38" s="5"/>
      <c r="J38" s="6"/>
      <c r="K38" s="5">
        <f t="shared" si="0"/>
        <v>0</v>
      </c>
      <c r="L38" s="6"/>
      <c r="M38" s="5">
        <f t="shared" si="1"/>
        <v>0</v>
      </c>
    </row>
    <row r="39" spans="1:13" s="1" customFormat="1" ht="10" x14ac:dyDescent="0.2">
      <c r="A39" s="9" t="s">
        <v>72</v>
      </c>
      <c r="B39" s="10">
        <v>0</v>
      </c>
      <c r="C39" s="10">
        <v>0</v>
      </c>
      <c r="D39" s="10">
        <v>67.751521061645278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1"/>
      <c r="K39" s="10">
        <f t="shared" si="0"/>
        <v>67.751521061645278</v>
      </c>
      <c r="L39" s="11"/>
      <c r="M39" s="10">
        <f t="shared" si="1"/>
        <v>67.751521061645278</v>
      </c>
    </row>
    <row r="40" spans="1:13" s="1" customFormat="1" ht="10.5" x14ac:dyDescent="0.25">
      <c r="A40" s="16" t="s">
        <v>73</v>
      </c>
      <c r="B40" s="5"/>
      <c r="C40" s="5"/>
      <c r="D40" s="5"/>
      <c r="E40" s="5"/>
      <c r="F40" s="5"/>
      <c r="G40" s="5"/>
      <c r="H40" s="5"/>
      <c r="I40" s="5"/>
      <c r="J40" s="6"/>
      <c r="K40" s="5">
        <f t="shared" si="0"/>
        <v>0</v>
      </c>
      <c r="L40" s="6"/>
      <c r="M40" s="5">
        <f t="shared" si="1"/>
        <v>0</v>
      </c>
    </row>
    <row r="41" spans="1:13" s="1" customFormat="1" ht="10" x14ac:dyDescent="0.2">
      <c r="A41" s="17" t="s">
        <v>74</v>
      </c>
      <c r="B41" s="10">
        <v>0</v>
      </c>
      <c r="C41" s="10">
        <v>0</v>
      </c>
      <c r="D41" s="10">
        <v>420280.50775430485</v>
      </c>
      <c r="E41" s="10">
        <v>0</v>
      </c>
      <c r="F41" s="10">
        <v>1099.8858614210978</v>
      </c>
      <c r="G41" s="10">
        <v>32300.330802762001</v>
      </c>
      <c r="H41" s="10">
        <v>0</v>
      </c>
      <c r="I41" s="10">
        <v>21678.449499142593</v>
      </c>
      <c r="J41" s="11"/>
      <c r="K41" s="10">
        <f t="shared" si="0"/>
        <v>475359.17391763057</v>
      </c>
      <c r="L41" s="11"/>
      <c r="M41" s="10">
        <f t="shared" si="1"/>
        <v>475359.17391763057</v>
      </c>
    </row>
    <row r="42" spans="1:13" s="1" customFormat="1" ht="10" x14ac:dyDescent="0.2">
      <c r="A42" s="17" t="s">
        <v>75</v>
      </c>
      <c r="B42" s="10">
        <v>0</v>
      </c>
      <c r="C42" s="10">
        <v>0</v>
      </c>
      <c r="D42" s="10">
        <v>529988.93709928286</v>
      </c>
      <c r="E42" s="10">
        <v>0</v>
      </c>
      <c r="F42" s="10">
        <v>0</v>
      </c>
      <c r="G42" s="10">
        <v>64600.661605524001</v>
      </c>
      <c r="H42" s="10">
        <v>0</v>
      </c>
      <c r="I42" s="10">
        <v>152355.79014199055</v>
      </c>
      <c r="J42" s="11"/>
      <c r="K42" s="10">
        <f t="shared" si="0"/>
        <v>746945.3888467974</v>
      </c>
      <c r="L42" s="11"/>
      <c r="M42" s="10">
        <f t="shared" si="1"/>
        <v>746945.3888467974</v>
      </c>
    </row>
    <row r="43" spans="1:13" s="1" customFormat="1" ht="10" x14ac:dyDescent="0.2">
      <c r="A43" s="17" t="s">
        <v>76</v>
      </c>
      <c r="B43" s="10">
        <v>0</v>
      </c>
      <c r="C43" s="10">
        <v>0</v>
      </c>
      <c r="D43" s="10">
        <v>90241.7657618425</v>
      </c>
      <c r="E43" s="10">
        <v>0</v>
      </c>
      <c r="F43" s="10">
        <v>0</v>
      </c>
      <c r="G43" s="10">
        <v>300.91229073976939</v>
      </c>
      <c r="H43" s="10">
        <v>0</v>
      </c>
      <c r="I43" s="10">
        <v>19466.907636584758</v>
      </c>
      <c r="J43" s="11"/>
      <c r="K43" s="10">
        <f t="shared" si="0"/>
        <v>110009.58568916703</v>
      </c>
      <c r="L43" s="11"/>
      <c r="M43" s="10">
        <f t="shared" si="1"/>
        <v>110009.58568916703</v>
      </c>
    </row>
    <row r="44" spans="1:13" s="1" customFormat="1" ht="10" x14ac:dyDescent="0.2">
      <c r="A44" s="17" t="s">
        <v>77</v>
      </c>
      <c r="B44" s="10">
        <v>0</v>
      </c>
      <c r="C44" s="10">
        <v>0</v>
      </c>
      <c r="D44" s="10">
        <v>22648.011382212746</v>
      </c>
      <c r="E44" s="10">
        <v>0</v>
      </c>
      <c r="F44" s="10">
        <v>0</v>
      </c>
      <c r="G44" s="10">
        <v>12299.508362817223</v>
      </c>
      <c r="H44" s="10">
        <v>0</v>
      </c>
      <c r="I44" s="10">
        <v>0</v>
      </c>
      <c r="J44" s="11"/>
      <c r="K44" s="10">
        <f t="shared" si="0"/>
        <v>34947.519745029967</v>
      </c>
      <c r="L44" s="11"/>
      <c r="M44" s="10">
        <f t="shared" si="1"/>
        <v>34947.519745029967</v>
      </c>
    </row>
    <row r="45" spans="1:13" s="1" customFormat="1" ht="10.5" x14ac:dyDescent="0.25">
      <c r="A45" s="21" t="s">
        <v>78</v>
      </c>
      <c r="B45" s="13">
        <f t="shared" ref="B45:L45" si="9">SUM(B41:B44)</f>
        <v>0</v>
      </c>
      <c r="C45" s="13">
        <f t="shared" si="9"/>
        <v>0</v>
      </c>
      <c r="D45" s="13">
        <f t="shared" si="9"/>
        <v>1063159.2219976429</v>
      </c>
      <c r="E45" s="13">
        <f t="shared" si="9"/>
        <v>0</v>
      </c>
      <c r="F45" s="13">
        <f t="shared" si="9"/>
        <v>1099.8858614210978</v>
      </c>
      <c r="G45" s="13">
        <f t="shared" si="9"/>
        <v>109501.41306184299</v>
      </c>
      <c r="H45" s="13">
        <f t="shared" si="9"/>
        <v>0</v>
      </c>
      <c r="I45" s="13">
        <f t="shared" si="9"/>
        <v>193501.14727771789</v>
      </c>
      <c r="J45" s="14">
        <f t="shared" si="9"/>
        <v>0</v>
      </c>
      <c r="K45" s="13">
        <f t="shared" si="0"/>
        <v>1367261.6681986249</v>
      </c>
      <c r="L45" s="14">
        <f t="shared" si="9"/>
        <v>0</v>
      </c>
      <c r="M45" s="13">
        <f t="shared" si="1"/>
        <v>1367261.6681986249</v>
      </c>
    </row>
    <row r="46" spans="1:13" s="1" customFormat="1" ht="10.5" x14ac:dyDescent="0.25">
      <c r="A46" s="16" t="s">
        <v>79</v>
      </c>
      <c r="B46" s="5"/>
      <c r="C46" s="5"/>
      <c r="D46" s="5"/>
      <c r="E46" s="5"/>
      <c r="F46" s="5"/>
      <c r="G46" s="5"/>
      <c r="H46" s="5"/>
      <c r="I46" s="5"/>
      <c r="J46" s="6"/>
      <c r="K46" s="5">
        <f t="shared" si="0"/>
        <v>0</v>
      </c>
      <c r="L46" s="6"/>
      <c r="M46" s="5">
        <f t="shared" si="1"/>
        <v>0</v>
      </c>
    </row>
    <row r="47" spans="1:13" s="1" customFormat="1" ht="10" x14ac:dyDescent="0.2">
      <c r="A47" s="17" t="s">
        <v>80</v>
      </c>
      <c r="B47" s="10">
        <v>0</v>
      </c>
      <c r="C47" s="10">
        <v>0</v>
      </c>
      <c r="D47" s="10">
        <v>230.93312542776411</v>
      </c>
      <c r="E47" s="10">
        <v>0</v>
      </c>
      <c r="F47" s="10">
        <v>0</v>
      </c>
      <c r="G47" s="10">
        <v>2009.0001050855044</v>
      </c>
      <c r="H47" s="10">
        <v>0</v>
      </c>
      <c r="I47" s="10">
        <v>289.27017074812284</v>
      </c>
      <c r="J47" s="11"/>
      <c r="K47" s="10">
        <f t="shared" si="0"/>
        <v>2529.2034012613913</v>
      </c>
      <c r="L47" s="11"/>
      <c r="M47" s="10">
        <f t="shared" si="1"/>
        <v>2529.2034012613913</v>
      </c>
    </row>
    <row r="48" spans="1:13" s="1" customFormat="1" ht="10" x14ac:dyDescent="0.2">
      <c r="A48" s="17" t="s">
        <v>81</v>
      </c>
      <c r="B48" s="10">
        <v>0</v>
      </c>
      <c r="C48" s="10">
        <v>0</v>
      </c>
      <c r="D48" s="10">
        <v>243.69089515342154</v>
      </c>
      <c r="E48" s="10">
        <v>0</v>
      </c>
      <c r="F48" s="10">
        <v>97.047464564808251</v>
      </c>
      <c r="G48" s="10">
        <v>0</v>
      </c>
      <c r="H48" s="10">
        <v>0</v>
      </c>
      <c r="I48" s="10">
        <v>16224.495828653413</v>
      </c>
      <c r="J48" s="11"/>
      <c r="K48" s="10">
        <f t="shared" si="0"/>
        <v>16565.234188371644</v>
      </c>
      <c r="L48" s="11"/>
      <c r="M48" s="10">
        <f t="shared" si="1"/>
        <v>16565.234188371644</v>
      </c>
    </row>
    <row r="49" spans="1:13" s="1" customFormat="1" ht="10" x14ac:dyDescent="0.2">
      <c r="A49" s="17" t="s">
        <v>82</v>
      </c>
      <c r="B49" s="10">
        <v>0</v>
      </c>
      <c r="C49" s="10">
        <v>0</v>
      </c>
      <c r="D49" s="10">
        <v>1383.6877861822206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1"/>
      <c r="K49" s="10">
        <f t="shared" si="0"/>
        <v>1383.6877861822206</v>
      </c>
      <c r="L49" s="11"/>
      <c r="M49" s="10">
        <f t="shared" si="1"/>
        <v>1383.6877861822206</v>
      </c>
    </row>
    <row r="50" spans="1:13" s="1" customFormat="1" ht="10" x14ac:dyDescent="0.2">
      <c r="A50" s="17" t="s">
        <v>275</v>
      </c>
      <c r="B50" s="10">
        <v>0</v>
      </c>
      <c r="C50" s="10">
        <v>0</v>
      </c>
      <c r="D50" s="10">
        <v>-0.2118907719454092</v>
      </c>
      <c r="E50" s="10">
        <v>0</v>
      </c>
      <c r="F50" s="10">
        <v>0</v>
      </c>
      <c r="G50" s="10">
        <v>0</v>
      </c>
      <c r="H50" s="10">
        <v>0</v>
      </c>
      <c r="I50" s="10">
        <v>0</v>
      </c>
      <c r="J50" s="11"/>
      <c r="K50" s="10">
        <f t="shared" si="0"/>
        <v>-0.2118907719454092</v>
      </c>
      <c r="L50" s="11"/>
      <c r="M50" s="10">
        <f t="shared" si="1"/>
        <v>-0.2118907719454092</v>
      </c>
    </row>
    <row r="51" spans="1:13" s="1" customFormat="1" ht="10" x14ac:dyDescent="0.2">
      <c r="A51" s="17" t="s">
        <v>276</v>
      </c>
      <c r="B51" s="10">
        <v>0</v>
      </c>
      <c r="C51" s="10">
        <v>0</v>
      </c>
      <c r="D51" s="10">
        <v>1760.7079721381499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1"/>
      <c r="K51" s="10">
        <f t="shared" si="0"/>
        <v>1760.7079721381499</v>
      </c>
      <c r="L51" s="11"/>
      <c r="M51" s="10">
        <f t="shared" si="1"/>
        <v>1760.7079721381499</v>
      </c>
    </row>
    <row r="52" spans="1:13" s="1" customFormat="1" ht="10.5" x14ac:dyDescent="0.25">
      <c r="A52" s="21" t="s">
        <v>83</v>
      </c>
      <c r="B52" s="13">
        <f t="shared" ref="B52:L52" si="10">SUM(B47:B51)</f>
        <v>0</v>
      </c>
      <c r="C52" s="13">
        <f t="shared" si="10"/>
        <v>0</v>
      </c>
      <c r="D52" s="13">
        <f t="shared" si="10"/>
        <v>3618.8078881296105</v>
      </c>
      <c r="E52" s="13">
        <f t="shared" si="10"/>
        <v>0</v>
      </c>
      <c r="F52" s="13">
        <f t="shared" si="10"/>
        <v>97.047464564808251</v>
      </c>
      <c r="G52" s="13">
        <f t="shared" si="10"/>
        <v>2009.0001050855044</v>
      </c>
      <c r="H52" s="13">
        <f t="shared" si="10"/>
        <v>0</v>
      </c>
      <c r="I52" s="13">
        <f t="shared" si="10"/>
        <v>16513.765999401534</v>
      </c>
      <c r="J52" s="14">
        <f t="shared" si="10"/>
        <v>0</v>
      </c>
      <c r="K52" s="13">
        <f t="shared" si="0"/>
        <v>22238.621457181456</v>
      </c>
      <c r="L52" s="14">
        <f t="shared" si="10"/>
        <v>0</v>
      </c>
      <c r="M52" s="13">
        <f t="shared" si="1"/>
        <v>22238.621457181456</v>
      </c>
    </row>
    <row r="53" spans="1:13" s="1" customFormat="1" ht="10.5" x14ac:dyDescent="0.25">
      <c r="A53" s="16" t="s">
        <v>84</v>
      </c>
      <c r="B53" s="5"/>
      <c r="C53" s="5"/>
      <c r="D53" s="5"/>
      <c r="E53" s="5"/>
      <c r="F53" s="5"/>
      <c r="G53" s="5"/>
      <c r="H53" s="5"/>
      <c r="I53" s="5"/>
      <c r="J53" s="6"/>
      <c r="K53" s="5">
        <f t="shared" si="0"/>
        <v>0</v>
      </c>
      <c r="L53" s="6"/>
      <c r="M53" s="5">
        <f t="shared" si="1"/>
        <v>0</v>
      </c>
    </row>
    <row r="54" spans="1:13" s="1" customFormat="1" ht="10" x14ac:dyDescent="0.2">
      <c r="A54" s="17" t="s">
        <v>85</v>
      </c>
      <c r="B54" s="10">
        <v>0</v>
      </c>
      <c r="C54" s="10">
        <v>0</v>
      </c>
      <c r="D54" s="10">
        <v>52198.153604441948</v>
      </c>
      <c r="E54" s="10">
        <v>0</v>
      </c>
      <c r="F54" s="10">
        <v>0</v>
      </c>
      <c r="G54" s="10">
        <v>2842.429110643056</v>
      </c>
      <c r="H54" s="10">
        <v>0</v>
      </c>
      <c r="I54" s="10">
        <v>27482.213130964348</v>
      </c>
      <c r="J54" s="11"/>
      <c r="K54" s="10">
        <f t="shared" si="0"/>
        <v>82522.795846049354</v>
      </c>
      <c r="L54" s="11"/>
      <c r="M54" s="10">
        <f t="shared" si="1"/>
        <v>82522.795846049354</v>
      </c>
    </row>
    <row r="55" spans="1:13" s="1" customFormat="1" ht="10" x14ac:dyDescent="0.2">
      <c r="A55" s="17" t="s">
        <v>86</v>
      </c>
      <c r="B55" s="10">
        <v>0</v>
      </c>
      <c r="C55" s="10">
        <v>0</v>
      </c>
      <c r="D55" s="10">
        <v>5770.0221472798594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1"/>
      <c r="K55" s="10">
        <f t="shared" si="0"/>
        <v>5770.0221472798594</v>
      </c>
      <c r="L55" s="11"/>
      <c r="M55" s="10">
        <f t="shared" si="1"/>
        <v>5770.0221472798594</v>
      </c>
    </row>
    <row r="56" spans="1:13" s="1" customFormat="1" ht="10" x14ac:dyDescent="0.2">
      <c r="A56" s="17" t="s">
        <v>87</v>
      </c>
      <c r="B56" s="10">
        <v>0</v>
      </c>
      <c r="C56" s="10">
        <v>0</v>
      </c>
      <c r="D56" s="10">
        <v>205431.21592084542</v>
      </c>
      <c r="E56" s="10">
        <v>0</v>
      </c>
      <c r="F56" s="10">
        <v>5725.8000718839248</v>
      </c>
      <c r="G56" s="10">
        <v>791.35810466766895</v>
      </c>
      <c r="H56" s="10">
        <v>0</v>
      </c>
      <c r="I56" s="10">
        <v>34659.900817561211</v>
      </c>
      <c r="J56" s="11"/>
      <c r="K56" s="10">
        <f t="shared" si="0"/>
        <v>246608.27491495822</v>
      </c>
      <c r="L56" s="11"/>
      <c r="M56" s="10">
        <f t="shared" si="1"/>
        <v>246608.27491495822</v>
      </c>
    </row>
    <row r="57" spans="1:13" s="1" customFormat="1" ht="10.5" x14ac:dyDescent="0.25">
      <c r="A57" s="21" t="s">
        <v>88</v>
      </c>
      <c r="B57" s="13">
        <f t="shared" ref="B57:L57" si="11">SUM(B54:B56)</f>
        <v>0</v>
      </c>
      <c r="C57" s="13">
        <f t="shared" si="11"/>
        <v>0</v>
      </c>
      <c r="D57" s="13">
        <f t="shared" si="11"/>
        <v>263399.39167256723</v>
      </c>
      <c r="E57" s="13">
        <f t="shared" si="11"/>
        <v>0</v>
      </c>
      <c r="F57" s="13">
        <f t="shared" si="11"/>
        <v>5725.8000718839248</v>
      </c>
      <c r="G57" s="13">
        <f t="shared" si="11"/>
        <v>3633.7872153107251</v>
      </c>
      <c r="H57" s="13">
        <f t="shared" si="11"/>
        <v>0</v>
      </c>
      <c r="I57" s="13">
        <f t="shared" si="11"/>
        <v>62142.113948525555</v>
      </c>
      <c r="J57" s="14">
        <f t="shared" si="11"/>
        <v>0</v>
      </c>
      <c r="K57" s="13">
        <f t="shared" si="0"/>
        <v>334901.09290828748</v>
      </c>
      <c r="L57" s="14">
        <f t="shared" si="11"/>
        <v>0</v>
      </c>
      <c r="M57" s="13">
        <f t="shared" si="1"/>
        <v>334901.09290828748</v>
      </c>
    </row>
    <row r="58" spans="1:13" s="1" customFormat="1" ht="10.5" x14ac:dyDescent="0.25">
      <c r="A58" s="16" t="s">
        <v>89</v>
      </c>
      <c r="B58" s="5"/>
      <c r="C58" s="5"/>
      <c r="D58" s="5"/>
      <c r="E58" s="5"/>
      <c r="F58" s="5"/>
      <c r="G58" s="5"/>
      <c r="H58" s="5"/>
      <c r="I58" s="5"/>
      <c r="J58" s="6"/>
      <c r="K58" s="5">
        <f t="shared" si="0"/>
        <v>0</v>
      </c>
      <c r="L58" s="6"/>
      <c r="M58" s="5">
        <f t="shared" si="1"/>
        <v>0</v>
      </c>
    </row>
    <row r="59" spans="1:13" s="1" customFormat="1" ht="10" x14ac:dyDescent="0.2">
      <c r="A59" s="17" t="s">
        <v>277</v>
      </c>
      <c r="B59" s="10">
        <v>0</v>
      </c>
      <c r="C59" s="10">
        <v>0</v>
      </c>
      <c r="D59" s="10">
        <v>3185.88026950828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11"/>
      <c r="K59" s="10">
        <f t="shared" si="0"/>
        <v>3185.88026950828</v>
      </c>
      <c r="L59" s="11"/>
      <c r="M59" s="10">
        <f t="shared" si="1"/>
        <v>3185.88026950828</v>
      </c>
    </row>
    <row r="60" spans="1:13" s="1" customFormat="1" ht="10" x14ac:dyDescent="0.2">
      <c r="A60" s="17" t="s">
        <v>90</v>
      </c>
      <c r="B60" s="10">
        <v>0</v>
      </c>
      <c r="C60" s="10">
        <v>0</v>
      </c>
      <c r="D60" s="10">
        <v>3532.8210630406602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11"/>
      <c r="K60" s="10">
        <f t="shared" si="0"/>
        <v>3532.8210630406602</v>
      </c>
      <c r="L60" s="11"/>
      <c r="M60" s="10">
        <f t="shared" si="1"/>
        <v>3532.8210630406602</v>
      </c>
    </row>
    <row r="61" spans="1:13" s="1" customFormat="1" ht="10.5" x14ac:dyDescent="0.25">
      <c r="A61" s="21" t="s">
        <v>91</v>
      </c>
      <c r="B61" s="13">
        <f t="shared" ref="B61:L61" si="12">SUM(B59:B60)</f>
        <v>0</v>
      </c>
      <c r="C61" s="13">
        <f t="shared" si="12"/>
        <v>0</v>
      </c>
      <c r="D61" s="13">
        <f t="shared" si="12"/>
        <v>6718.7013325489406</v>
      </c>
      <c r="E61" s="13">
        <f t="shared" si="12"/>
        <v>0</v>
      </c>
      <c r="F61" s="13">
        <f t="shared" si="12"/>
        <v>0</v>
      </c>
      <c r="G61" s="13">
        <f t="shared" si="12"/>
        <v>0</v>
      </c>
      <c r="H61" s="13">
        <f t="shared" si="12"/>
        <v>0</v>
      </c>
      <c r="I61" s="13">
        <f t="shared" si="12"/>
        <v>0</v>
      </c>
      <c r="J61" s="14">
        <f t="shared" si="12"/>
        <v>0</v>
      </c>
      <c r="K61" s="13">
        <f t="shared" si="0"/>
        <v>6718.7013325489406</v>
      </c>
      <c r="L61" s="14">
        <f t="shared" si="12"/>
        <v>0</v>
      </c>
      <c r="M61" s="13">
        <f t="shared" si="1"/>
        <v>6718.7013325489406</v>
      </c>
    </row>
    <row r="62" spans="1:13" s="1" customFormat="1" ht="10.5" x14ac:dyDescent="0.25">
      <c r="A62" s="16" t="s">
        <v>92</v>
      </c>
      <c r="B62" s="5"/>
      <c r="C62" s="5"/>
      <c r="D62" s="5"/>
      <c r="E62" s="5"/>
      <c r="F62" s="5"/>
      <c r="G62" s="5"/>
      <c r="H62" s="5"/>
      <c r="I62" s="5"/>
      <c r="J62" s="6"/>
      <c r="K62" s="5">
        <f t="shared" si="0"/>
        <v>0</v>
      </c>
      <c r="L62" s="6"/>
      <c r="M62" s="5">
        <f t="shared" si="1"/>
        <v>0</v>
      </c>
    </row>
    <row r="63" spans="1:13" s="1" customFormat="1" ht="10" x14ac:dyDescent="0.2">
      <c r="A63" s="17" t="s">
        <v>93</v>
      </c>
      <c r="B63" s="10">
        <v>0</v>
      </c>
      <c r="C63" s="10">
        <v>0</v>
      </c>
      <c r="D63" s="10">
        <v>11528.392622402385</v>
      </c>
      <c r="E63" s="10">
        <v>466.31601857002477</v>
      </c>
      <c r="F63" s="10">
        <v>2146.7732956994191</v>
      </c>
      <c r="G63" s="10">
        <v>6689.6632626549726</v>
      </c>
      <c r="H63" s="10">
        <v>0</v>
      </c>
      <c r="I63" s="10">
        <v>5639.9132515854708</v>
      </c>
      <c r="J63" s="11"/>
      <c r="K63" s="10">
        <f t="shared" si="0"/>
        <v>26471.058450912271</v>
      </c>
      <c r="L63" s="11"/>
      <c r="M63" s="10">
        <f t="shared" si="1"/>
        <v>26471.058450912271</v>
      </c>
    </row>
    <row r="64" spans="1:13" s="1" customFormat="1" ht="10" x14ac:dyDescent="0.2">
      <c r="A64" s="17" t="s">
        <v>94</v>
      </c>
      <c r="B64" s="10">
        <v>0</v>
      </c>
      <c r="C64" s="10">
        <v>0</v>
      </c>
      <c r="D64" s="10">
        <v>16734.546372010973</v>
      </c>
      <c r="E64" s="10">
        <v>1225.1440298013715</v>
      </c>
      <c r="F64" s="10">
        <v>8279.59597137114</v>
      </c>
      <c r="G64" s="10">
        <v>1803.2134061385784</v>
      </c>
      <c r="H64" s="10">
        <v>0</v>
      </c>
      <c r="I64" s="10">
        <v>29368.790644694898</v>
      </c>
      <c r="J64" s="11"/>
      <c r="K64" s="10">
        <f t="shared" si="0"/>
        <v>57411.290424016959</v>
      </c>
      <c r="L64" s="11"/>
      <c r="M64" s="10">
        <f t="shared" si="1"/>
        <v>57411.290424016959</v>
      </c>
    </row>
    <row r="65" spans="1:13" s="1" customFormat="1" ht="10" x14ac:dyDescent="0.2">
      <c r="A65" s="17" t="s">
        <v>95</v>
      </c>
      <c r="B65" s="10">
        <v>0</v>
      </c>
      <c r="C65" s="10">
        <v>0</v>
      </c>
      <c r="D65" s="10">
        <v>8277.4210365276576</v>
      </c>
      <c r="E65" s="10">
        <v>0</v>
      </c>
      <c r="F65" s="10">
        <v>7191.066552019538</v>
      </c>
      <c r="G65" s="10">
        <v>4819.07828679667</v>
      </c>
      <c r="H65" s="10">
        <v>0</v>
      </c>
      <c r="I65" s="10">
        <v>45751.183790364186</v>
      </c>
      <c r="J65" s="11"/>
      <c r="K65" s="10">
        <f t="shared" si="0"/>
        <v>66038.749665708048</v>
      </c>
      <c r="L65" s="11"/>
      <c r="M65" s="10">
        <f t="shared" si="1"/>
        <v>66038.749665708048</v>
      </c>
    </row>
    <row r="66" spans="1:13" s="1" customFormat="1" ht="10" x14ac:dyDescent="0.2">
      <c r="A66" s="17" t="s">
        <v>96</v>
      </c>
      <c r="B66" s="10">
        <v>0</v>
      </c>
      <c r="C66" s="10">
        <v>0</v>
      </c>
      <c r="D66" s="10">
        <v>18796.851207292351</v>
      </c>
      <c r="E66" s="10">
        <v>139.45602245319853</v>
      </c>
      <c r="F66" s="10">
        <v>683.77241202736582</v>
      </c>
      <c r="G66" s="10">
        <v>0</v>
      </c>
      <c r="H66" s="10">
        <v>0</v>
      </c>
      <c r="I66" s="10">
        <v>-4686.7748686029308</v>
      </c>
      <c r="J66" s="11"/>
      <c r="K66" s="10">
        <f t="shared" si="0"/>
        <v>14933.304773169988</v>
      </c>
      <c r="L66" s="11"/>
      <c r="M66" s="10">
        <f t="shared" si="1"/>
        <v>14933.304773169988</v>
      </c>
    </row>
    <row r="67" spans="1:13" s="1" customFormat="1" ht="10" x14ac:dyDescent="0.2">
      <c r="A67" s="17" t="s">
        <v>97</v>
      </c>
      <c r="B67" s="10">
        <v>0</v>
      </c>
      <c r="C67" s="10">
        <v>0</v>
      </c>
      <c r="D67" s="10">
        <v>569.30935350000004</v>
      </c>
      <c r="E67" s="10">
        <v>0</v>
      </c>
      <c r="F67" s="10">
        <v>1242.2604992655827</v>
      </c>
      <c r="G67" s="10">
        <v>0</v>
      </c>
      <c r="H67" s="10">
        <v>0</v>
      </c>
      <c r="I67" s="10">
        <v>1346.1625062848045</v>
      </c>
      <c r="J67" s="11"/>
      <c r="K67" s="10">
        <f t="shared" si="0"/>
        <v>3157.7323590503875</v>
      </c>
      <c r="L67" s="11"/>
      <c r="M67" s="10">
        <f t="shared" si="1"/>
        <v>3157.7323590503875</v>
      </c>
    </row>
    <row r="68" spans="1:13" s="1" customFormat="1" ht="10" x14ac:dyDescent="0.2">
      <c r="A68" s="17" t="s">
        <v>98</v>
      </c>
      <c r="B68" s="10">
        <v>0</v>
      </c>
      <c r="C68" s="10">
        <v>0</v>
      </c>
      <c r="D68" s="10">
        <v>7766.5042145074658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1"/>
      <c r="K68" s="10">
        <f t="shared" si="0"/>
        <v>7766.5042145074658</v>
      </c>
      <c r="L68" s="11"/>
      <c r="M68" s="10">
        <f t="shared" si="1"/>
        <v>7766.5042145074658</v>
      </c>
    </row>
    <row r="69" spans="1:13" s="1" customFormat="1" ht="10" x14ac:dyDescent="0.2">
      <c r="A69" s="17" t="s">
        <v>99</v>
      </c>
      <c r="B69" s="10">
        <v>0</v>
      </c>
      <c r="C69" s="10">
        <v>0</v>
      </c>
      <c r="D69" s="10">
        <v>85.535504198850958</v>
      </c>
      <c r="E69" s="10">
        <v>0</v>
      </c>
      <c r="F69" s="10">
        <v>0</v>
      </c>
      <c r="G69" s="10">
        <v>546.53299215961442</v>
      </c>
      <c r="H69" s="10">
        <v>0</v>
      </c>
      <c r="I69" s="10">
        <v>1772.7123462162174</v>
      </c>
      <c r="J69" s="11"/>
      <c r="K69" s="10">
        <f t="shared" si="0"/>
        <v>2404.7808425746825</v>
      </c>
      <c r="L69" s="11"/>
      <c r="M69" s="10">
        <f t="shared" si="1"/>
        <v>2404.7808425746825</v>
      </c>
    </row>
    <row r="70" spans="1:13" s="1" customFormat="1" ht="10" x14ac:dyDescent="0.2">
      <c r="A70" s="17" t="s">
        <v>278</v>
      </c>
      <c r="B70" s="10">
        <v>0</v>
      </c>
      <c r="C70" s="10">
        <v>0</v>
      </c>
      <c r="D70" s="10">
        <v>5446.6601935679673</v>
      </c>
      <c r="E70" s="10">
        <v>0</v>
      </c>
      <c r="F70" s="10">
        <v>0</v>
      </c>
      <c r="G70" s="10">
        <v>0</v>
      </c>
      <c r="H70" s="10">
        <v>0</v>
      </c>
      <c r="I70" s="10">
        <v>8977.6706668902534</v>
      </c>
      <c r="J70" s="11"/>
      <c r="K70" s="10">
        <f t="shared" si="0"/>
        <v>14424.33086045822</v>
      </c>
      <c r="L70" s="11"/>
      <c r="M70" s="10">
        <f t="shared" si="1"/>
        <v>14424.33086045822</v>
      </c>
    </row>
    <row r="71" spans="1:13" s="1" customFormat="1" ht="10" x14ac:dyDescent="0.2">
      <c r="A71" s="17" t="s">
        <v>100</v>
      </c>
      <c r="B71" s="10">
        <v>0</v>
      </c>
      <c r="C71" s="10">
        <v>0</v>
      </c>
      <c r="D71" s="10">
        <v>10872.473689896071</v>
      </c>
      <c r="E71" s="10">
        <v>0</v>
      </c>
      <c r="F71" s="10">
        <v>331.51227675033897</v>
      </c>
      <c r="G71" s="10">
        <v>1598.8563677538739</v>
      </c>
      <c r="H71" s="10">
        <v>0</v>
      </c>
      <c r="I71" s="10">
        <v>4521.5239101806937</v>
      </c>
      <c r="J71" s="11"/>
      <c r="K71" s="10">
        <f t="shared" si="0"/>
        <v>17324.366244580979</v>
      </c>
      <c r="L71" s="11"/>
      <c r="M71" s="10">
        <f t="shared" si="1"/>
        <v>17324.366244580979</v>
      </c>
    </row>
    <row r="72" spans="1:13" s="1" customFormat="1" ht="10.5" x14ac:dyDescent="0.25">
      <c r="A72" s="21" t="s">
        <v>101</v>
      </c>
      <c r="B72" s="13">
        <f t="shared" ref="B72:L72" si="13">SUM(B63:B71)</f>
        <v>0</v>
      </c>
      <c r="C72" s="13">
        <f t="shared" si="13"/>
        <v>0</v>
      </c>
      <c r="D72" s="13">
        <f t="shared" si="13"/>
        <v>80077.694193903721</v>
      </c>
      <c r="E72" s="13">
        <f t="shared" si="13"/>
        <v>1830.9160708245947</v>
      </c>
      <c r="F72" s="13">
        <f t="shared" si="13"/>
        <v>19874.981007133385</v>
      </c>
      <c r="G72" s="13">
        <f t="shared" si="13"/>
        <v>15457.344315503709</v>
      </c>
      <c r="H72" s="13">
        <f t="shared" si="13"/>
        <v>0</v>
      </c>
      <c r="I72" s="13">
        <f t="shared" si="13"/>
        <v>92691.182247613586</v>
      </c>
      <c r="J72" s="14">
        <f t="shared" si="13"/>
        <v>0</v>
      </c>
      <c r="K72" s="13">
        <f t="shared" si="0"/>
        <v>209932.11783497897</v>
      </c>
      <c r="L72" s="14">
        <f t="shared" si="13"/>
        <v>0</v>
      </c>
      <c r="M72" s="13">
        <f t="shared" si="1"/>
        <v>209932.11783497897</v>
      </c>
    </row>
    <row r="73" spans="1:13" s="1" customFormat="1" ht="10.5" x14ac:dyDescent="0.25">
      <c r="A73" s="16" t="s">
        <v>102</v>
      </c>
      <c r="B73" s="5"/>
      <c r="C73" s="5"/>
      <c r="D73" s="5"/>
      <c r="E73" s="5"/>
      <c r="F73" s="5"/>
      <c r="G73" s="5"/>
      <c r="H73" s="5"/>
      <c r="I73" s="5"/>
      <c r="J73" s="6"/>
      <c r="K73" s="5">
        <f t="shared" si="0"/>
        <v>0</v>
      </c>
      <c r="L73" s="6"/>
      <c r="M73" s="5">
        <f t="shared" si="1"/>
        <v>0</v>
      </c>
    </row>
    <row r="74" spans="1:13" s="1" customFormat="1" ht="10" x14ac:dyDescent="0.2">
      <c r="A74" s="17" t="s">
        <v>103</v>
      </c>
      <c r="B74" s="10">
        <v>30969.5</v>
      </c>
      <c r="C74" s="10">
        <v>0</v>
      </c>
      <c r="D74" s="10">
        <v>47873.941978863535</v>
      </c>
      <c r="E74" s="10">
        <v>0</v>
      </c>
      <c r="F74" s="10">
        <v>2247.5046951378599</v>
      </c>
      <c r="G74" s="10">
        <v>64.600661605523996</v>
      </c>
      <c r="H74" s="10">
        <v>0</v>
      </c>
      <c r="I74" s="10">
        <v>0</v>
      </c>
      <c r="J74" s="11"/>
      <c r="K74" s="10">
        <f t="shared" si="0"/>
        <v>50186.04733560692</v>
      </c>
      <c r="L74" s="11"/>
      <c r="M74" s="10">
        <f t="shared" si="1"/>
        <v>81155.547335606912</v>
      </c>
    </row>
    <row r="75" spans="1:13" s="1" customFormat="1" ht="10" x14ac:dyDescent="0.2">
      <c r="A75" s="17" t="s">
        <v>104</v>
      </c>
      <c r="B75" s="10">
        <v>0</v>
      </c>
      <c r="C75" s="10">
        <v>0</v>
      </c>
      <c r="D75" s="10">
        <v>38736.718222231044</v>
      </c>
      <c r="E75" s="10">
        <v>0</v>
      </c>
      <c r="F75" s="10">
        <v>0</v>
      </c>
      <c r="G75" s="10">
        <v>0</v>
      </c>
      <c r="H75" s="10">
        <v>0</v>
      </c>
      <c r="I75" s="10">
        <v>0</v>
      </c>
      <c r="J75" s="11"/>
      <c r="K75" s="10">
        <f t="shared" si="0"/>
        <v>38736.718222231044</v>
      </c>
      <c r="L75" s="11"/>
      <c r="M75" s="10">
        <f t="shared" si="1"/>
        <v>38736.718222231044</v>
      </c>
    </row>
    <row r="76" spans="1:13" s="1" customFormat="1" ht="10" x14ac:dyDescent="0.2">
      <c r="A76" s="17" t="s">
        <v>105</v>
      </c>
      <c r="B76" s="10">
        <v>46471.75</v>
      </c>
      <c r="C76" s="10">
        <v>0</v>
      </c>
      <c r="D76" s="10">
        <v>144046.16972495223</v>
      </c>
      <c r="E76" s="10">
        <v>0</v>
      </c>
      <c r="F76" s="10">
        <v>0</v>
      </c>
      <c r="G76" s="10">
        <v>0</v>
      </c>
      <c r="H76" s="10">
        <v>0</v>
      </c>
      <c r="I76" s="10">
        <v>150.07640615099999</v>
      </c>
      <c r="J76" s="11"/>
      <c r="K76" s="10">
        <f t="shared" si="0"/>
        <v>144196.24613110322</v>
      </c>
      <c r="L76" s="11"/>
      <c r="M76" s="10">
        <f t="shared" si="1"/>
        <v>190667.99613110322</v>
      </c>
    </row>
    <row r="77" spans="1:13" s="1" customFormat="1" ht="10" x14ac:dyDescent="0.2">
      <c r="A77" s="17" t="s">
        <v>279</v>
      </c>
      <c r="B77" s="10">
        <v>0</v>
      </c>
      <c r="C77" s="10">
        <v>0</v>
      </c>
      <c r="D77" s="10">
        <v>1526.2233957886494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1"/>
      <c r="K77" s="10">
        <f t="shared" ref="K77:K140" si="14">SUM(D77:J77)</f>
        <v>1526.2233957886494</v>
      </c>
      <c r="L77" s="11"/>
      <c r="M77" s="10">
        <f t="shared" ref="M77:M140" si="15">SUM(B77,K77,L77)+C77</f>
        <v>1526.2233957886494</v>
      </c>
    </row>
    <row r="78" spans="1:13" s="1" customFormat="1" ht="10" x14ac:dyDescent="0.2">
      <c r="A78" s="17" t="s">
        <v>106</v>
      </c>
      <c r="B78" s="10">
        <v>33675</v>
      </c>
      <c r="C78" s="10">
        <v>1558.85715</v>
      </c>
      <c r="D78" s="10">
        <v>1282.9637058202979</v>
      </c>
      <c r="E78" s="10">
        <v>293.66219999999998</v>
      </c>
      <c r="F78" s="10">
        <v>5958.2689554518638</v>
      </c>
      <c r="G78" s="10">
        <v>24749.169012897528</v>
      </c>
      <c r="H78" s="10">
        <v>0</v>
      </c>
      <c r="I78" s="10">
        <v>2136.3632932637024</v>
      </c>
      <c r="J78" s="11"/>
      <c r="K78" s="10">
        <f t="shared" si="14"/>
        <v>34420.427167433394</v>
      </c>
      <c r="L78" s="11"/>
      <c r="M78" s="10">
        <f t="shared" si="15"/>
        <v>69654.284317433398</v>
      </c>
    </row>
    <row r="79" spans="1:13" s="1" customFormat="1" ht="10" x14ac:dyDescent="0.2">
      <c r="A79" s="17" t="s">
        <v>107</v>
      </c>
      <c r="B79" s="10">
        <v>65000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1"/>
      <c r="K79" s="10">
        <f t="shared" si="14"/>
        <v>0</v>
      </c>
      <c r="L79" s="11"/>
      <c r="M79" s="10">
        <f t="shared" si="15"/>
        <v>65000</v>
      </c>
    </row>
    <row r="80" spans="1:13" s="1" customFormat="1" ht="10.5" x14ac:dyDescent="0.25">
      <c r="A80" s="21" t="s">
        <v>108</v>
      </c>
      <c r="B80" s="13">
        <f t="shared" ref="B80:L80" si="16">SUM(B74:B79)</f>
        <v>176116.25</v>
      </c>
      <c r="C80" s="13">
        <f t="shared" si="16"/>
        <v>1558.85715</v>
      </c>
      <c r="D80" s="13">
        <f t="shared" si="16"/>
        <v>233466.01702765576</v>
      </c>
      <c r="E80" s="13">
        <f t="shared" si="16"/>
        <v>293.66219999999998</v>
      </c>
      <c r="F80" s="13">
        <f t="shared" si="16"/>
        <v>8205.7736505897228</v>
      </c>
      <c r="G80" s="13">
        <f t="shared" si="16"/>
        <v>24813.769674503052</v>
      </c>
      <c r="H80" s="13">
        <f t="shared" si="16"/>
        <v>0</v>
      </c>
      <c r="I80" s="13">
        <f t="shared" si="16"/>
        <v>2286.4396994147023</v>
      </c>
      <c r="J80" s="14">
        <f t="shared" si="16"/>
        <v>0</v>
      </c>
      <c r="K80" s="13">
        <f t="shared" si="14"/>
        <v>269065.66225216322</v>
      </c>
      <c r="L80" s="14">
        <f t="shared" si="16"/>
        <v>0</v>
      </c>
      <c r="M80" s="13">
        <f t="shared" si="15"/>
        <v>446740.76940216322</v>
      </c>
    </row>
    <row r="81" spans="1:13" s="1" customFormat="1" ht="10.5" x14ac:dyDescent="0.25">
      <c r="A81" s="16" t="s">
        <v>109</v>
      </c>
      <c r="B81" s="5"/>
      <c r="C81" s="5"/>
      <c r="D81" s="5"/>
      <c r="E81" s="5"/>
      <c r="F81" s="5"/>
      <c r="G81" s="5"/>
      <c r="H81" s="5"/>
      <c r="I81" s="5"/>
      <c r="J81" s="6"/>
      <c r="K81" s="5">
        <f t="shared" si="14"/>
        <v>0</v>
      </c>
      <c r="L81" s="6"/>
      <c r="M81" s="5">
        <f t="shared" si="15"/>
        <v>0</v>
      </c>
    </row>
    <row r="82" spans="1:13" s="1" customFormat="1" ht="10" x14ac:dyDescent="0.2">
      <c r="A82" s="17" t="s">
        <v>110</v>
      </c>
      <c r="B82" s="10">
        <v>0</v>
      </c>
      <c r="C82" s="10">
        <v>0</v>
      </c>
      <c r="D82" s="10">
        <v>4070.9736484829928</v>
      </c>
      <c r="E82" s="10">
        <v>56.033805789156006</v>
      </c>
      <c r="F82" s="10">
        <v>48.494649577482768</v>
      </c>
      <c r="G82" s="10">
        <v>2928.8803118448031</v>
      </c>
      <c r="H82" s="10">
        <v>0</v>
      </c>
      <c r="I82" s="10">
        <v>12057.019168549878</v>
      </c>
      <c r="J82" s="11"/>
      <c r="K82" s="10">
        <f t="shared" si="14"/>
        <v>19161.401584244311</v>
      </c>
      <c r="L82" s="11"/>
      <c r="M82" s="10">
        <f t="shared" si="15"/>
        <v>19161.401584244311</v>
      </c>
    </row>
    <row r="83" spans="1:13" s="1" customFormat="1" ht="10" x14ac:dyDescent="0.2">
      <c r="A83" s="17" t="s">
        <v>111</v>
      </c>
      <c r="B83" s="10">
        <v>0</v>
      </c>
      <c r="C83" s="10">
        <v>0</v>
      </c>
      <c r="D83" s="10">
        <v>5065.1036815095113</v>
      </c>
      <c r="E83" s="10">
        <v>0</v>
      </c>
      <c r="F83" s="10">
        <v>0</v>
      </c>
      <c r="G83" s="10">
        <v>4187.3091092793193</v>
      </c>
      <c r="H83" s="10">
        <v>0</v>
      </c>
      <c r="I83" s="10">
        <v>655.07619310034681</v>
      </c>
      <c r="J83" s="11"/>
      <c r="K83" s="10">
        <f t="shared" si="14"/>
        <v>9907.4889838891777</v>
      </c>
      <c r="L83" s="11"/>
      <c r="M83" s="10">
        <f t="shared" si="15"/>
        <v>9907.4889838891777</v>
      </c>
    </row>
    <row r="84" spans="1:13" s="1" customFormat="1" ht="10" x14ac:dyDescent="0.2">
      <c r="A84" s="17" t="s">
        <v>112</v>
      </c>
      <c r="B84" s="10">
        <v>0</v>
      </c>
      <c r="C84" s="10">
        <v>0</v>
      </c>
      <c r="D84" s="10">
        <v>293.27027684502332</v>
      </c>
      <c r="E84" s="10">
        <v>0</v>
      </c>
      <c r="F84" s="10">
        <v>115.70571416588663</v>
      </c>
      <c r="G84" s="10">
        <v>269.44592294191426</v>
      </c>
      <c r="H84" s="10">
        <v>0</v>
      </c>
      <c r="I84" s="10">
        <v>5693.9895357428122</v>
      </c>
      <c r="J84" s="11"/>
      <c r="K84" s="10">
        <f t="shared" si="14"/>
        <v>6372.4114496956363</v>
      </c>
      <c r="L84" s="11"/>
      <c r="M84" s="10">
        <f t="shared" si="15"/>
        <v>6372.4114496956363</v>
      </c>
    </row>
    <row r="85" spans="1:13" s="1" customFormat="1" ht="10" x14ac:dyDescent="0.2">
      <c r="A85" s="17" t="s">
        <v>113</v>
      </c>
      <c r="B85" s="10">
        <v>0</v>
      </c>
      <c r="C85" s="10">
        <v>0</v>
      </c>
      <c r="D85" s="10">
        <v>118372.95315455561</v>
      </c>
      <c r="E85" s="10">
        <v>8364.4017139106782</v>
      </c>
      <c r="F85" s="10">
        <v>1499.9852012787019</v>
      </c>
      <c r="G85" s="10">
        <v>0</v>
      </c>
      <c r="H85" s="10">
        <v>0</v>
      </c>
      <c r="I85" s="10">
        <v>34457.428421690936</v>
      </c>
      <c r="J85" s="11"/>
      <c r="K85" s="10">
        <f t="shared" si="14"/>
        <v>162694.76849143591</v>
      </c>
      <c r="L85" s="11"/>
      <c r="M85" s="10">
        <f t="shared" si="15"/>
        <v>162694.76849143591</v>
      </c>
    </row>
    <row r="86" spans="1:13" s="1" customFormat="1" ht="10" x14ac:dyDescent="0.2">
      <c r="A86" s="17" t="s">
        <v>114</v>
      </c>
      <c r="B86" s="10">
        <v>0</v>
      </c>
      <c r="C86" s="10">
        <v>0</v>
      </c>
      <c r="D86" s="10">
        <v>0</v>
      </c>
      <c r="E86" s="10">
        <v>0</v>
      </c>
      <c r="F86" s="10">
        <v>0</v>
      </c>
      <c r="G86" s="10">
        <v>344.92836125887209</v>
      </c>
      <c r="H86" s="10">
        <v>0</v>
      </c>
      <c r="I86" s="10">
        <v>0</v>
      </c>
      <c r="J86" s="11"/>
      <c r="K86" s="10">
        <f t="shared" si="14"/>
        <v>344.92836125887209</v>
      </c>
      <c r="L86" s="11"/>
      <c r="M86" s="10">
        <f t="shared" si="15"/>
        <v>344.92836125887209</v>
      </c>
    </row>
    <row r="87" spans="1:13" s="1" customFormat="1" ht="10" x14ac:dyDescent="0.2">
      <c r="A87" s="17" t="s">
        <v>280</v>
      </c>
      <c r="B87" s="10">
        <v>0</v>
      </c>
      <c r="C87" s="10">
        <v>0</v>
      </c>
      <c r="D87" s="10">
        <v>1698.5526819315389</v>
      </c>
      <c r="E87" s="10">
        <v>0</v>
      </c>
      <c r="F87" s="10">
        <v>0</v>
      </c>
      <c r="G87" s="10">
        <v>0</v>
      </c>
      <c r="H87" s="10">
        <v>0</v>
      </c>
      <c r="I87" s="10">
        <v>0</v>
      </c>
      <c r="J87" s="11"/>
      <c r="K87" s="10">
        <f t="shared" si="14"/>
        <v>1698.5526819315389</v>
      </c>
      <c r="L87" s="11"/>
      <c r="M87" s="10">
        <f t="shared" si="15"/>
        <v>1698.5526819315389</v>
      </c>
    </row>
    <row r="88" spans="1:13" s="1" customFormat="1" ht="10.5" x14ac:dyDescent="0.25">
      <c r="A88" s="21" t="s">
        <v>115</v>
      </c>
      <c r="B88" s="13">
        <f t="shared" ref="B88:L88" si="17">SUM(B82:B87)</f>
        <v>0</v>
      </c>
      <c r="C88" s="13">
        <f t="shared" si="17"/>
        <v>0</v>
      </c>
      <c r="D88" s="13">
        <f t="shared" si="17"/>
        <v>129500.85344332468</v>
      </c>
      <c r="E88" s="13">
        <f t="shared" si="17"/>
        <v>8420.4355196998349</v>
      </c>
      <c r="F88" s="13">
        <f t="shared" si="17"/>
        <v>1664.1855650220714</v>
      </c>
      <c r="G88" s="13">
        <f t="shared" si="17"/>
        <v>7730.5637053249093</v>
      </c>
      <c r="H88" s="13">
        <f t="shared" si="17"/>
        <v>0</v>
      </c>
      <c r="I88" s="13">
        <f t="shared" si="17"/>
        <v>52863.51331908397</v>
      </c>
      <c r="J88" s="14">
        <f t="shared" si="17"/>
        <v>0</v>
      </c>
      <c r="K88" s="13">
        <f t="shared" si="14"/>
        <v>200179.55155245546</v>
      </c>
      <c r="L88" s="14">
        <f t="shared" si="17"/>
        <v>0</v>
      </c>
      <c r="M88" s="13">
        <f t="shared" si="15"/>
        <v>200179.55155245546</v>
      </c>
    </row>
    <row r="89" spans="1:13" s="1" customFormat="1" ht="10.5" x14ac:dyDescent="0.25">
      <c r="A89" s="16" t="s">
        <v>116</v>
      </c>
      <c r="B89" s="5"/>
      <c r="C89" s="5"/>
      <c r="D89" s="5"/>
      <c r="E89" s="5"/>
      <c r="F89" s="5"/>
      <c r="G89" s="5"/>
      <c r="H89" s="5"/>
      <c r="I89" s="5"/>
      <c r="J89" s="6"/>
      <c r="K89" s="5">
        <f t="shared" si="14"/>
        <v>0</v>
      </c>
      <c r="L89" s="6"/>
      <c r="M89" s="5">
        <f t="shared" si="15"/>
        <v>0</v>
      </c>
    </row>
    <row r="90" spans="1:13" s="1" customFormat="1" ht="10" x14ac:dyDescent="0.2">
      <c r="A90" s="17" t="s">
        <v>117</v>
      </c>
      <c r="B90" s="10">
        <v>5420.63</v>
      </c>
      <c r="C90" s="10">
        <v>0</v>
      </c>
      <c r="D90" s="10">
        <v>57562.931128450495</v>
      </c>
      <c r="E90" s="10">
        <v>0</v>
      </c>
      <c r="F90" s="10">
        <v>9.2108317918502998</v>
      </c>
      <c r="G90" s="10">
        <v>1754.136788031434</v>
      </c>
      <c r="H90" s="10">
        <v>0</v>
      </c>
      <c r="I90" s="10">
        <v>3327.0624860318776</v>
      </c>
      <c r="J90" s="11"/>
      <c r="K90" s="10">
        <f t="shared" si="14"/>
        <v>62653.341234305663</v>
      </c>
      <c r="L90" s="11"/>
      <c r="M90" s="10">
        <f t="shared" si="15"/>
        <v>68073.97123430566</v>
      </c>
    </row>
    <row r="91" spans="1:13" s="1" customFormat="1" ht="10" x14ac:dyDescent="0.2">
      <c r="A91" s="17" t="s">
        <v>118</v>
      </c>
      <c r="B91" s="10">
        <v>0</v>
      </c>
      <c r="C91" s="10">
        <v>0</v>
      </c>
      <c r="D91" s="10">
        <v>15305.946703310326</v>
      </c>
      <c r="E91" s="10">
        <v>0</v>
      </c>
      <c r="F91" s="10">
        <v>0</v>
      </c>
      <c r="G91" s="10">
        <v>0</v>
      </c>
      <c r="H91" s="10">
        <v>0</v>
      </c>
      <c r="I91" s="10">
        <v>0</v>
      </c>
      <c r="J91" s="11"/>
      <c r="K91" s="10">
        <f t="shared" si="14"/>
        <v>15305.946703310326</v>
      </c>
      <c r="L91" s="11"/>
      <c r="M91" s="10">
        <f t="shared" si="15"/>
        <v>15305.946703310326</v>
      </c>
    </row>
    <row r="92" spans="1:13" s="1" customFormat="1" ht="10" x14ac:dyDescent="0.2">
      <c r="A92" s="17" t="s">
        <v>119</v>
      </c>
      <c r="B92" s="10">
        <v>1362.27</v>
      </c>
      <c r="C92" s="10">
        <v>0</v>
      </c>
      <c r="D92" s="10">
        <v>0</v>
      </c>
      <c r="E92" s="10">
        <v>0</v>
      </c>
      <c r="F92" s="10">
        <v>0</v>
      </c>
      <c r="G92" s="10">
        <v>0</v>
      </c>
      <c r="H92" s="10">
        <v>0</v>
      </c>
      <c r="I92" s="10">
        <v>0</v>
      </c>
      <c r="J92" s="11"/>
      <c r="K92" s="10">
        <f t="shared" si="14"/>
        <v>0</v>
      </c>
      <c r="L92" s="11"/>
      <c r="M92" s="10">
        <f t="shared" si="15"/>
        <v>1362.27</v>
      </c>
    </row>
    <row r="93" spans="1:13" s="1" customFormat="1" ht="10" x14ac:dyDescent="0.2">
      <c r="A93" s="17" t="s">
        <v>120</v>
      </c>
      <c r="B93" s="10">
        <v>0</v>
      </c>
      <c r="C93" s="10">
        <v>0</v>
      </c>
      <c r="D93" s="10">
        <v>5326.6125579873769</v>
      </c>
      <c r="E93" s="10">
        <v>0</v>
      </c>
      <c r="F93" s="10">
        <v>0</v>
      </c>
      <c r="G93" s="10">
        <v>117.11826209533091</v>
      </c>
      <c r="H93" s="10">
        <v>1060.5058309643071</v>
      </c>
      <c r="I93" s="10">
        <v>113.49824215462779</v>
      </c>
      <c r="J93" s="11"/>
      <c r="K93" s="10">
        <f t="shared" si="14"/>
        <v>6617.7348932016421</v>
      </c>
      <c r="L93" s="11"/>
      <c r="M93" s="10">
        <f t="shared" si="15"/>
        <v>6617.7348932016421</v>
      </c>
    </row>
    <row r="94" spans="1:13" s="1" customFormat="1" ht="10" x14ac:dyDescent="0.2">
      <c r="A94" s="17" t="s">
        <v>121</v>
      </c>
      <c r="B94" s="10">
        <v>0</v>
      </c>
      <c r="C94" s="10">
        <v>0</v>
      </c>
      <c r="D94" s="10">
        <v>0</v>
      </c>
      <c r="E94" s="10">
        <v>0</v>
      </c>
      <c r="F94" s="10">
        <v>0</v>
      </c>
      <c r="G94" s="10">
        <v>6133.413515475524</v>
      </c>
      <c r="H94" s="10">
        <v>0</v>
      </c>
      <c r="I94" s="10">
        <v>0</v>
      </c>
      <c r="J94" s="11"/>
      <c r="K94" s="10">
        <f t="shared" si="14"/>
        <v>6133.413515475524</v>
      </c>
      <c r="L94" s="11"/>
      <c r="M94" s="10">
        <f t="shared" si="15"/>
        <v>6133.413515475524</v>
      </c>
    </row>
    <row r="95" spans="1:13" s="1" customFormat="1" ht="10" x14ac:dyDescent="0.2">
      <c r="A95" s="17" t="s">
        <v>122</v>
      </c>
      <c r="B95" s="10">
        <v>1342.5</v>
      </c>
      <c r="C95" s="10">
        <v>0</v>
      </c>
      <c r="D95" s="10">
        <v>0</v>
      </c>
      <c r="E95" s="10">
        <v>166.47899826706811</v>
      </c>
      <c r="F95" s="10">
        <v>0</v>
      </c>
      <c r="G95" s="10">
        <v>0</v>
      </c>
      <c r="H95" s="10">
        <v>0</v>
      </c>
      <c r="I95" s="10">
        <v>0</v>
      </c>
      <c r="J95" s="11"/>
      <c r="K95" s="10">
        <f t="shared" si="14"/>
        <v>166.47899826706811</v>
      </c>
      <c r="L95" s="11"/>
      <c r="M95" s="10">
        <f t="shared" si="15"/>
        <v>1508.9789982670682</v>
      </c>
    </row>
    <row r="96" spans="1:13" s="1" customFormat="1" ht="10" x14ac:dyDescent="0.2">
      <c r="A96" s="17" t="s">
        <v>281</v>
      </c>
      <c r="B96" s="10">
        <v>0</v>
      </c>
      <c r="C96" s="10">
        <v>0</v>
      </c>
      <c r="D96" s="10">
        <v>0</v>
      </c>
      <c r="E96" s="10">
        <v>0</v>
      </c>
      <c r="F96" s="10">
        <v>0</v>
      </c>
      <c r="G96" s="10">
        <v>238.13843007132749</v>
      </c>
      <c r="H96" s="10">
        <v>0</v>
      </c>
      <c r="I96" s="10">
        <v>0</v>
      </c>
      <c r="J96" s="11"/>
      <c r="K96" s="10">
        <f t="shared" si="14"/>
        <v>238.13843007132749</v>
      </c>
      <c r="L96" s="11"/>
      <c r="M96" s="10">
        <f t="shared" si="15"/>
        <v>238.13843007132749</v>
      </c>
    </row>
    <row r="97" spans="1:13" s="1" customFormat="1" ht="10" x14ac:dyDescent="0.2">
      <c r="A97" s="17" t="s">
        <v>123</v>
      </c>
      <c r="B97" s="10">
        <v>0</v>
      </c>
      <c r="C97" s="10">
        <v>0</v>
      </c>
      <c r="D97" s="10">
        <v>16474.179330893661</v>
      </c>
      <c r="E97" s="10">
        <v>75.639799904099164</v>
      </c>
      <c r="F97" s="10">
        <v>444.75442502621814</v>
      </c>
      <c r="G97" s="10">
        <v>0</v>
      </c>
      <c r="H97" s="10">
        <v>0</v>
      </c>
      <c r="I97" s="10">
        <v>3529.359391464724</v>
      </c>
      <c r="J97" s="11"/>
      <c r="K97" s="10">
        <f t="shared" si="14"/>
        <v>20523.932947288704</v>
      </c>
      <c r="L97" s="11"/>
      <c r="M97" s="10">
        <f t="shared" si="15"/>
        <v>20523.932947288704</v>
      </c>
    </row>
    <row r="98" spans="1:13" s="1" customFormat="1" ht="10" x14ac:dyDescent="0.2">
      <c r="A98" s="17" t="s">
        <v>282</v>
      </c>
      <c r="B98" s="10">
        <v>0</v>
      </c>
      <c r="C98" s="10">
        <v>0</v>
      </c>
      <c r="D98" s="10">
        <v>0</v>
      </c>
      <c r="E98" s="10">
        <v>0</v>
      </c>
      <c r="F98" s="10">
        <v>0</v>
      </c>
      <c r="G98" s="10">
        <v>8.1369035582039995E-3</v>
      </c>
      <c r="H98" s="10">
        <v>0</v>
      </c>
      <c r="I98" s="10">
        <v>0</v>
      </c>
      <c r="J98" s="11"/>
      <c r="K98" s="10">
        <f t="shared" si="14"/>
        <v>8.1369035582039995E-3</v>
      </c>
      <c r="L98" s="11"/>
      <c r="M98" s="10">
        <f t="shared" si="15"/>
        <v>8.1369035582039995E-3</v>
      </c>
    </row>
    <row r="99" spans="1:13" s="1" customFormat="1" ht="10" x14ac:dyDescent="0.2">
      <c r="A99" s="17" t="s">
        <v>124</v>
      </c>
      <c r="B99" s="10">
        <v>0</v>
      </c>
      <c r="C99" s="10">
        <v>0</v>
      </c>
      <c r="D99" s="10">
        <v>5013.1667444990062</v>
      </c>
      <c r="E99" s="10">
        <v>0</v>
      </c>
      <c r="F99" s="10">
        <v>2894.21266044</v>
      </c>
      <c r="G99" s="10">
        <v>0</v>
      </c>
      <c r="H99" s="10">
        <v>0</v>
      </c>
      <c r="I99" s="10">
        <v>0</v>
      </c>
      <c r="J99" s="11"/>
      <c r="K99" s="10">
        <f t="shared" si="14"/>
        <v>7907.3794049390062</v>
      </c>
      <c r="L99" s="11"/>
      <c r="M99" s="10">
        <f t="shared" si="15"/>
        <v>7907.3794049390062</v>
      </c>
    </row>
    <row r="100" spans="1:13" s="1" customFormat="1" ht="10" x14ac:dyDescent="0.2">
      <c r="A100" s="17" t="s">
        <v>125</v>
      </c>
      <c r="B100" s="10">
        <v>0</v>
      </c>
      <c r="C100" s="10">
        <v>0</v>
      </c>
      <c r="D100" s="10">
        <v>212.46048057505163</v>
      </c>
      <c r="E100" s="10">
        <v>0</v>
      </c>
      <c r="F100" s="10">
        <v>0</v>
      </c>
      <c r="G100" s="10">
        <v>0</v>
      </c>
      <c r="H100" s="10">
        <v>0</v>
      </c>
      <c r="I100" s="10">
        <v>0</v>
      </c>
      <c r="J100" s="11"/>
      <c r="K100" s="10">
        <f t="shared" si="14"/>
        <v>212.46048057505163</v>
      </c>
      <c r="L100" s="11"/>
      <c r="M100" s="10">
        <f t="shared" si="15"/>
        <v>212.46048057505163</v>
      </c>
    </row>
    <row r="101" spans="1:13" s="1" customFormat="1" ht="10.5" x14ac:dyDescent="0.25">
      <c r="A101" s="21" t="s">
        <v>126</v>
      </c>
      <c r="B101" s="13">
        <f t="shared" ref="B101:L101" si="18">SUM(B90:B100)</f>
        <v>8125.4</v>
      </c>
      <c r="C101" s="13">
        <f t="shared" si="18"/>
        <v>0</v>
      </c>
      <c r="D101" s="13">
        <f t="shared" si="18"/>
        <v>99895.29694571592</v>
      </c>
      <c r="E101" s="13">
        <f t="shared" si="18"/>
        <v>242.11879817116727</v>
      </c>
      <c r="F101" s="13">
        <f t="shared" si="18"/>
        <v>3348.1779172580686</v>
      </c>
      <c r="G101" s="13">
        <f t="shared" si="18"/>
        <v>8242.8151325771742</v>
      </c>
      <c r="H101" s="13">
        <f t="shared" si="18"/>
        <v>1060.5058309643071</v>
      </c>
      <c r="I101" s="13">
        <f t="shared" si="18"/>
        <v>6969.9201196512295</v>
      </c>
      <c r="J101" s="14">
        <f t="shared" si="18"/>
        <v>0</v>
      </c>
      <c r="K101" s="13">
        <f t="shared" si="14"/>
        <v>119758.83474433787</v>
      </c>
      <c r="L101" s="14">
        <f t="shared" si="18"/>
        <v>0</v>
      </c>
      <c r="M101" s="13">
        <f t="shared" si="15"/>
        <v>127884.23474433787</v>
      </c>
    </row>
    <row r="102" spans="1:13" s="1" customFormat="1" ht="10.5" x14ac:dyDescent="0.25">
      <c r="A102" s="16" t="s">
        <v>127</v>
      </c>
      <c r="B102" s="5"/>
      <c r="C102" s="5"/>
      <c r="D102" s="5"/>
      <c r="E102" s="5"/>
      <c r="F102" s="5"/>
      <c r="G102" s="5"/>
      <c r="H102" s="5"/>
      <c r="I102" s="5"/>
      <c r="J102" s="6"/>
      <c r="K102" s="5">
        <f t="shared" si="14"/>
        <v>0</v>
      </c>
      <c r="L102" s="6"/>
      <c r="M102" s="5">
        <f t="shared" si="15"/>
        <v>0</v>
      </c>
    </row>
    <row r="103" spans="1:13" s="1" customFormat="1" ht="10" x14ac:dyDescent="0.2">
      <c r="A103" s="17" t="s">
        <v>283</v>
      </c>
      <c r="B103" s="10">
        <v>0</v>
      </c>
      <c r="C103" s="10">
        <v>0</v>
      </c>
      <c r="D103" s="10">
        <v>78.700417769717944</v>
      </c>
      <c r="E103" s="10">
        <v>0</v>
      </c>
      <c r="F103" s="10">
        <v>0</v>
      </c>
      <c r="G103" s="10">
        <v>962.65078972033427</v>
      </c>
      <c r="H103" s="10">
        <v>0</v>
      </c>
      <c r="I103" s="10">
        <v>0</v>
      </c>
      <c r="J103" s="11"/>
      <c r="K103" s="10">
        <f t="shared" si="14"/>
        <v>1041.3512074900523</v>
      </c>
      <c r="L103" s="11"/>
      <c r="M103" s="10">
        <f t="shared" si="15"/>
        <v>1041.3512074900523</v>
      </c>
    </row>
    <row r="104" spans="1:13" s="1" customFormat="1" ht="10.5" x14ac:dyDescent="0.25">
      <c r="A104" s="21" t="s">
        <v>128</v>
      </c>
      <c r="B104" s="13">
        <f t="shared" ref="B104:L104" si="19">SUM(B103)</f>
        <v>0</v>
      </c>
      <c r="C104" s="13">
        <f t="shared" si="19"/>
        <v>0</v>
      </c>
      <c r="D104" s="13">
        <f t="shared" si="19"/>
        <v>78.700417769717944</v>
      </c>
      <c r="E104" s="13">
        <f t="shared" si="19"/>
        <v>0</v>
      </c>
      <c r="F104" s="13">
        <f t="shared" si="19"/>
        <v>0</v>
      </c>
      <c r="G104" s="13">
        <f t="shared" si="19"/>
        <v>962.65078972033427</v>
      </c>
      <c r="H104" s="13">
        <f t="shared" si="19"/>
        <v>0</v>
      </c>
      <c r="I104" s="13">
        <f t="shared" si="19"/>
        <v>0</v>
      </c>
      <c r="J104" s="14">
        <f t="shared" si="19"/>
        <v>0</v>
      </c>
      <c r="K104" s="13">
        <f t="shared" si="14"/>
        <v>1041.3512074900523</v>
      </c>
      <c r="L104" s="14">
        <f t="shared" si="19"/>
        <v>0</v>
      </c>
      <c r="M104" s="13">
        <f t="shared" si="15"/>
        <v>1041.3512074900523</v>
      </c>
    </row>
    <row r="105" spans="1:13" s="1" customFormat="1" ht="10.5" x14ac:dyDescent="0.25">
      <c r="A105" s="16" t="s">
        <v>284</v>
      </c>
      <c r="B105" s="5"/>
      <c r="C105" s="5"/>
      <c r="D105" s="5"/>
      <c r="E105" s="5"/>
      <c r="F105" s="5"/>
      <c r="G105" s="5"/>
      <c r="H105" s="5"/>
      <c r="I105" s="5"/>
      <c r="J105" s="6"/>
      <c r="K105" s="5">
        <f t="shared" si="14"/>
        <v>0</v>
      </c>
      <c r="L105" s="6"/>
      <c r="M105" s="5">
        <f t="shared" si="15"/>
        <v>0</v>
      </c>
    </row>
    <row r="106" spans="1:13" s="1" customFormat="1" ht="10" x14ac:dyDescent="0.2">
      <c r="A106" s="17" t="s">
        <v>285</v>
      </c>
      <c r="B106" s="10">
        <v>0</v>
      </c>
      <c r="C106" s="10">
        <v>0</v>
      </c>
      <c r="D106" s="10">
        <v>3907.409870099048</v>
      </c>
      <c r="E106" s="10">
        <v>0</v>
      </c>
      <c r="F106" s="10">
        <v>0</v>
      </c>
      <c r="G106" s="10">
        <v>0</v>
      </c>
      <c r="H106" s="10">
        <v>0</v>
      </c>
      <c r="I106" s="10">
        <v>0</v>
      </c>
      <c r="J106" s="11"/>
      <c r="K106" s="10">
        <f t="shared" si="14"/>
        <v>3907.409870099048</v>
      </c>
      <c r="L106" s="11"/>
      <c r="M106" s="10">
        <f t="shared" si="15"/>
        <v>3907.409870099048</v>
      </c>
    </row>
    <row r="107" spans="1:13" s="1" customFormat="1" ht="10.5" x14ac:dyDescent="0.25">
      <c r="A107" s="21" t="s">
        <v>286</v>
      </c>
      <c r="B107" s="13">
        <f t="shared" ref="B107:L107" si="20">SUM(B106)</f>
        <v>0</v>
      </c>
      <c r="C107" s="13">
        <f t="shared" si="20"/>
        <v>0</v>
      </c>
      <c r="D107" s="13">
        <f t="shared" si="20"/>
        <v>3907.409870099048</v>
      </c>
      <c r="E107" s="13">
        <f t="shared" si="20"/>
        <v>0</v>
      </c>
      <c r="F107" s="13">
        <f t="shared" si="20"/>
        <v>0</v>
      </c>
      <c r="G107" s="13">
        <f t="shared" si="20"/>
        <v>0</v>
      </c>
      <c r="H107" s="13">
        <f t="shared" si="20"/>
        <v>0</v>
      </c>
      <c r="I107" s="13">
        <f t="shared" si="20"/>
        <v>0</v>
      </c>
      <c r="J107" s="14">
        <f t="shared" si="20"/>
        <v>0</v>
      </c>
      <c r="K107" s="13">
        <f t="shared" si="14"/>
        <v>3907.409870099048</v>
      </c>
      <c r="L107" s="14">
        <f t="shared" si="20"/>
        <v>0</v>
      </c>
      <c r="M107" s="13">
        <f t="shared" si="15"/>
        <v>3907.409870099048</v>
      </c>
    </row>
    <row r="108" spans="1:13" s="1" customFormat="1" ht="10.5" x14ac:dyDescent="0.25">
      <c r="A108" s="16" t="s">
        <v>129</v>
      </c>
      <c r="B108" s="5"/>
      <c r="C108" s="5"/>
      <c r="D108" s="5"/>
      <c r="E108" s="5"/>
      <c r="F108" s="5"/>
      <c r="G108" s="5"/>
      <c r="H108" s="5"/>
      <c r="I108" s="5"/>
      <c r="J108" s="6"/>
      <c r="K108" s="5">
        <f t="shared" si="14"/>
        <v>0</v>
      </c>
      <c r="L108" s="6"/>
      <c r="M108" s="5">
        <f t="shared" si="15"/>
        <v>0</v>
      </c>
    </row>
    <row r="109" spans="1:13" s="1" customFormat="1" ht="10" x14ac:dyDescent="0.2">
      <c r="A109" s="17" t="s">
        <v>130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14029.470121524388</v>
      </c>
      <c r="H109" s="10">
        <v>0</v>
      </c>
      <c r="I109" s="10">
        <v>0</v>
      </c>
      <c r="J109" s="11"/>
      <c r="K109" s="10">
        <f t="shared" si="14"/>
        <v>14029.470121524388</v>
      </c>
      <c r="L109" s="11"/>
      <c r="M109" s="10">
        <f t="shared" si="15"/>
        <v>14029.470121524388</v>
      </c>
    </row>
    <row r="110" spans="1:13" s="1" customFormat="1" ht="10" x14ac:dyDescent="0.2">
      <c r="A110" s="17" t="s">
        <v>131</v>
      </c>
      <c r="B110" s="10">
        <v>0</v>
      </c>
      <c r="C110" s="10">
        <v>0</v>
      </c>
      <c r="D110" s="10">
        <v>161923.12844959216</v>
      </c>
      <c r="E110" s="10">
        <v>10031.973071825856</v>
      </c>
      <c r="F110" s="10">
        <v>10735.193111047611</v>
      </c>
      <c r="G110" s="10">
        <v>0</v>
      </c>
      <c r="H110" s="10">
        <v>0</v>
      </c>
      <c r="I110" s="10">
        <v>436.69232661817978</v>
      </c>
      <c r="J110" s="11"/>
      <c r="K110" s="10">
        <f t="shared" si="14"/>
        <v>183126.98695908382</v>
      </c>
      <c r="L110" s="11"/>
      <c r="M110" s="10">
        <f t="shared" si="15"/>
        <v>183126.98695908382</v>
      </c>
    </row>
    <row r="111" spans="1:13" s="1" customFormat="1" ht="10" x14ac:dyDescent="0.2">
      <c r="A111" s="17" t="s">
        <v>287</v>
      </c>
      <c r="B111" s="10">
        <v>79.37</v>
      </c>
      <c r="C111" s="10">
        <v>0</v>
      </c>
      <c r="D111" s="10">
        <v>1157.9184119401903</v>
      </c>
      <c r="E111" s="10">
        <v>0</v>
      </c>
      <c r="F111" s="10">
        <v>0</v>
      </c>
      <c r="G111" s="10">
        <v>0</v>
      </c>
      <c r="H111" s="10">
        <v>0</v>
      </c>
      <c r="I111" s="10">
        <v>0</v>
      </c>
      <c r="J111" s="11"/>
      <c r="K111" s="10">
        <f t="shared" si="14"/>
        <v>1157.9184119401903</v>
      </c>
      <c r="L111" s="11"/>
      <c r="M111" s="10">
        <f t="shared" si="15"/>
        <v>1237.2884119401901</v>
      </c>
    </row>
    <row r="112" spans="1:13" s="1" customFormat="1" ht="10" x14ac:dyDescent="0.2">
      <c r="A112" s="17" t="s">
        <v>132</v>
      </c>
      <c r="B112" s="10">
        <v>0</v>
      </c>
      <c r="C112" s="10">
        <v>0</v>
      </c>
      <c r="D112" s="10">
        <v>6723.4625370032563</v>
      </c>
      <c r="E112" s="10">
        <v>0</v>
      </c>
      <c r="F112" s="10">
        <v>311.31354620026599</v>
      </c>
      <c r="G112" s="10">
        <v>0</v>
      </c>
      <c r="H112" s="10">
        <v>0</v>
      </c>
      <c r="I112" s="10">
        <v>0</v>
      </c>
      <c r="J112" s="11"/>
      <c r="K112" s="10">
        <f t="shared" si="14"/>
        <v>7034.7760832035219</v>
      </c>
      <c r="L112" s="11"/>
      <c r="M112" s="10">
        <f t="shared" si="15"/>
        <v>7034.7760832035219</v>
      </c>
    </row>
    <row r="113" spans="1:13" s="1" customFormat="1" ht="10" x14ac:dyDescent="0.2">
      <c r="A113" s="17" t="s">
        <v>133</v>
      </c>
      <c r="B113" s="10">
        <v>800</v>
      </c>
      <c r="C113" s="10">
        <v>0</v>
      </c>
      <c r="D113" s="10">
        <v>816.01598778504354</v>
      </c>
      <c r="E113" s="10">
        <v>0</v>
      </c>
      <c r="F113" s="10">
        <v>0</v>
      </c>
      <c r="G113" s="10">
        <v>0</v>
      </c>
      <c r="H113" s="10">
        <v>0</v>
      </c>
      <c r="I113" s="10">
        <v>1619.8255260938672</v>
      </c>
      <c r="J113" s="11"/>
      <c r="K113" s="10">
        <f t="shared" si="14"/>
        <v>2435.8415138789105</v>
      </c>
      <c r="L113" s="11"/>
      <c r="M113" s="10">
        <f t="shared" si="15"/>
        <v>3235.8415138789105</v>
      </c>
    </row>
    <row r="114" spans="1:13" s="1" customFormat="1" ht="10" x14ac:dyDescent="0.2">
      <c r="A114" s="17" t="s">
        <v>134</v>
      </c>
      <c r="B114" s="10">
        <v>0</v>
      </c>
      <c r="C114" s="10">
        <v>0</v>
      </c>
      <c r="D114" s="10">
        <v>0</v>
      </c>
      <c r="E114" s="10">
        <v>0</v>
      </c>
      <c r="F114" s="10">
        <v>0</v>
      </c>
      <c r="G114" s="10">
        <v>9318.1570813529597</v>
      </c>
      <c r="H114" s="10">
        <v>0</v>
      </c>
      <c r="I114" s="10">
        <v>0</v>
      </c>
      <c r="J114" s="11"/>
      <c r="K114" s="10">
        <f t="shared" si="14"/>
        <v>9318.1570813529597</v>
      </c>
      <c r="L114" s="11"/>
      <c r="M114" s="10">
        <f t="shared" si="15"/>
        <v>9318.1570813529597</v>
      </c>
    </row>
    <row r="115" spans="1:13" s="1" customFormat="1" ht="10" x14ac:dyDescent="0.2">
      <c r="A115" s="17" t="s">
        <v>135</v>
      </c>
      <c r="B115" s="10">
        <v>0</v>
      </c>
      <c r="C115" s="10">
        <v>0</v>
      </c>
      <c r="D115" s="10">
        <v>4953.5175845547992</v>
      </c>
      <c r="E115" s="10">
        <v>0</v>
      </c>
      <c r="F115" s="10">
        <v>0</v>
      </c>
      <c r="G115" s="10">
        <v>0</v>
      </c>
      <c r="H115" s="10">
        <v>0</v>
      </c>
      <c r="I115" s="10">
        <v>854.21620781963293</v>
      </c>
      <c r="J115" s="11"/>
      <c r="K115" s="10">
        <f t="shared" si="14"/>
        <v>5807.7337923744326</v>
      </c>
      <c r="L115" s="11"/>
      <c r="M115" s="10">
        <f t="shared" si="15"/>
        <v>5807.7337923744326</v>
      </c>
    </row>
    <row r="116" spans="1:13" s="1" customFormat="1" ht="10" x14ac:dyDescent="0.2">
      <c r="A116" s="17" t="s">
        <v>288</v>
      </c>
      <c r="B116" s="10">
        <v>0</v>
      </c>
      <c r="C116" s="10">
        <v>0</v>
      </c>
      <c r="D116" s="10">
        <v>454.45510650415696</v>
      </c>
      <c r="E116" s="10">
        <v>0</v>
      </c>
      <c r="F116" s="10">
        <v>0</v>
      </c>
      <c r="G116" s="10">
        <v>0</v>
      </c>
      <c r="H116" s="10">
        <v>0</v>
      </c>
      <c r="I116" s="10">
        <v>0</v>
      </c>
      <c r="J116" s="11"/>
      <c r="K116" s="10">
        <f t="shared" si="14"/>
        <v>454.45510650415696</v>
      </c>
      <c r="L116" s="11"/>
      <c r="M116" s="10">
        <f t="shared" si="15"/>
        <v>454.45510650415696</v>
      </c>
    </row>
    <row r="117" spans="1:13" s="1" customFormat="1" ht="10" x14ac:dyDescent="0.2">
      <c r="A117" s="17" t="s">
        <v>289</v>
      </c>
      <c r="B117" s="10">
        <v>0</v>
      </c>
      <c r="C117" s="10">
        <v>0</v>
      </c>
      <c r="D117" s="10">
        <v>6852.4466848468173</v>
      </c>
      <c r="E117" s="10">
        <v>0</v>
      </c>
      <c r="F117" s="10">
        <v>0</v>
      </c>
      <c r="G117" s="10">
        <v>0</v>
      </c>
      <c r="H117" s="10">
        <v>0</v>
      </c>
      <c r="I117" s="10">
        <v>0</v>
      </c>
      <c r="J117" s="11"/>
      <c r="K117" s="10">
        <f t="shared" si="14"/>
        <v>6852.4466848468173</v>
      </c>
      <c r="L117" s="11"/>
      <c r="M117" s="10">
        <f t="shared" si="15"/>
        <v>6852.4466848468173</v>
      </c>
    </row>
    <row r="118" spans="1:13" s="1" customFormat="1" ht="10" x14ac:dyDescent="0.2">
      <c r="A118" s="17" t="s">
        <v>136</v>
      </c>
      <c r="B118" s="10">
        <v>0</v>
      </c>
      <c r="C118" s="10">
        <v>0</v>
      </c>
      <c r="D118" s="10">
        <v>20262.412163767916</v>
      </c>
      <c r="E118" s="10">
        <v>0</v>
      </c>
      <c r="F118" s="10">
        <v>0</v>
      </c>
      <c r="G118" s="10">
        <v>0</v>
      </c>
      <c r="H118" s="10">
        <v>0</v>
      </c>
      <c r="I118" s="10">
        <v>0</v>
      </c>
      <c r="J118" s="11"/>
      <c r="K118" s="10">
        <f t="shared" si="14"/>
        <v>20262.412163767916</v>
      </c>
      <c r="L118" s="11"/>
      <c r="M118" s="10">
        <f t="shared" si="15"/>
        <v>20262.412163767916</v>
      </c>
    </row>
    <row r="119" spans="1:13" s="1" customFormat="1" ht="10" x14ac:dyDescent="0.2">
      <c r="A119" s="17" t="s">
        <v>290</v>
      </c>
      <c r="B119" s="10">
        <v>0</v>
      </c>
      <c r="C119" s="10">
        <v>0</v>
      </c>
      <c r="D119" s="10">
        <v>5795.2124368346513</v>
      </c>
      <c r="E119" s="10">
        <v>0</v>
      </c>
      <c r="F119" s="10">
        <v>0</v>
      </c>
      <c r="G119" s="10">
        <v>0</v>
      </c>
      <c r="H119" s="10">
        <v>0</v>
      </c>
      <c r="I119" s="10">
        <v>0</v>
      </c>
      <c r="J119" s="11"/>
      <c r="K119" s="10">
        <f t="shared" si="14"/>
        <v>5795.2124368346513</v>
      </c>
      <c r="L119" s="11"/>
      <c r="M119" s="10">
        <f t="shared" si="15"/>
        <v>5795.2124368346513</v>
      </c>
    </row>
    <row r="120" spans="1:13" s="1" customFormat="1" ht="10" x14ac:dyDescent="0.2">
      <c r="A120" s="17" t="s">
        <v>137</v>
      </c>
      <c r="B120" s="10">
        <v>0</v>
      </c>
      <c r="C120" s="10">
        <v>0</v>
      </c>
      <c r="D120" s="10">
        <v>27020.515912169227</v>
      </c>
      <c r="E120" s="10">
        <v>0</v>
      </c>
      <c r="F120" s="10">
        <v>0</v>
      </c>
      <c r="G120" s="10">
        <v>0</v>
      </c>
      <c r="H120" s="10">
        <v>0</v>
      </c>
      <c r="I120" s="10">
        <v>0</v>
      </c>
      <c r="J120" s="11"/>
      <c r="K120" s="10">
        <f t="shared" si="14"/>
        <v>27020.515912169227</v>
      </c>
      <c r="L120" s="11"/>
      <c r="M120" s="10">
        <f t="shared" si="15"/>
        <v>27020.515912169227</v>
      </c>
    </row>
    <row r="121" spans="1:13" s="1" customFormat="1" ht="10" x14ac:dyDescent="0.2">
      <c r="A121" s="17" t="s">
        <v>138</v>
      </c>
      <c r="B121" s="10">
        <v>0</v>
      </c>
      <c r="C121" s="10">
        <v>0</v>
      </c>
      <c r="D121" s="10">
        <v>15589.575679843369</v>
      </c>
      <c r="E121" s="10">
        <v>0</v>
      </c>
      <c r="F121" s="10">
        <v>0</v>
      </c>
      <c r="G121" s="10">
        <v>0</v>
      </c>
      <c r="H121" s="10">
        <v>0</v>
      </c>
      <c r="I121" s="10">
        <v>0</v>
      </c>
      <c r="J121" s="11"/>
      <c r="K121" s="10">
        <f t="shared" si="14"/>
        <v>15589.575679843369</v>
      </c>
      <c r="L121" s="11"/>
      <c r="M121" s="10">
        <f t="shared" si="15"/>
        <v>15589.575679843369</v>
      </c>
    </row>
    <row r="122" spans="1:13" s="1" customFormat="1" ht="10.5" x14ac:dyDescent="0.25">
      <c r="A122" s="21" t="s">
        <v>139</v>
      </c>
      <c r="B122" s="13">
        <f t="shared" ref="B122:L122" si="21">SUM(B109:B121)</f>
        <v>879.37</v>
      </c>
      <c r="C122" s="13">
        <f t="shared" si="21"/>
        <v>0</v>
      </c>
      <c r="D122" s="13">
        <f t="shared" si="21"/>
        <v>251548.66095484153</v>
      </c>
      <c r="E122" s="13">
        <f t="shared" si="21"/>
        <v>10031.973071825856</v>
      </c>
      <c r="F122" s="13">
        <f t="shared" si="21"/>
        <v>11046.506657247877</v>
      </c>
      <c r="G122" s="13">
        <f t="shared" si="21"/>
        <v>23347.627202877346</v>
      </c>
      <c r="H122" s="13">
        <f t="shared" si="21"/>
        <v>0</v>
      </c>
      <c r="I122" s="13">
        <f t="shared" si="21"/>
        <v>2910.7340605316799</v>
      </c>
      <c r="J122" s="14">
        <f t="shared" si="21"/>
        <v>0</v>
      </c>
      <c r="K122" s="13">
        <f t="shared" si="14"/>
        <v>298885.50194732432</v>
      </c>
      <c r="L122" s="14">
        <f t="shared" si="21"/>
        <v>0</v>
      </c>
      <c r="M122" s="13">
        <f t="shared" si="15"/>
        <v>299764.87194732431</v>
      </c>
    </row>
    <row r="123" spans="1:13" s="1" customFormat="1" ht="10.5" x14ac:dyDescent="0.25">
      <c r="A123" s="16" t="s">
        <v>140</v>
      </c>
      <c r="B123" s="5"/>
      <c r="C123" s="5"/>
      <c r="D123" s="5"/>
      <c r="E123" s="5"/>
      <c r="F123" s="5"/>
      <c r="G123" s="5"/>
      <c r="H123" s="5"/>
      <c r="I123" s="5"/>
      <c r="J123" s="6"/>
      <c r="K123" s="5">
        <f t="shared" si="14"/>
        <v>0</v>
      </c>
      <c r="L123" s="6"/>
      <c r="M123" s="5">
        <f t="shared" si="15"/>
        <v>0</v>
      </c>
    </row>
    <row r="124" spans="1:13" s="1" customFormat="1" ht="10" x14ac:dyDescent="0.2">
      <c r="A124" s="17" t="s">
        <v>141</v>
      </c>
      <c r="B124" s="10">
        <v>613.88</v>
      </c>
      <c r="C124" s="10">
        <v>0</v>
      </c>
      <c r="D124" s="10">
        <v>20100.703836940098</v>
      </c>
      <c r="E124" s="10">
        <v>560.95381249732986</v>
      </c>
      <c r="F124" s="10">
        <v>59.934886917758277</v>
      </c>
      <c r="G124" s="10">
        <v>318.33034315132909</v>
      </c>
      <c r="H124" s="10">
        <v>4.9794331407171164</v>
      </c>
      <c r="I124" s="10">
        <v>3459.507727438076</v>
      </c>
      <c r="J124" s="11"/>
      <c r="K124" s="10">
        <f t="shared" si="14"/>
        <v>24504.410040085309</v>
      </c>
      <c r="L124" s="11"/>
      <c r="M124" s="10">
        <f t="shared" si="15"/>
        <v>25118.29004008531</v>
      </c>
    </row>
    <row r="125" spans="1:13" s="1" customFormat="1" ht="10" x14ac:dyDescent="0.2">
      <c r="A125" s="17" t="s">
        <v>142</v>
      </c>
      <c r="B125" s="10">
        <v>73742.55</v>
      </c>
      <c r="C125" s="10">
        <v>0</v>
      </c>
      <c r="D125" s="10">
        <v>1015.3813685963094</v>
      </c>
      <c r="E125" s="10">
        <v>342.59559461993484</v>
      </c>
      <c r="F125" s="10">
        <v>0</v>
      </c>
      <c r="G125" s="10">
        <v>0</v>
      </c>
      <c r="H125" s="10">
        <v>0</v>
      </c>
      <c r="I125" s="10">
        <v>4528.5200486558833</v>
      </c>
      <c r="J125" s="11"/>
      <c r="K125" s="10">
        <f t="shared" si="14"/>
        <v>5886.4970118721276</v>
      </c>
      <c r="L125" s="11"/>
      <c r="M125" s="10">
        <f t="shared" si="15"/>
        <v>79629.047011872128</v>
      </c>
    </row>
    <row r="126" spans="1:13" s="1" customFormat="1" ht="10" x14ac:dyDescent="0.2">
      <c r="A126" s="17" t="s">
        <v>143</v>
      </c>
      <c r="B126" s="10">
        <v>0</v>
      </c>
      <c r="C126" s="10">
        <v>0</v>
      </c>
      <c r="D126" s="10">
        <v>17829.916036851864</v>
      </c>
      <c r="E126" s="10">
        <v>244.54381328645852</v>
      </c>
      <c r="F126" s="10">
        <v>0</v>
      </c>
      <c r="G126" s="10">
        <v>0</v>
      </c>
      <c r="H126" s="10">
        <v>0</v>
      </c>
      <c r="I126" s="10">
        <v>0</v>
      </c>
      <c r="J126" s="11"/>
      <c r="K126" s="10">
        <f t="shared" si="14"/>
        <v>18074.459850138323</v>
      </c>
      <c r="L126" s="11"/>
      <c r="M126" s="10">
        <f t="shared" si="15"/>
        <v>18074.459850138323</v>
      </c>
    </row>
    <row r="127" spans="1:13" s="1" customFormat="1" ht="10" x14ac:dyDescent="0.2">
      <c r="A127" s="17" t="s">
        <v>144</v>
      </c>
      <c r="B127" s="10">
        <v>0</v>
      </c>
      <c r="C127" s="10">
        <v>0</v>
      </c>
      <c r="D127" s="10">
        <v>-16.89834403300376</v>
      </c>
      <c r="E127" s="10">
        <v>0</v>
      </c>
      <c r="F127" s="10">
        <v>0</v>
      </c>
      <c r="G127" s="10">
        <v>0</v>
      </c>
      <c r="H127" s="10">
        <v>0</v>
      </c>
      <c r="I127" s="10">
        <v>0</v>
      </c>
      <c r="J127" s="11"/>
      <c r="K127" s="10">
        <f t="shared" si="14"/>
        <v>-16.89834403300376</v>
      </c>
      <c r="L127" s="11"/>
      <c r="M127" s="10">
        <f t="shared" si="15"/>
        <v>-16.89834403300376</v>
      </c>
    </row>
    <row r="128" spans="1:13" s="1" customFormat="1" ht="10.5" x14ac:dyDescent="0.25">
      <c r="A128" s="21" t="s">
        <v>145</v>
      </c>
      <c r="B128" s="13">
        <f t="shared" ref="B128:L128" si="22">SUM(B124:B127)</f>
        <v>74356.430000000008</v>
      </c>
      <c r="C128" s="13">
        <f t="shared" si="22"/>
        <v>0</v>
      </c>
      <c r="D128" s="13">
        <f t="shared" si="22"/>
        <v>38929.102898355268</v>
      </c>
      <c r="E128" s="13">
        <f t="shared" si="22"/>
        <v>1148.0932204037233</v>
      </c>
      <c r="F128" s="13">
        <f t="shared" si="22"/>
        <v>59.934886917758277</v>
      </c>
      <c r="G128" s="13">
        <f t="shared" si="22"/>
        <v>318.33034315132909</v>
      </c>
      <c r="H128" s="13">
        <f t="shared" si="22"/>
        <v>4.9794331407171164</v>
      </c>
      <c r="I128" s="13">
        <f t="shared" si="22"/>
        <v>7988.0277760939589</v>
      </c>
      <c r="J128" s="14">
        <f t="shared" si="22"/>
        <v>0</v>
      </c>
      <c r="K128" s="13">
        <f t="shared" si="14"/>
        <v>48448.468558062748</v>
      </c>
      <c r="L128" s="14">
        <f t="shared" si="22"/>
        <v>0</v>
      </c>
      <c r="M128" s="13">
        <f t="shared" si="15"/>
        <v>122804.89855806276</v>
      </c>
    </row>
    <row r="129" spans="1:13" s="1" customFormat="1" ht="10.5" x14ac:dyDescent="0.25">
      <c r="A129" s="12" t="s">
        <v>146</v>
      </c>
      <c r="B129" s="13">
        <f t="shared" ref="B129:L129" si="23">SUM(B39,B45,B52,B57,B61,B72,B80,B88,B101,B104,B107,B122,B128)</f>
        <v>259477.45</v>
      </c>
      <c r="C129" s="13">
        <f t="shared" si="23"/>
        <v>1558.85715</v>
      </c>
      <c r="D129" s="13">
        <f t="shared" si="23"/>
        <v>2174367.610163616</v>
      </c>
      <c r="E129" s="13">
        <f t="shared" si="23"/>
        <v>21967.198880925178</v>
      </c>
      <c r="F129" s="13">
        <f t="shared" si="23"/>
        <v>51122.293082038712</v>
      </c>
      <c r="G129" s="13">
        <f t="shared" si="23"/>
        <v>196017.30154589706</v>
      </c>
      <c r="H129" s="13">
        <f t="shared" si="23"/>
        <v>1065.4852641050243</v>
      </c>
      <c r="I129" s="13">
        <f t="shared" si="23"/>
        <v>437866.84444803413</v>
      </c>
      <c r="J129" s="14">
        <f t="shared" si="23"/>
        <v>0</v>
      </c>
      <c r="K129" s="13">
        <f t="shared" si="14"/>
        <v>2882406.7333846167</v>
      </c>
      <c r="L129" s="14">
        <f t="shared" si="23"/>
        <v>0</v>
      </c>
      <c r="M129" s="13">
        <f t="shared" si="15"/>
        <v>3143443.0405346169</v>
      </c>
    </row>
    <row r="130" spans="1:13" s="1" customFormat="1" ht="10.5" x14ac:dyDescent="0.25">
      <c r="A130" s="8" t="s">
        <v>147</v>
      </c>
      <c r="B130" s="5"/>
      <c r="C130" s="5"/>
      <c r="D130" s="5"/>
      <c r="E130" s="5"/>
      <c r="F130" s="5"/>
      <c r="G130" s="5"/>
      <c r="H130" s="5"/>
      <c r="I130" s="5"/>
      <c r="J130" s="6"/>
      <c r="K130" s="5">
        <f t="shared" si="14"/>
        <v>0</v>
      </c>
      <c r="L130" s="6"/>
      <c r="M130" s="5">
        <f t="shared" si="15"/>
        <v>0</v>
      </c>
    </row>
    <row r="131" spans="1:13" s="1" customFormat="1" ht="10" x14ac:dyDescent="0.2">
      <c r="A131" s="9" t="s">
        <v>148</v>
      </c>
      <c r="B131" s="10">
        <v>0</v>
      </c>
      <c r="C131" s="10">
        <v>0</v>
      </c>
      <c r="D131" s="10">
        <v>33849.338960405737</v>
      </c>
      <c r="E131" s="10">
        <v>0</v>
      </c>
      <c r="F131" s="10">
        <v>4704.5585725461442</v>
      </c>
      <c r="G131" s="10">
        <v>3957.1740583006908</v>
      </c>
      <c r="H131" s="10">
        <v>0</v>
      </c>
      <c r="I131" s="10">
        <v>0</v>
      </c>
      <c r="J131" s="11"/>
      <c r="K131" s="10">
        <f t="shared" si="14"/>
        <v>42511.07159125257</v>
      </c>
      <c r="L131" s="11"/>
      <c r="M131" s="10">
        <f t="shared" si="15"/>
        <v>42511.07159125257</v>
      </c>
    </row>
    <row r="132" spans="1:13" s="1" customFormat="1" ht="10" x14ac:dyDescent="0.2">
      <c r="A132" s="9" t="s">
        <v>149</v>
      </c>
      <c r="B132" s="10">
        <v>0</v>
      </c>
      <c r="C132" s="10">
        <v>0</v>
      </c>
      <c r="D132" s="10">
        <v>21994.891688840271</v>
      </c>
      <c r="E132" s="10">
        <v>0</v>
      </c>
      <c r="F132" s="10">
        <v>0</v>
      </c>
      <c r="G132" s="10">
        <v>0</v>
      </c>
      <c r="H132" s="10">
        <v>0</v>
      </c>
      <c r="I132" s="10">
        <v>0</v>
      </c>
      <c r="J132" s="11"/>
      <c r="K132" s="10">
        <f t="shared" si="14"/>
        <v>21994.891688840271</v>
      </c>
      <c r="L132" s="11"/>
      <c r="M132" s="10">
        <f t="shared" si="15"/>
        <v>21994.891688840271</v>
      </c>
    </row>
    <row r="133" spans="1:13" s="1" customFormat="1" ht="10" x14ac:dyDescent="0.2">
      <c r="A133" s="9" t="s">
        <v>291</v>
      </c>
      <c r="B133" s="10">
        <v>0</v>
      </c>
      <c r="C133" s="10">
        <v>0</v>
      </c>
      <c r="D133" s="10">
        <v>2008.6116783597536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1"/>
      <c r="K133" s="10">
        <f t="shared" si="14"/>
        <v>2008.6116783597536</v>
      </c>
      <c r="L133" s="11"/>
      <c r="M133" s="10">
        <f t="shared" si="15"/>
        <v>2008.6116783597536</v>
      </c>
    </row>
    <row r="134" spans="1:13" s="1" customFormat="1" ht="10" x14ac:dyDescent="0.2">
      <c r="A134" s="9" t="s">
        <v>150</v>
      </c>
      <c r="B134" s="10">
        <v>0</v>
      </c>
      <c r="C134" s="10">
        <v>0</v>
      </c>
      <c r="D134" s="10">
        <v>2402.2151931356348</v>
      </c>
      <c r="E134" s="10">
        <v>0</v>
      </c>
      <c r="F134" s="10">
        <v>0</v>
      </c>
      <c r="G134" s="10">
        <v>7440.7699193604476</v>
      </c>
      <c r="H134" s="10">
        <v>0</v>
      </c>
      <c r="I134" s="10">
        <v>0</v>
      </c>
      <c r="J134" s="11"/>
      <c r="K134" s="10">
        <f t="shared" si="14"/>
        <v>9842.9851124960824</v>
      </c>
      <c r="L134" s="11"/>
      <c r="M134" s="10">
        <f t="shared" si="15"/>
        <v>9842.9851124960824</v>
      </c>
    </row>
    <row r="135" spans="1:13" s="1" customFormat="1" ht="10" x14ac:dyDescent="0.2">
      <c r="A135" s="9" t="s">
        <v>292</v>
      </c>
      <c r="B135" s="10">
        <v>0</v>
      </c>
      <c r="C135" s="10">
        <v>0</v>
      </c>
      <c r="D135" s="10">
        <v>5297.2692986352304</v>
      </c>
      <c r="E135" s="10">
        <v>0</v>
      </c>
      <c r="F135" s="10">
        <v>0</v>
      </c>
      <c r="G135" s="10">
        <v>0</v>
      </c>
      <c r="H135" s="10">
        <v>0</v>
      </c>
      <c r="I135" s="10">
        <v>2490.6879225950024</v>
      </c>
      <c r="J135" s="11"/>
      <c r="K135" s="10">
        <f t="shared" si="14"/>
        <v>7787.9572212302328</v>
      </c>
      <c r="L135" s="11"/>
      <c r="M135" s="10">
        <f t="shared" si="15"/>
        <v>7787.9572212302328</v>
      </c>
    </row>
    <row r="136" spans="1:13" s="1" customFormat="1" ht="10" x14ac:dyDescent="0.2">
      <c r="A136" s="9" t="s">
        <v>151</v>
      </c>
      <c r="B136" s="10">
        <v>0</v>
      </c>
      <c r="C136" s="10">
        <v>0</v>
      </c>
      <c r="D136" s="10">
        <v>8904.2682149136581</v>
      </c>
      <c r="E136" s="10">
        <v>0</v>
      </c>
      <c r="F136" s="10">
        <v>8554.3266092659687</v>
      </c>
      <c r="G136" s="10">
        <v>19982.979096433515</v>
      </c>
      <c r="H136" s="10">
        <v>0</v>
      </c>
      <c r="I136" s="10">
        <v>0</v>
      </c>
      <c r="J136" s="11"/>
      <c r="K136" s="10">
        <f t="shared" si="14"/>
        <v>37441.57392061314</v>
      </c>
      <c r="L136" s="11"/>
      <c r="M136" s="10">
        <f t="shared" si="15"/>
        <v>37441.57392061314</v>
      </c>
    </row>
    <row r="137" spans="1:13" s="1" customFormat="1" ht="10" x14ac:dyDescent="0.2">
      <c r="A137" s="9" t="s">
        <v>152</v>
      </c>
      <c r="B137" s="10">
        <v>0</v>
      </c>
      <c r="C137" s="10">
        <v>0</v>
      </c>
      <c r="D137" s="10">
        <v>0</v>
      </c>
      <c r="E137" s="10">
        <v>2.6420175161044024</v>
      </c>
      <c r="F137" s="10">
        <v>0</v>
      </c>
      <c r="G137" s="10">
        <v>0</v>
      </c>
      <c r="H137" s="10">
        <v>0</v>
      </c>
      <c r="I137" s="10">
        <v>13663.915720341707</v>
      </c>
      <c r="J137" s="11"/>
      <c r="K137" s="10">
        <f t="shared" si="14"/>
        <v>13666.557737857811</v>
      </c>
      <c r="L137" s="11"/>
      <c r="M137" s="10">
        <f t="shared" si="15"/>
        <v>13666.557737857811</v>
      </c>
    </row>
    <row r="138" spans="1:13" s="1" customFormat="1" ht="10" x14ac:dyDescent="0.2">
      <c r="A138" s="9" t="s">
        <v>153</v>
      </c>
      <c r="B138" s="10">
        <v>0</v>
      </c>
      <c r="C138" s="10">
        <v>0</v>
      </c>
      <c r="D138" s="10">
        <v>13133.238982815175</v>
      </c>
      <c r="E138" s="10">
        <v>0</v>
      </c>
      <c r="F138" s="10">
        <v>0</v>
      </c>
      <c r="G138" s="10">
        <v>0</v>
      </c>
      <c r="H138" s="10">
        <v>0</v>
      </c>
      <c r="I138" s="10">
        <v>49685.618072358469</v>
      </c>
      <c r="J138" s="11"/>
      <c r="K138" s="10">
        <f t="shared" si="14"/>
        <v>62818.857055173648</v>
      </c>
      <c r="L138" s="11"/>
      <c r="M138" s="10">
        <f t="shared" si="15"/>
        <v>62818.857055173648</v>
      </c>
    </row>
    <row r="139" spans="1:13" s="1" customFormat="1" ht="10" x14ac:dyDescent="0.2">
      <c r="A139" s="9" t="s">
        <v>154</v>
      </c>
      <c r="B139" s="10">
        <v>0</v>
      </c>
      <c r="C139" s="10">
        <v>0</v>
      </c>
      <c r="D139" s="10">
        <v>422.7801932659882</v>
      </c>
      <c r="E139" s="10">
        <v>0</v>
      </c>
      <c r="F139" s="10">
        <v>0</v>
      </c>
      <c r="G139" s="10">
        <v>0</v>
      </c>
      <c r="H139" s="10">
        <v>0</v>
      </c>
      <c r="I139" s="10">
        <v>1328.0064650514876</v>
      </c>
      <c r="J139" s="11"/>
      <c r="K139" s="10">
        <f t="shared" si="14"/>
        <v>1750.7866583174757</v>
      </c>
      <c r="L139" s="11"/>
      <c r="M139" s="10">
        <f t="shared" si="15"/>
        <v>1750.7866583174757</v>
      </c>
    </row>
    <row r="140" spans="1:13" s="1" customFormat="1" ht="10" x14ac:dyDescent="0.2">
      <c r="A140" s="9" t="s">
        <v>155</v>
      </c>
      <c r="B140" s="10">
        <v>0</v>
      </c>
      <c r="C140" s="10">
        <v>0</v>
      </c>
      <c r="D140" s="10">
        <v>37254.002037296588</v>
      </c>
      <c r="E140" s="10">
        <v>25.269337206627331</v>
      </c>
      <c r="F140" s="10">
        <v>0</v>
      </c>
      <c r="G140" s="10">
        <v>2303.9494463548417</v>
      </c>
      <c r="H140" s="10">
        <v>0</v>
      </c>
      <c r="I140" s="10">
        <v>50782.06153087908</v>
      </c>
      <c r="J140" s="11"/>
      <c r="K140" s="10">
        <f t="shared" si="14"/>
        <v>90365.282351737143</v>
      </c>
      <c r="L140" s="11"/>
      <c r="M140" s="10">
        <f t="shared" si="15"/>
        <v>90365.282351737143</v>
      </c>
    </row>
    <row r="141" spans="1:13" s="1" customFormat="1" ht="10" x14ac:dyDescent="0.2">
      <c r="A141" s="9" t="s">
        <v>156</v>
      </c>
      <c r="B141" s="10">
        <v>0</v>
      </c>
      <c r="C141" s="10">
        <v>0</v>
      </c>
      <c r="D141" s="10">
        <v>0</v>
      </c>
      <c r="E141" s="10">
        <v>0</v>
      </c>
      <c r="F141" s="10">
        <v>0</v>
      </c>
      <c r="G141" s="10">
        <v>0</v>
      </c>
      <c r="H141" s="10">
        <v>0</v>
      </c>
      <c r="I141" s="10">
        <v>4496.9719669514689</v>
      </c>
      <c r="J141" s="11"/>
      <c r="K141" s="10">
        <f t="shared" ref="K141:K179" si="24">SUM(D141:J141)</f>
        <v>4496.9719669514689</v>
      </c>
      <c r="L141" s="11"/>
      <c r="M141" s="10">
        <f t="shared" ref="M141:M179" si="25">SUM(B141,K141,L141)+C141</f>
        <v>4496.9719669514689</v>
      </c>
    </row>
    <row r="142" spans="1:13" s="1" customFormat="1" ht="10" x14ac:dyDescent="0.2">
      <c r="A142" s="9" t="s">
        <v>157</v>
      </c>
      <c r="B142" s="10">
        <v>0</v>
      </c>
      <c r="C142" s="10">
        <v>0</v>
      </c>
      <c r="D142" s="10">
        <v>105831.6231941783</v>
      </c>
      <c r="E142" s="10">
        <v>0</v>
      </c>
      <c r="F142" s="10">
        <v>0</v>
      </c>
      <c r="G142" s="10">
        <v>2327.154417646344</v>
      </c>
      <c r="H142" s="10">
        <v>0</v>
      </c>
      <c r="I142" s="10">
        <v>0</v>
      </c>
      <c r="J142" s="11"/>
      <c r="K142" s="10">
        <f t="shared" si="24"/>
        <v>108158.77761182465</v>
      </c>
      <c r="L142" s="11"/>
      <c r="M142" s="10">
        <f t="shared" si="25"/>
        <v>108158.77761182465</v>
      </c>
    </row>
    <row r="143" spans="1:13" s="1" customFormat="1" ht="10" x14ac:dyDescent="0.2">
      <c r="A143" s="9" t="s">
        <v>158</v>
      </c>
      <c r="B143" s="10">
        <v>0</v>
      </c>
      <c r="C143" s="10">
        <v>0</v>
      </c>
      <c r="D143" s="10">
        <v>0</v>
      </c>
      <c r="E143" s="10">
        <v>0</v>
      </c>
      <c r="F143" s="10">
        <v>730.85535602278901</v>
      </c>
      <c r="G143" s="10">
        <v>0</v>
      </c>
      <c r="H143" s="10">
        <v>0</v>
      </c>
      <c r="I143" s="10">
        <v>6562.0253496547521</v>
      </c>
      <c r="J143" s="11"/>
      <c r="K143" s="10">
        <f t="shared" si="24"/>
        <v>7292.8807056775413</v>
      </c>
      <c r="L143" s="11"/>
      <c r="M143" s="10">
        <f t="shared" si="25"/>
        <v>7292.8807056775413</v>
      </c>
    </row>
    <row r="144" spans="1:13" s="1" customFormat="1" ht="10" x14ac:dyDescent="0.2">
      <c r="A144" s="9" t="s">
        <v>159</v>
      </c>
      <c r="B144" s="10">
        <v>0</v>
      </c>
      <c r="C144" s="10">
        <v>0</v>
      </c>
      <c r="D144" s="10">
        <v>772383.9716801038</v>
      </c>
      <c r="E144" s="10">
        <v>0</v>
      </c>
      <c r="F144" s="10">
        <v>4080.5002680201997</v>
      </c>
      <c r="G144" s="10">
        <v>10160.181126004865</v>
      </c>
      <c r="H144" s="10">
        <v>0</v>
      </c>
      <c r="I144" s="10">
        <v>17773.24876041364</v>
      </c>
      <c r="J144" s="11">
        <v>-740135.37439230946</v>
      </c>
      <c r="K144" s="10">
        <f t="shared" si="24"/>
        <v>64262.527442233055</v>
      </c>
      <c r="L144" s="11"/>
      <c r="M144" s="10">
        <f t="shared" si="25"/>
        <v>64262.527442233055</v>
      </c>
    </row>
    <row r="145" spans="1:13" s="1" customFormat="1" ht="10" x14ac:dyDescent="0.2">
      <c r="A145" s="9" t="s">
        <v>293</v>
      </c>
      <c r="B145" s="10">
        <v>0</v>
      </c>
      <c r="C145" s="10">
        <v>0</v>
      </c>
      <c r="D145" s="10">
        <v>17000.26644381052</v>
      </c>
      <c r="E145" s="10">
        <v>0</v>
      </c>
      <c r="F145" s="10">
        <v>2780.4271054688666</v>
      </c>
      <c r="G145" s="10">
        <v>0</v>
      </c>
      <c r="H145" s="10">
        <v>0</v>
      </c>
      <c r="I145" s="10">
        <v>0</v>
      </c>
      <c r="J145" s="11"/>
      <c r="K145" s="10">
        <f t="shared" si="24"/>
        <v>19780.693549279385</v>
      </c>
      <c r="L145" s="11"/>
      <c r="M145" s="10">
        <f t="shared" si="25"/>
        <v>19780.693549279385</v>
      </c>
    </row>
    <row r="146" spans="1:13" s="1" customFormat="1" ht="10" x14ac:dyDescent="0.2">
      <c r="A146" s="9" t="s">
        <v>160</v>
      </c>
      <c r="B146" s="10">
        <v>82245.37</v>
      </c>
      <c r="C146" s="10">
        <v>0</v>
      </c>
      <c r="D146" s="10">
        <v>57345.837936344076</v>
      </c>
      <c r="E146" s="10">
        <v>0</v>
      </c>
      <c r="F146" s="10">
        <v>22554.417190704138</v>
      </c>
      <c r="G146" s="10">
        <v>0</v>
      </c>
      <c r="H146" s="10">
        <v>0</v>
      </c>
      <c r="I146" s="10">
        <v>30999.290849315308</v>
      </c>
      <c r="J146" s="11"/>
      <c r="K146" s="10">
        <f t="shared" si="24"/>
        <v>110899.54597636352</v>
      </c>
      <c r="L146" s="11"/>
      <c r="M146" s="10">
        <f t="shared" si="25"/>
        <v>193144.91597636353</v>
      </c>
    </row>
    <row r="147" spans="1:13" s="1" customFormat="1" ht="10" x14ac:dyDescent="0.2">
      <c r="A147" s="9" t="s">
        <v>294</v>
      </c>
      <c r="B147" s="10">
        <v>0</v>
      </c>
      <c r="C147" s="10">
        <v>0</v>
      </c>
      <c r="D147" s="10">
        <v>24521.756454447364</v>
      </c>
      <c r="E147" s="10">
        <v>0</v>
      </c>
      <c r="F147" s="10">
        <v>0</v>
      </c>
      <c r="G147" s="10">
        <v>0</v>
      </c>
      <c r="H147" s="10">
        <v>0</v>
      </c>
      <c r="I147" s="10">
        <v>0</v>
      </c>
      <c r="J147" s="11"/>
      <c r="K147" s="10">
        <f t="shared" si="24"/>
        <v>24521.756454447364</v>
      </c>
      <c r="L147" s="11"/>
      <c r="M147" s="10">
        <f t="shared" si="25"/>
        <v>24521.756454447364</v>
      </c>
    </row>
    <row r="148" spans="1:13" s="1" customFormat="1" ht="10" x14ac:dyDescent="0.2">
      <c r="A148" s="9" t="s">
        <v>161</v>
      </c>
      <c r="B148" s="10">
        <v>0</v>
      </c>
      <c r="C148" s="10">
        <v>0</v>
      </c>
      <c r="D148" s="10">
        <v>5683.2716353146798</v>
      </c>
      <c r="E148" s="10">
        <v>0</v>
      </c>
      <c r="F148" s="10">
        <v>4987.4522861851219</v>
      </c>
      <c r="G148" s="10">
        <v>35248.323258842844</v>
      </c>
      <c r="H148" s="10">
        <v>0</v>
      </c>
      <c r="I148" s="10">
        <v>32759.16675241922</v>
      </c>
      <c r="J148" s="11"/>
      <c r="K148" s="10">
        <f t="shared" si="24"/>
        <v>78678.213932761864</v>
      </c>
      <c r="L148" s="11"/>
      <c r="M148" s="10">
        <f t="shared" si="25"/>
        <v>78678.213932761864</v>
      </c>
    </row>
    <row r="149" spans="1:13" s="1" customFormat="1" ht="10.5" x14ac:dyDescent="0.25">
      <c r="A149" s="16" t="s">
        <v>162</v>
      </c>
      <c r="B149" s="5"/>
      <c r="C149" s="5"/>
      <c r="D149" s="5"/>
      <c r="E149" s="5"/>
      <c r="F149" s="5"/>
      <c r="G149" s="5"/>
      <c r="H149" s="5"/>
      <c r="I149" s="5"/>
      <c r="J149" s="6"/>
      <c r="K149" s="5">
        <f t="shared" si="24"/>
        <v>0</v>
      </c>
      <c r="L149" s="6"/>
      <c r="M149" s="5">
        <f t="shared" si="25"/>
        <v>0</v>
      </c>
    </row>
    <row r="150" spans="1:13" s="1" customFormat="1" ht="10" x14ac:dyDescent="0.2">
      <c r="A150" s="17" t="s">
        <v>163</v>
      </c>
      <c r="B150" s="10">
        <v>0</v>
      </c>
      <c r="C150" s="10">
        <v>0</v>
      </c>
      <c r="D150" s="10">
        <v>244284.83956977085</v>
      </c>
      <c r="E150" s="10">
        <v>0</v>
      </c>
      <c r="F150" s="10">
        <v>0</v>
      </c>
      <c r="G150" s="10">
        <v>0</v>
      </c>
      <c r="H150" s="10">
        <v>0</v>
      </c>
      <c r="I150" s="10">
        <v>0</v>
      </c>
      <c r="J150" s="11"/>
      <c r="K150" s="10">
        <f t="shared" si="24"/>
        <v>244284.83956977085</v>
      </c>
      <c r="L150" s="11"/>
      <c r="M150" s="10">
        <f t="shared" si="25"/>
        <v>244284.83956977085</v>
      </c>
    </row>
    <row r="151" spans="1:13" s="1" customFormat="1" ht="10" x14ac:dyDescent="0.2">
      <c r="A151" s="17" t="s">
        <v>295</v>
      </c>
      <c r="B151" s="10">
        <v>0</v>
      </c>
      <c r="C151" s="10">
        <v>0</v>
      </c>
      <c r="D151" s="10">
        <v>6103.7287128989392</v>
      </c>
      <c r="E151" s="10">
        <v>0</v>
      </c>
      <c r="F151" s="10">
        <v>0</v>
      </c>
      <c r="G151" s="10">
        <v>0</v>
      </c>
      <c r="H151" s="10">
        <v>0</v>
      </c>
      <c r="I151" s="10">
        <v>0</v>
      </c>
      <c r="J151" s="11"/>
      <c r="K151" s="10">
        <f t="shared" si="24"/>
        <v>6103.7287128989392</v>
      </c>
      <c r="L151" s="11"/>
      <c r="M151" s="10">
        <f t="shared" si="25"/>
        <v>6103.7287128989392</v>
      </c>
    </row>
    <row r="152" spans="1:13" s="1" customFormat="1" ht="10" x14ac:dyDescent="0.2">
      <c r="A152" s="17" t="s">
        <v>296</v>
      </c>
      <c r="B152" s="10">
        <v>0</v>
      </c>
      <c r="C152" s="10">
        <v>0</v>
      </c>
      <c r="D152" s="10">
        <v>2713.1581706269471</v>
      </c>
      <c r="E152" s="10">
        <v>0</v>
      </c>
      <c r="F152" s="10">
        <v>0</v>
      </c>
      <c r="G152" s="10">
        <v>0</v>
      </c>
      <c r="H152" s="10">
        <v>0</v>
      </c>
      <c r="I152" s="10">
        <v>0</v>
      </c>
      <c r="J152" s="11"/>
      <c r="K152" s="10">
        <f t="shared" si="24"/>
        <v>2713.1581706269471</v>
      </c>
      <c r="L152" s="11"/>
      <c r="M152" s="10">
        <f t="shared" si="25"/>
        <v>2713.1581706269471</v>
      </c>
    </row>
    <row r="153" spans="1:13" s="1" customFormat="1" ht="10.5" x14ac:dyDescent="0.25">
      <c r="A153" s="21" t="s">
        <v>164</v>
      </c>
      <c r="B153" s="13">
        <f t="shared" ref="B153:L153" si="26">SUM(B150:B152)</f>
        <v>0</v>
      </c>
      <c r="C153" s="13">
        <f t="shared" si="26"/>
        <v>0</v>
      </c>
      <c r="D153" s="13">
        <f t="shared" si="26"/>
        <v>253101.72645329672</v>
      </c>
      <c r="E153" s="13">
        <f t="shared" si="26"/>
        <v>0</v>
      </c>
      <c r="F153" s="13">
        <f t="shared" si="26"/>
        <v>0</v>
      </c>
      <c r="G153" s="13">
        <f t="shared" si="26"/>
        <v>0</v>
      </c>
      <c r="H153" s="13">
        <f t="shared" si="26"/>
        <v>0</v>
      </c>
      <c r="I153" s="13">
        <f t="shared" si="26"/>
        <v>0</v>
      </c>
      <c r="J153" s="14">
        <f t="shared" si="26"/>
        <v>0</v>
      </c>
      <c r="K153" s="13">
        <f t="shared" si="24"/>
        <v>253101.72645329672</v>
      </c>
      <c r="L153" s="14">
        <f t="shared" si="26"/>
        <v>0</v>
      </c>
      <c r="M153" s="13">
        <f t="shared" si="25"/>
        <v>253101.72645329672</v>
      </c>
    </row>
    <row r="154" spans="1:13" s="1" customFormat="1" ht="10.5" x14ac:dyDescent="0.25">
      <c r="A154" s="16" t="s">
        <v>165</v>
      </c>
      <c r="B154" s="5"/>
      <c r="C154" s="5"/>
      <c r="D154" s="5"/>
      <c r="E154" s="5"/>
      <c r="F154" s="5"/>
      <c r="G154" s="5"/>
      <c r="H154" s="5"/>
      <c r="I154" s="5"/>
      <c r="J154" s="6"/>
      <c r="K154" s="5">
        <f t="shared" si="24"/>
        <v>0</v>
      </c>
      <c r="L154" s="6"/>
      <c r="M154" s="5">
        <f t="shared" si="25"/>
        <v>0</v>
      </c>
    </row>
    <row r="155" spans="1:13" s="1" customFormat="1" ht="10" x14ac:dyDescent="0.2">
      <c r="A155" s="17" t="s">
        <v>166</v>
      </c>
      <c r="B155" s="10">
        <v>0</v>
      </c>
      <c r="C155" s="10">
        <v>0</v>
      </c>
      <c r="D155" s="10">
        <v>-182726.81093266385</v>
      </c>
      <c r="E155" s="10">
        <v>0</v>
      </c>
      <c r="F155" s="10">
        <v>0</v>
      </c>
      <c r="G155" s="10">
        <v>8559.6621348376448</v>
      </c>
      <c r="H155" s="10">
        <v>5857.7822690887579</v>
      </c>
      <c r="I155" s="10">
        <v>0</v>
      </c>
      <c r="J155" s="11"/>
      <c r="K155" s="10">
        <f t="shared" si="24"/>
        <v>-168309.36652873745</v>
      </c>
      <c r="L155" s="11"/>
      <c r="M155" s="10">
        <f t="shared" si="25"/>
        <v>-168309.36652873745</v>
      </c>
    </row>
    <row r="156" spans="1:13" s="1" customFormat="1" ht="10" x14ac:dyDescent="0.2">
      <c r="A156" s="17" t="s">
        <v>167</v>
      </c>
      <c r="B156" s="10">
        <v>0</v>
      </c>
      <c r="C156" s="10">
        <v>0</v>
      </c>
      <c r="D156" s="10">
        <v>309320.76366050966</v>
      </c>
      <c r="E156" s="10">
        <v>0</v>
      </c>
      <c r="F156" s="10">
        <v>2747.9063391402015</v>
      </c>
      <c r="G156" s="10">
        <v>0</v>
      </c>
      <c r="H156" s="10">
        <v>0</v>
      </c>
      <c r="I156" s="10">
        <v>79307.065051347716</v>
      </c>
      <c r="J156" s="11"/>
      <c r="K156" s="10">
        <f t="shared" si="24"/>
        <v>391375.73505099758</v>
      </c>
      <c r="L156" s="11"/>
      <c r="M156" s="10">
        <f t="shared" si="25"/>
        <v>391375.73505099758</v>
      </c>
    </row>
    <row r="157" spans="1:13" s="1" customFormat="1" ht="10.5" x14ac:dyDescent="0.25">
      <c r="A157" s="21" t="s">
        <v>168</v>
      </c>
      <c r="B157" s="13">
        <f t="shared" ref="B157:L157" si="27">SUM(B155:B156)</f>
        <v>0</v>
      </c>
      <c r="C157" s="13">
        <f t="shared" si="27"/>
        <v>0</v>
      </c>
      <c r="D157" s="13">
        <f t="shared" si="27"/>
        <v>126593.95272784581</v>
      </c>
      <c r="E157" s="13">
        <f t="shared" si="27"/>
        <v>0</v>
      </c>
      <c r="F157" s="13">
        <f t="shared" si="27"/>
        <v>2747.9063391402015</v>
      </c>
      <c r="G157" s="13">
        <f t="shared" si="27"/>
        <v>8559.6621348376448</v>
      </c>
      <c r="H157" s="13">
        <f t="shared" si="27"/>
        <v>5857.7822690887579</v>
      </c>
      <c r="I157" s="13">
        <f t="shared" si="27"/>
        <v>79307.065051347716</v>
      </c>
      <c r="J157" s="14">
        <f t="shared" si="27"/>
        <v>0</v>
      </c>
      <c r="K157" s="13">
        <f t="shared" si="24"/>
        <v>223066.36852226013</v>
      </c>
      <c r="L157" s="14">
        <f t="shared" si="27"/>
        <v>0</v>
      </c>
      <c r="M157" s="13">
        <f t="shared" si="25"/>
        <v>223066.36852226013</v>
      </c>
    </row>
    <row r="158" spans="1:13" s="1" customFormat="1" ht="10.5" x14ac:dyDescent="0.25">
      <c r="A158" s="12" t="s">
        <v>169</v>
      </c>
      <c r="B158" s="13">
        <f t="shared" ref="B158:L158" si="28">SUM(B131:B148,B153,B157)</f>
        <v>82245.37</v>
      </c>
      <c r="C158" s="13">
        <f t="shared" si="28"/>
        <v>0</v>
      </c>
      <c r="D158" s="13">
        <f t="shared" si="28"/>
        <v>1487729.0227730093</v>
      </c>
      <c r="E158" s="13">
        <f t="shared" si="28"/>
        <v>27.911354722731733</v>
      </c>
      <c r="F158" s="13">
        <f t="shared" si="28"/>
        <v>51140.443727353428</v>
      </c>
      <c r="G158" s="13">
        <f t="shared" si="28"/>
        <v>89980.193457781192</v>
      </c>
      <c r="H158" s="13">
        <f t="shared" si="28"/>
        <v>5857.7822690887579</v>
      </c>
      <c r="I158" s="13">
        <f t="shared" si="28"/>
        <v>289848.05844132788</v>
      </c>
      <c r="J158" s="14">
        <f t="shared" si="28"/>
        <v>-740135.37439230946</v>
      </c>
      <c r="K158" s="13">
        <f t="shared" si="24"/>
        <v>1184448.0376309736</v>
      </c>
      <c r="L158" s="14">
        <f t="shared" si="28"/>
        <v>0</v>
      </c>
      <c r="M158" s="13">
        <f t="shared" si="25"/>
        <v>1266693.4076309735</v>
      </c>
    </row>
    <row r="159" spans="1:13" s="1" customFormat="1" ht="10.5" x14ac:dyDescent="0.25">
      <c r="A159" s="12" t="s">
        <v>170</v>
      </c>
      <c r="B159" s="13"/>
      <c r="C159" s="13"/>
      <c r="D159" s="13"/>
      <c r="E159" s="13"/>
      <c r="F159" s="13"/>
      <c r="G159" s="13"/>
      <c r="H159" s="13"/>
      <c r="I159" s="13"/>
      <c r="J159" s="14"/>
      <c r="K159" s="13">
        <v>0</v>
      </c>
      <c r="L159" s="14">
        <v>0</v>
      </c>
      <c r="M159" s="13">
        <v>0</v>
      </c>
    </row>
    <row r="160" spans="1:13" s="1" customFormat="1" ht="10.5" x14ac:dyDescent="0.25">
      <c r="A160" s="15" t="s">
        <v>171</v>
      </c>
      <c r="B160" s="13">
        <f t="shared" ref="B160:L160" si="29">SUM(B129,B158)+ B159</f>
        <v>341722.82</v>
      </c>
      <c r="C160" s="13">
        <f t="shared" si="29"/>
        <v>1558.85715</v>
      </c>
      <c r="D160" s="13">
        <f t="shared" si="29"/>
        <v>3662096.6329366253</v>
      </c>
      <c r="E160" s="13">
        <f t="shared" si="29"/>
        <v>21995.11023564791</v>
      </c>
      <c r="F160" s="13">
        <f t="shared" si="29"/>
        <v>102262.73680939214</v>
      </c>
      <c r="G160" s="13">
        <f t="shared" si="29"/>
        <v>285997.49500367825</v>
      </c>
      <c r="H160" s="13">
        <f t="shared" si="29"/>
        <v>6923.2675331937826</v>
      </c>
      <c r="I160" s="13">
        <f t="shared" si="29"/>
        <v>727714.90288936207</v>
      </c>
      <c r="J160" s="14">
        <f t="shared" si="29"/>
        <v>-740135.37439230946</v>
      </c>
      <c r="K160" s="13">
        <f t="shared" si="24"/>
        <v>4066854.7710155901</v>
      </c>
      <c r="L160" s="14">
        <f t="shared" si="29"/>
        <v>0</v>
      </c>
      <c r="M160" s="13">
        <f t="shared" si="25"/>
        <v>4410136.4481655899</v>
      </c>
    </row>
    <row r="161" spans="1:13" s="1" customFormat="1" ht="10.5" x14ac:dyDescent="0.2">
      <c r="A161" s="25" t="s">
        <v>46</v>
      </c>
      <c r="B161" s="23">
        <f t="shared" ref="B161:L161" si="30">B36-B160</f>
        <v>-341722.82</v>
      </c>
      <c r="C161" s="23">
        <f t="shared" si="30"/>
        <v>-1558.85715</v>
      </c>
      <c r="D161" s="23">
        <f t="shared" si="30"/>
        <v>-262915.70793453977</v>
      </c>
      <c r="E161" s="23">
        <f t="shared" si="30"/>
        <v>-21995.11023564791</v>
      </c>
      <c r="F161" s="23">
        <f t="shared" si="30"/>
        <v>-73859.685544486798</v>
      </c>
      <c r="G161" s="23">
        <f t="shared" si="30"/>
        <v>-269923.33655119926</v>
      </c>
      <c r="H161" s="23">
        <f t="shared" si="30"/>
        <v>16283.59948163552</v>
      </c>
      <c r="I161" s="23">
        <f t="shared" si="30"/>
        <v>12420.471502947388</v>
      </c>
      <c r="J161" s="24">
        <f t="shared" si="30"/>
        <v>-132140.64889907744</v>
      </c>
      <c r="K161" s="23">
        <f t="shared" si="24"/>
        <v>-732130.41818036826</v>
      </c>
      <c r="L161" s="24">
        <f t="shared" si="30"/>
        <v>0</v>
      </c>
      <c r="M161" s="23">
        <f t="shared" si="25"/>
        <v>-1075412.0953303683</v>
      </c>
    </row>
    <row r="162" spans="1:13" s="1" customFormat="1" ht="10.5" x14ac:dyDescent="0.2">
      <c r="A162" s="4" t="s">
        <v>172</v>
      </c>
      <c r="B162" s="5"/>
      <c r="C162" s="5"/>
      <c r="D162" s="5"/>
      <c r="E162" s="5"/>
      <c r="F162" s="5"/>
      <c r="G162" s="5"/>
      <c r="H162" s="5"/>
      <c r="I162" s="5"/>
      <c r="J162" s="6"/>
      <c r="K162" s="5">
        <f t="shared" si="24"/>
        <v>0</v>
      </c>
      <c r="L162" s="6"/>
      <c r="M162" s="5">
        <f t="shared" si="25"/>
        <v>0</v>
      </c>
    </row>
    <row r="163" spans="1:13" s="1" customFormat="1" ht="10.5" x14ac:dyDescent="0.25">
      <c r="A163" s="7" t="s">
        <v>173</v>
      </c>
      <c r="B163" s="5"/>
      <c r="C163" s="5"/>
      <c r="D163" s="5"/>
      <c r="E163" s="5"/>
      <c r="F163" s="5"/>
      <c r="G163" s="5"/>
      <c r="H163" s="5"/>
      <c r="I163" s="5"/>
      <c r="J163" s="6"/>
      <c r="K163" s="5">
        <f t="shared" si="24"/>
        <v>0</v>
      </c>
      <c r="L163" s="6"/>
      <c r="M163" s="5">
        <f t="shared" si="25"/>
        <v>0</v>
      </c>
    </row>
    <row r="164" spans="1:13" s="1" customFormat="1" ht="10.5" x14ac:dyDescent="0.25">
      <c r="A164" s="8" t="s">
        <v>174</v>
      </c>
      <c r="B164" s="5"/>
      <c r="C164" s="5"/>
      <c r="D164" s="5"/>
      <c r="E164" s="5"/>
      <c r="F164" s="5"/>
      <c r="G164" s="5"/>
      <c r="H164" s="5"/>
      <c r="I164" s="5"/>
      <c r="J164" s="6"/>
      <c r="K164" s="5">
        <f t="shared" si="24"/>
        <v>0</v>
      </c>
      <c r="L164" s="6"/>
      <c r="M164" s="5">
        <f t="shared" si="25"/>
        <v>0</v>
      </c>
    </row>
    <row r="165" spans="1:13" s="1" customFormat="1" ht="10" x14ac:dyDescent="0.2">
      <c r="A165" s="9" t="s">
        <v>297</v>
      </c>
      <c r="B165" s="10">
        <v>0</v>
      </c>
      <c r="C165" s="10">
        <v>0</v>
      </c>
      <c r="D165" s="10">
        <v>0</v>
      </c>
      <c r="E165" s="10">
        <v>0</v>
      </c>
      <c r="F165" s="10">
        <v>0</v>
      </c>
      <c r="G165" s="10">
        <v>8.1369035582039995E-3</v>
      </c>
      <c r="H165" s="10">
        <v>0</v>
      </c>
      <c r="I165" s="10">
        <v>0</v>
      </c>
      <c r="J165" s="11"/>
      <c r="K165" s="10">
        <f t="shared" si="24"/>
        <v>8.1369035582039995E-3</v>
      </c>
      <c r="L165" s="11"/>
      <c r="M165" s="10">
        <f t="shared" si="25"/>
        <v>8.1369035582039995E-3</v>
      </c>
    </row>
    <row r="166" spans="1:13" s="1" customFormat="1" ht="10" x14ac:dyDescent="0.2">
      <c r="A166" s="9" t="s">
        <v>175</v>
      </c>
      <c r="B166" s="10">
        <v>34.049999999999997</v>
      </c>
      <c r="C166" s="10">
        <v>0</v>
      </c>
      <c r="D166" s="10">
        <v>0</v>
      </c>
      <c r="E166" s="10">
        <v>0</v>
      </c>
      <c r="F166" s="10">
        <v>0</v>
      </c>
      <c r="G166" s="10">
        <v>0.149968209284607</v>
      </c>
      <c r="H166" s="10">
        <v>0</v>
      </c>
      <c r="I166" s="10">
        <v>0</v>
      </c>
      <c r="J166" s="11"/>
      <c r="K166" s="10">
        <f t="shared" si="24"/>
        <v>0.149968209284607</v>
      </c>
      <c r="L166" s="11"/>
      <c r="M166" s="10">
        <f t="shared" si="25"/>
        <v>34.199968209284606</v>
      </c>
    </row>
    <row r="167" spans="1:13" s="1" customFormat="1" ht="10" x14ac:dyDescent="0.2">
      <c r="A167" s="9" t="s">
        <v>176</v>
      </c>
      <c r="B167" s="10">
        <v>0</v>
      </c>
      <c r="C167" s="10">
        <v>0</v>
      </c>
      <c r="D167" s="10">
        <v>0</v>
      </c>
      <c r="E167" s="10">
        <v>0</v>
      </c>
      <c r="F167" s="10">
        <v>0</v>
      </c>
      <c r="G167" s="10">
        <v>-166.48400114211884</v>
      </c>
      <c r="H167" s="10">
        <v>0</v>
      </c>
      <c r="I167" s="10">
        <v>0</v>
      </c>
      <c r="J167" s="11"/>
      <c r="K167" s="10">
        <f t="shared" si="24"/>
        <v>-166.48400114211884</v>
      </c>
      <c r="L167" s="11"/>
      <c r="M167" s="10">
        <f t="shared" si="25"/>
        <v>-166.48400114211884</v>
      </c>
    </row>
    <row r="168" spans="1:13" s="1" customFormat="1" ht="10.5" x14ac:dyDescent="0.25">
      <c r="A168" s="12" t="s">
        <v>177</v>
      </c>
      <c r="B168" s="13">
        <f t="shared" ref="B168:L168" si="31">SUM(B165:B167)</f>
        <v>34.049999999999997</v>
      </c>
      <c r="C168" s="13">
        <f t="shared" si="31"/>
        <v>0</v>
      </c>
      <c r="D168" s="13">
        <f t="shared" si="31"/>
        <v>0</v>
      </c>
      <c r="E168" s="13">
        <f t="shared" si="31"/>
        <v>0</v>
      </c>
      <c r="F168" s="13">
        <f t="shared" si="31"/>
        <v>0</v>
      </c>
      <c r="G168" s="13">
        <f t="shared" si="31"/>
        <v>-166.32589602927604</v>
      </c>
      <c r="H168" s="13">
        <f t="shared" si="31"/>
        <v>0</v>
      </c>
      <c r="I168" s="13">
        <f t="shared" si="31"/>
        <v>0</v>
      </c>
      <c r="J168" s="14">
        <f t="shared" si="31"/>
        <v>0</v>
      </c>
      <c r="K168" s="13">
        <f t="shared" si="24"/>
        <v>-166.32589602927604</v>
      </c>
      <c r="L168" s="14">
        <f t="shared" si="31"/>
        <v>0</v>
      </c>
      <c r="M168" s="13">
        <f t="shared" si="25"/>
        <v>-132.27589602927605</v>
      </c>
    </row>
    <row r="169" spans="1:13" s="1" customFormat="1" ht="10.5" x14ac:dyDescent="0.25">
      <c r="A169" s="15" t="s">
        <v>178</v>
      </c>
      <c r="B169" s="13">
        <f t="shared" ref="B169:L169" si="32">SUM(B168)</f>
        <v>34.049999999999997</v>
      </c>
      <c r="C169" s="13">
        <f t="shared" si="32"/>
        <v>0</v>
      </c>
      <c r="D169" s="13">
        <f t="shared" si="32"/>
        <v>0</v>
      </c>
      <c r="E169" s="13">
        <f t="shared" si="32"/>
        <v>0</v>
      </c>
      <c r="F169" s="13">
        <f t="shared" si="32"/>
        <v>0</v>
      </c>
      <c r="G169" s="13">
        <f t="shared" si="32"/>
        <v>-166.32589602927604</v>
      </c>
      <c r="H169" s="13">
        <f t="shared" si="32"/>
        <v>0</v>
      </c>
      <c r="I169" s="13">
        <f t="shared" si="32"/>
        <v>0</v>
      </c>
      <c r="J169" s="14">
        <f t="shared" si="32"/>
        <v>0</v>
      </c>
      <c r="K169" s="13">
        <f t="shared" si="24"/>
        <v>-166.32589602927604</v>
      </c>
      <c r="L169" s="14">
        <f t="shared" si="32"/>
        <v>0</v>
      </c>
      <c r="M169" s="13">
        <f t="shared" si="25"/>
        <v>-132.27589602927605</v>
      </c>
    </row>
    <row r="170" spans="1:13" s="1" customFormat="1" ht="10.5" x14ac:dyDescent="0.25">
      <c r="A170" s="7" t="s">
        <v>179</v>
      </c>
      <c r="B170" s="5"/>
      <c r="C170" s="5"/>
      <c r="D170" s="5"/>
      <c r="E170" s="5"/>
      <c r="F170" s="5"/>
      <c r="G170" s="5"/>
      <c r="H170" s="5"/>
      <c r="I170" s="5"/>
      <c r="J170" s="6"/>
      <c r="K170" s="5">
        <f t="shared" si="24"/>
        <v>0</v>
      </c>
      <c r="L170" s="6"/>
      <c r="M170" s="5">
        <f t="shared" si="25"/>
        <v>0</v>
      </c>
    </row>
    <row r="171" spans="1:13" s="1" customFormat="1" ht="10" x14ac:dyDescent="0.2">
      <c r="A171" s="26" t="s">
        <v>180</v>
      </c>
      <c r="B171" s="10">
        <v>0</v>
      </c>
      <c r="C171" s="10">
        <v>0</v>
      </c>
      <c r="D171" s="10">
        <v>0</v>
      </c>
      <c r="E171" s="10">
        <v>0</v>
      </c>
      <c r="F171" s="10">
        <v>0</v>
      </c>
      <c r="G171" s="10">
        <v>-1711.517523259236</v>
      </c>
      <c r="H171" s="10">
        <v>0</v>
      </c>
      <c r="I171" s="10">
        <v>0</v>
      </c>
      <c r="J171" s="11"/>
      <c r="K171" s="10">
        <f t="shared" si="24"/>
        <v>-1711.517523259236</v>
      </c>
      <c r="L171" s="11"/>
      <c r="M171" s="10">
        <f t="shared" si="25"/>
        <v>-1711.517523259236</v>
      </c>
    </row>
    <row r="172" spans="1:13" s="1" customFormat="1" ht="10.5" x14ac:dyDescent="0.25">
      <c r="A172" s="8" t="s">
        <v>181</v>
      </c>
      <c r="B172" s="5"/>
      <c r="C172" s="5"/>
      <c r="D172" s="5"/>
      <c r="E172" s="5"/>
      <c r="F172" s="5"/>
      <c r="G172" s="5"/>
      <c r="H172" s="5"/>
      <c r="I172" s="5"/>
      <c r="J172" s="6"/>
      <c r="K172" s="5">
        <f t="shared" si="24"/>
        <v>0</v>
      </c>
      <c r="L172" s="6"/>
      <c r="M172" s="5">
        <f t="shared" si="25"/>
        <v>0</v>
      </c>
    </row>
    <row r="173" spans="1:13" s="1" customFormat="1" ht="10" x14ac:dyDescent="0.2">
      <c r="A173" s="9" t="s">
        <v>182</v>
      </c>
      <c r="B173" s="10">
        <v>0</v>
      </c>
      <c r="C173" s="10">
        <v>0</v>
      </c>
      <c r="D173" s="10">
        <v>0</v>
      </c>
      <c r="E173" s="10">
        <v>0</v>
      </c>
      <c r="F173" s="10">
        <v>5207.7309520479448</v>
      </c>
      <c r="G173" s="10">
        <v>0</v>
      </c>
      <c r="H173" s="10">
        <v>0</v>
      </c>
      <c r="I173" s="10">
        <v>0</v>
      </c>
      <c r="J173" s="11"/>
      <c r="K173" s="10">
        <f t="shared" si="24"/>
        <v>5207.7309520479448</v>
      </c>
      <c r="L173" s="11"/>
      <c r="M173" s="10">
        <f t="shared" si="25"/>
        <v>5207.7309520479448</v>
      </c>
    </row>
    <row r="174" spans="1:13" s="1" customFormat="1" ht="10.5" x14ac:dyDescent="0.25">
      <c r="A174" s="12" t="s">
        <v>183</v>
      </c>
      <c r="B174" s="13">
        <f t="shared" ref="B174:L174" si="33">SUM(B173)</f>
        <v>0</v>
      </c>
      <c r="C174" s="13">
        <f t="shared" si="33"/>
        <v>0</v>
      </c>
      <c r="D174" s="13">
        <f t="shared" si="33"/>
        <v>0</v>
      </c>
      <c r="E174" s="13">
        <f t="shared" si="33"/>
        <v>0</v>
      </c>
      <c r="F174" s="13">
        <f t="shared" si="33"/>
        <v>5207.7309520479448</v>
      </c>
      <c r="G174" s="13">
        <f t="shared" si="33"/>
        <v>0</v>
      </c>
      <c r="H174" s="13">
        <f t="shared" si="33"/>
        <v>0</v>
      </c>
      <c r="I174" s="13">
        <f t="shared" si="33"/>
        <v>0</v>
      </c>
      <c r="J174" s="14">
        <f t="shared" si="33"/>
        <v>0</v>
      </c>
      <c r="K174" s="13">
        <f t="shared" si="24"/>
        <v>5207.7309520479448</v>
      </c>
      <c r="L174" s="14">
        <f t="shared" si="33"/>
        <v>0</v>
      </c>
      <c r="M174" s="13">
        <f t="shared" si="25"/>
        <v>5207.7309520479448</v>
      </c>
    </row>
    <row r="175" spans="1:13" s="1" customFormat="1" ht="10" x14ac:dyDescent="0.2">
      <c r="A175" s="26" t="s">
        <v>184</v>
      </c>
      <c r="B175" s="10">
        <v>0.02</v>
      </c>
      <c r="C175" s="10">
        <v>0</v>
      </c>
      <c r="D175" s="10">
        <v>7.4147272208950676E-2</v>
      </c>
      <c r="E175" s="10">
        <v>0</v>
      </c>
      <c r="F175" s="10">
        <v>0</v>
      </c>
      <c r="G175" s="10">
        <v>2.3703480923275001E-2</v>
      </c>
      <c r="H175" s="10">
        <v>0</v>
      </c>
      <c r="I175" s="10">
        <v>0</v>
      </c>
      <c r="J175" s="11"/>
      <c r="K175" s="10">
        <f t="shared" si="24"/>
        <v>9.7850753132225674E-2</v>
      </c>
      <c r="L175" s="11"/>
      <c r="M175" s="10">
        <f t="shared" si="25"/>
        <v>0.11785075313222568</v>
      </c>
    </row>
    <row r="176" spans="1:13" s="1" customFormat="1" ht="10" x14ac:dyDescent="0.2">
      <c r="A176" s="26" t="s">
        <v>185</v>
      </c>
      <c r="B176" s="10">
        <v>2745.42</v>
      </c>
      <c r="C176" s="10">
        <v>0</v>
      </c>
      <c r="D176" s="10">
        <v>-11571.915357322016</v>
      </c>
      <c r="E176" s="10">
        <v>0</v>
      </c>
      <c r="F176" s="10">
        <v>-68.087196876450236</v>
      </c>
      <c r="G176" s="10">
        <v>212.4271799644236</v>
      </c>
      <c r="H176" s="10">
        <v>0</v>
      </c>
      <c r="I176" s="10">
        <v>0</v>
      </c>
      <c r="J176" s="11"/>
      <c r="K176" s="10">
        <f t="shared" si="24"/>
        <v>-11427.575374234042</v>
      </c>
      <c r="L176" s="11"/>
      <c r="M176" s="10">
        <f t="shared" si="25"/>
        <v>-8682.155374234042</v>
      </c>
    </row>
    <row r="177" spans="1:13" s="1" customFormat="1" ht="10.5" x14ac:dyDescent="0.25">
      <c r="A177" s="15" t="s">
        <v>186</v>
      </c>
      <c r="B177" s="13">
        <f t="shared" ref="B177:L177" si="34">SUM(B171,B174:B176)</f>
        <v>2745.44</v>
      </c>
      <c r="C177" s="13">
        <f t="shared" si="34"/>
        <v>0</v>
      </c>
      <c r="D177" s="13">
        <f t="shared" si="34"/>
        <v>-11571.841210049806</v>
      </c>
      <c r="E177" s="13">
        <f t="shared" si="34"/>
        <v>0</v>
      </c>
      <c r="F177" s="13">
        <f t="shared" si="34"/>
        <v>5139.6437551714944</v>
      </c>
      <c r="G177" s="13">
        <f t="shared" si="34"/>
        <v>-1499.066639813889</v>
      </c>
      <c r="H177" s="13">
        <f t="shared" si="34"/>
        <v>0</v>
      </c>
      <c r="I177" s="13">
        <f t="shared" si="34"/>
        <v>0</v>
      </c>
      <c r="J177" s="14">
        <f t="shared" si="34"/>
        <v>0</v>
      </c>
      <c r="K177" s="13">
        <f t="shared" si="24"/>
        <v>-7931.2640946922011</v>
      </c>
      <c r="L177" s="14">
        <f t="shared" si="34"/>
        <v>0</v>
      </c>
      <c r="M177" s="13">
        <f t="shared" si="25"/>
        <v>-5185.8240946922015</v>
      </c>
    </row>
    <row r="178" spans="1:13" s="1" customFormat="1" ht="10.5" x14ac:dyDescent="0.2">
      <c r="A178" s="25" t="s">
        <v>187</v>
      </c>
      <c r="B178" s="23">
        <f t="shared" ref="B178:L178" si="35">B169-B177</f>
        <v>-2711.39</v>
      </c>
      <c r="C178" s="23">
        <f t="shared" si="35"/>
        <v>0</v>
      </c>
      <c r="D178" s="23">
        <f t="shared" si="35"/>
        <v>11571.841210049806</v>
      </c>
      <c r="E178" s="23">
        <f t="shared" si="35"/>
        <v>0</v>
      </c>
      <c r="F178" s="23">
        <f t="shared" si="35"/>
        <v>-5139.6437551714944</v>
      </c>
      <c r="G178" s="23">
        <f t="shared" si="35"/>
        <v>1332.740743784613</v>
      </c>
      <c r="H178" s="23">
        <f t="shared" si="35"/>
        <v>0</v>
      </c>
      <c r="I178" s="23">
        <f t="shared" si="35"/>
        <v>0</v>
      </c>
      <c r="J178" s="24">
        <f t="shared" si="35"/>
        <v>0</v>
      </c>
      <c r="K178" s="23">
        <f t="shared" si="24"/>
        <v>7764.9381986629251</v>
      </c>
      <c r="L178" s="24">
        <f t="shared" si="35"/>
        <v>0</v>
      </c>
      <c r="M178" s="23">
        <f t="shared" si="25"/>
        <v>5053.5481986629256</v>
      </c>
    </row>
    <row r="179" spans="1:13" s="1" customFormat="1" ht="10.5" x14ac:dyDescent="0.2">
      <c r="A179" s="25" t="s">
        <v>47</v>
      </c>
      <c r="B179" s="23">
        <f t="shared" ref="B179:L179" si="36">B161+B178</f>
        <v>-344434.21</v>
      </c>
      <c r="C179" s="23">
        <f t="shared" si="36"/>
        <v>-1558.85715</v>
      </c>
      <c r="D179" s="23">
        <f t="shared" si="36"/>
        <v>-251343.86672448996</v>
      </c>
      <c r="E179" s="23">
        <f t="shared" si="36"/>
        <v>-21995.11023564791</v>
      </c>
      <c r="F179" s="23">
        <f t="shared" si="36"/>
        <v>-78999.32929965829</v>
      </c>
      <c r="G179" s="23">
        <f t="shared" si="36"/>
        <v>-268590.59580741462</v>
      </c>
      <c r="H179" s="23">
        <f t="shared" si="36"/>
        <v>16283.59948163552</v>
      </c>
      <c r="I179" s="23">
        <f t="shared" si="36"/>
        <v>12420.471502947388</v>
      </c>
      <c r="J179" s="24">
        <f t="shared" si="36"/>
        <v>-132140.64889907744</v>
      </c>
      <c r="K179" s="23">
        <f t="shared" si="24"/>
        <v>-724365.47998170531</v>
      </c>
      <c r="L179" s="24">
        <f t="shared" si="36"/>
        <v>0</v>
      </c>
      <c r="M179" s="23">
        <f t="shared" si="25"/>
        <v>-1070358.5471317053</v>
      </c>
    </row>
  </sheetData>
  <mergeCells count="12">
    <mergeCell ref="A6:M6"/>
    <mergeCell ref="A1:M1"/>
    <mergeCell ref="A2:M2"/>
    <mergeCell ref="A3:M3"/>
    <mergeCell ref="A4:M4"/>
    <mergeCell ref="A5:M5"/>
    <mergeCell ref="B7:M7"/>
    <mergeCell ref="B8:B10"/>
    <mergeCell ref="D8:K8"/>
    <mergeCell ref="C9:C10"/>
    <mergeCell ref="D9:D10"/>
    <mergeCell ref="M9:M10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602C7-2046-465D-AAE1-A242A219CC51}">
  <sheetPr codeName="Sheet3"/>
  <dimension ref="A1:U176"/>
  <sheetViews>
    <sheetView workbookViewId="0">
      <selection sqref="A1:U1"/>
    </sheetView>
  </sheetViews>
  <sheetFormatPr defaultRowHeight="10" x14ac:dyDescent="0.2"/>
  <cols>
    <col min="1" max="1" width="41.1796875" style="33" bestFit="1" customWidth="1"/>
    <col min="2" max="2" width="11" style="33" bestFit="1" customWidth="1"/>
    <col min="3" max="3" width="8.54296875" style="33" bestFit="1" customWidth="1"/>
    <col min="4" max="4" width="7.7265625" style="33" bestFit="1" customWidth="1"/>
    <col min="5" max="5" width="10.54296875" style="33" bestFit="1" customWidth="1"/>
    <col min="6" max="6" width="8.54296875" style="33" bestFit="1" customWidth="1"/>
    <col min="7" max="7" width="9.36328125" style="33" bestFit="1" customWidth="1"/>
    <col min="8" max="8" width="8.54296875" style="33" bestFit="1" customWidth="1"/>
    <col min="9" max="9" width="7.7265625" style="33" bestFit="1" customWidth="1"/>
    <col min="10" max="10" width="6.54296875" style="33" bestFit="1" customWidth="1"/>
    <col min="11" max="11" width="8.81640625" style="33" bestFit="1" customWidth="1"/>
    <col min="12" max="12" width="9.453125" style="33" bestFit="1" customWidth="1"/>
    <col min="13" max="13" width="8.54296875" style="33" bestFit="1" customWidth="1"/>
    <col min="14" max="14" width="11.08984375" style="33" bestFit="1" customWidth="1"/>
    <col min="15" max="15" width="6.54296875" style="33" bestFit="1" customWidth="1"/>
    <col min="16" max="16" width="8.54296875" style="33" bestFit="1" customWidth="1"/>
    <col min="17" max="17" width="9" style="33" bestFit="1" customWidth="1"/>
    <col min="18" max="18" width="8.54296875" style="33" bestFit="1" customWidth="1"/>
    <col min="19" max="19" width="7.7265625" style="33" bestFit="1" customWidth="1"/>
    <col min="20" max="20" width="9.81640625" style="33" bestFit="1" customWidth="1"/>
    <col min="21" max="21" width="11" style="33" bestFit="1" customWidth="1"/>
    <col min="22" max="16384" width="8.7265625" style="33"/>
  </cols>
  <sheetData>
    <row r="1" spans="1:21" ht="15.5" x14ac:dyDescent="0.35">
      <c r="A1" s="64" t="s">
        <v>0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</row>
    <row r="2" spans="1:21" ht="15.5" x14ac:dyDescent="0.35">
      <c r="A2" s="64" t="s">
        <v>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</row>
    <row r="3" spans="1:21" ht="18" x14ac:dyDescent="0.4">
      <c r="A3" s="65" t="s">
        <v>48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</row>
    <row r="4" spans="1:21" ht="18" x14ac:dyDescent="0.4">
      <c r="A4" s="65" t="s">
        <v>199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</row>
    <row r="5" spans="1:21" ht="18" x14ac:dyDescent="0.4">
      <c r="A5" s="65" t="s">
        <v>2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</row>
    <row r="6" spans="1:21" ht="18" x14ac:dyDescent="0.4">
      <c r="A6" s="65" t="s">
        <v>2</v>
      </c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</row>
    <row r="7" spans="1:21" x14ac:dyDescent="0.2">
      <c r="A7" s="34" t="s">
        <v>3</v>
      </c>
      <c r="B7" s="35" t="s">
        <v>188</v>
      </c>
      <c r="C7" s="35" t="s">
        <v>202</v>
      </c>
      <c r="D7" s="35" t="s">
        <v>201</v>
      </c>
      <c r="E7" s="35" t="s">
        <v>26</v>
      </c>
      <c r="F7" s="35" t="s">
        <v>189</v>
      </c>
      <c r="G7" s="35" t="s">
        <v>20</v>
      </c>
      <c r="H7" s="35" t="s">
        <v>22</v>
      </c>
      <c r="I7" s="35" t="s">
        <v>203</v>
      </c>
      <c r="J7" s="35" t="s">
        <v>37</v>
      </c>
      <c r="K7" s="35" t="s">
        <v>200</v>
      </c>
      <c r="L7" s="35" t="s">
        <v>239</v>
      </c>
      <c r="M7" s="35" t="s">
        <v>33</v>
      </c>
      <c r="N7" s="35" t="s">
        <v>31</v>
      </c>
      <c r="O7" s="35" t="s">
        <v>41</v>
      </c>
      <c r="P7" s="35" t="s">
        <v>29</v>
      </c>
      <c r="Q7" s="35" t="s">
        <v>190</v>
      </c>
      <c r="R7" s="35" t="s">
        <v>28</v>
      </c>
      <c r="S7" s="35" t="s">
        <v>25</v>
      </c>
      <c r="T7" s="35" t="s">
        <v>24</v>
      </c>
      <c r="U7" s="35" t="s">
        <v>51</v>
      </c>
    </row>
    <row r="8" spans="1:21" x14ac:dyDescent="0.2">
      <c r="A8" s="34" t="s">
        <v>49</v>
      </c>
      <c r="B8" s="35" t="s">
        <v>10</v>
      </c>
      <c r="C8" s="35" t="s">
        <v>10</v>
      </c>
      <c r="D8" s="35" t="s">
        <v>10</v>
      </c>
      <c r="E8" s="35" t="s">
        <v>10</v>
      </c>
      <c r="F8" s="35" t="s">
        <v>10</v>
      </c>
      <c r="G8" s="35" t="s">
        <v>10</v>
      </c>
      <c r="H8" s="35" t="s">
        <v>10</v>
      </c>
      <c r="I8" s="35" t="s">
        <v>10</v>
      </c>
      <c r="J8" s="35" t="s">
        <v>10</v>
      </c>
      <c r="K8" s="35" t="s">
        <v>10</v>
      </c>
      <c r="L8" s="35" t="s">
        <v>10</v>
      </c>
      <c r="M8" s="35" t="s">
        <v>10</v>
      </c>
      <c r="N8" s="35" t="s">
        <v>10</v>
      </c>
      <c r="O8" s="35" t="s">
        <v>10</v>
      </c>
      <c r="P8" s="35" t="s">
        <v>10</v>
      </c>
      <c r="Q8" s="35" t="s">
        <v>10</v>
      </c>
      <c r="R8" s="35" t="s">
        <v>10</v>
      </c>
      <c r="S8" s="35" t="s">
        <v>10</v>
      </c>
      <c r="T8" s="35" t="s">
        <v>10</v>
      </c>
      <c r="U8" s="35" t="s">
        <v>10</v>
      </c>
    </row>
    <row r="9" spans="1:21" ht="10.5" x14ac:dyDescent="0.2">
      <c r="A9" s="36" t="s">
        <v>13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</row>
    <row r="10" spans="1:21" ht="10.5" x14ac:dyDescent="0.25">
      <c r="A10" s="38" t="s">
        <v>56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</row>
    <row r="11" spans="1:21" ht="10.5" x14ac:dyDescent="0.25">
      <c r="A11" s="39" t="s">
        <v>57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</row>
    <row r="12" spans="1:21" x14ac:dyDescent="0.2">
      <c r="A12" s="52" t="s">
        <v>58</v>
      </c>
      <c r="B12" s="59">
        <f>PLperBrand!B12-InternalSalesPerBrand!B2</f>
        <v>-9330.5519224111922</v>
      </c>
      <c r="C12" s="59">
        <f>PLperBrand!C12-InternalSalesPerBrand!G2</f>
        <v>14003.738321214778</v>
      </c>
      <c r="D12" s="59">
        <f>PLperBrand!D12-InternalSalesPerBrand!N2</f>
        <v>5684.207580531629</v>
      </c>
      <c r="E12" s="59">
        <f>PLperBrand!E12-InternalSalesPerBrand!K2</f>
        <v>3722478.7749778423</v>
      </c>
      <c r="F12" s="44">
        <v>503.67585179999998</v>
      </c>
      <c r="G12" s="59">
        <f>PLperBrand!G12-InternalSalesPerBrand!D2</f>
        <v>647285.71798139729</v>
      </c>
      <c r="H12" s="59">
        <f>PLperBrand!H12-InternalSalesPerBrand!E2</f>
        <v>33567.894714381036</v>
      </c>
      <c r="I12" s="44">
        <v>7825.0459030219236</v>
      </c>
      <c r="J12" s="59">
        <f>PLperBrand!J12-InternalSalesPerBrand!L2</f>
        <v>204.44355532556142</v>
      </c>
      <c r="K12" s="59">
        <f>PLperBrand!K12-InternalSalesPerBrand!P2</f>
        <v>15410.477850954867</v>
      </c>
      <c r="L12" s="59">
        <f>PLperBrand!L12-InternalSalesPerBrand!Q2</f>
        <v>29527.494094913403</v>
      </c>
      <c r="M12" s="59">
        <f>PLperBrand!M12-InternalSalesPerBrand!F2</f>
        <v>59369.983471122854</v>
      </c>
      <c r="N12" s="59">
        <f>PLperBrand!N12-InternalSalesPerBrand!I2</f>
        <v>-108880.29432606365</v>
      </c>
      <c r="O12" s="59">
        <f>PLperBrand!O12-InternalSalesPerBrand!O2</f>
        <v>140.65383299294234</v>
      </c>
      <c r="P12" s="59">
        <f>PLperBrand!P12-InternalSalesPerBrand!J2</f>
        <v>23156.33818360592</v>
      </c>
      <c r="Q12" s="44">
        <v>-35772.082205870975</v>
      </c>
      <c r="R12" s="59">
        <f>PLperBrand!R12-InternalSalesPerBrand!H2</f>
        <v>78288.242442130431</v>
      </c>
      <c r="S12" s="59">
        <f>PLperBrand!S12-InternalSalesPerBrand!M2</f>
        <v>5634.4319008491302</v>
      </c>
      <c r="T12" s="59">
        <f>PLperBrand!T12-InternalSalesPerBrand!C2</f>
        <v>224617.35372827025</v>
      </c>
      <c r="U12" s="44">
        <f>SUM(B12:T12)</f>
        <v>4713715.545936008</v>
      </c>
    </row>
    <row r="13" spans="1:21" x14ac:dyDescent="0.2">
      <c r="A13" s="52" t="s">
        <v>59</v>
      </c>
      <c r="B13" s="44">
        <v>-20774.347804021469</v>
      </c>
      <c r="C13" s="44">
        <v>0</v>
      </c>
      <c r="D13" s="44">
        <v>0</v>
      </c>
      <c r="E13" s="44">
        <v>228005.35611730811</v>
      </c>
      <c r="F13" s="44">
        <v>0</v>
      </c>
      <c r="G13" s="44">
        <v>5589.2210877276393</v>
      </c>
      <c r="H13" s="44">
        <v>0</v>
      </c>
      <c r="I13" s="44">
        <v>0</v>
      </c>
      <c r="J13" s="44">
        <v>0</v>
      </c>
      <c r="K13" s="44">
        <v>0</v>
      </c>
      <c r="L13" s="44">
        <v>-1518.0076799999999</v>
      </c>
      <c r="M13" s="44">
        <v>0</v>
      </c>
      <c r="N13" s="44">
        <v>1084.1961334538862</v>
      </c>
      <c r="O13" s="44">
        <v>0</v>
      </c>
      <c r="P13" s="44">
        <v>0</v>
      </c>
      <c r="Q13" s="44">
        <v>59388.946090328813</v>
      </c>
      <c r="R13" s="44">
        <v>0</v>
      </c>
      <c r="S13" s="44">
        <v>0</v>
      </c>
      <c r="T13" s="44">
        <v>0</v>
      </c>
      <c r="U13" s="44">
        <f>SUM(B13:T13)</f>
        <v>271775.36394479696</v>
      </c>
    </row>
    <row r="14" spans="1:21" x14ac:dyDescent="0.2">
      <c r="A14" s="52" t="s">
        <v>61</v>
      </c>
      <c r="B14" s="44">
        <v>15610.40631209431</v>
      </c>
      <c r="C14" s="44">
        <v>0</v>
      </c>
      <c r="D14" s="44">
        <v>0</v>
      </c>
      <c r="E14" s="44">
        <v>51222.515863264343</v>
      </c>
      <c r="F14" s="44">
        <v>21328.259777251602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170335.63071076453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f>SUM(B14:T14)</f>
        <v>258496.81266337479</v>
      </c>
    </row>
    <row r="15" spans="1:21" ht="10.5" x14ac:dyDescent="0.25">
      <c r="A15" s="47" t="s">
        <v>62</v>
      </c>
      <c r="B15" s="46">
        <f t="shared" ref="B15:U15" si="0">SUM(B12:B14)</f>
        <v>-14494.493414338351</v>
      </c>
      <c r="C15" s="46">
        <f t="shared" si="0"/>
        <v>14003.738321214778</v>
      </c>
      <c r="D15" s="46">
        <f t="shared" si="0"/>
        <v>5684.207580531629</v>
      </c>
      <c r="E15" s="46">
        <f t="shared" si="0"/>
        <v>4001706.6469584149</v>
      </c>
      <c r="F15" s="46">
        <f t="shared" si="0"/>
        <v>21831.935629051601</v>
      </c>
      <c r="G15" s="46">
        <f t="shared" si="0"/>
        <v>652874.93906912499</v>
      </c>
      <c r="H15" s="46">
        <f t="shared" si="0"/>
        <v>33567.894714381036</v>
      </c>
      <c r="I15" s="46">
        <f t="shared" si="0"/>
        <v>7825.0459030219236</v>
      </c>
      <c r="J15" s="46">
        <f t="shared" si="0"/>
        <v>204.44355532556142</v>
      </c>
      <c r="K15" s="46">
        <f t="shared" si="0"/>
        <v>15410.477850954867</v>
      </c>
      <c r="L15" s="46">
        <f t="shared" si="0"/>
        <v>28009.486414913405</v>
      </c>
      <c r="M15" s="46">
        <f t="shared" si="0"/>
        <v>59369.983471122854</v>
      </c>
      <c r="N15" s="46">
        <f t="shared" si="0"/>
        <v>62539.532518154752</v>
      </c>
      <c r="O15" s="46">
        <f t="shared" si="0"/>
        <v>140.65383299294234</v>
      </c>
      <c r="P15" s="46">
        <f t="shared" si="0"/>
        <v>23156.33818360592</v>
      </c>
      <c r="Q15" s="46">
        <f t="shared" si="0"/>
        <v>23616.863884457838</v>
      </c>
      <c r="R15" s="46">
        <f t="shared" si="0"/>
        <v>78288.242442130431</v>
      </c>
      <c r="S15" s="46">
        <f t="shared" si="0"/>
        <v>5634.4319008491302</v>
      </c>
      <c r="T15" s="46">
        <f t="shared" si="0"/>
        <v>224617.35372827025</v>
      </c>
      <c r="U15" s="46">
        <f t="shared" si="0"/>
        <v>5243987.7225441793</v>
      </c>
    </row>
    <row r="16" spans="1:21" ht="10.5" x14ac:dyDescent="0.25">
      <c r="A16" s="48" t="s">
        <v>63</v>
      </c>
      <c r="B16" s="46">
        <f t="shared" ref="B16:U16" si="1">SUM(B15)</f>
        <v>-14494.493414338351</v>
      </c>
      <c r="C16" s="46">
        <f t="shared" si="1"/>
        <v>14003.738321214778</v>
      </c>
      <c r="D16" s="46">
        <f t="shared" si="1"/>
        <v>5684.207580531629</v>
      </c>
      <c r="E16" s="46">
        <f t="shared" si="1"/>
        <v>4001706.6469584149</v>
      </c>
      <c r="F16" s="46">
        <f t="shared" si="1"/>
        <v>21831.935629051601</v>
      </c>
      <c r="G16" s="46">
        <f t="shared" si="1"/>
        <v>652874.93906912499</v>
      </c>
      <c r="H16" s="46">
        <f t="shared" si="1"/>
        <v>33567.894714381036</v>
      </c>
      <c r="I16" s="46">
        <f t="shared" si="1"/>
        <v>7825.0459030219236</v>
      </c>
      <c r="J16" s="46">
        <f t="shared" si="1"/>
        <v>204.44355532556142</v>
      </c>
      <c r="K16" s="46">
        <f t="shared" si="1"/>
        <v>15410.477850954867</v>
      </c>
      <c r="L16" s="46">
        <f t="shared" si="1"/>
        <v>28009.486414913405</v>
      </c>
      <c r="M16" s="46">
        <f t="shared" si="1"/>
        <v>59369.983471122854</v>
      </c>
      <c r="N16" s="46">
        <f t="shared" si="1"/>
        <v>62539.532518154752</v>
      </c>
      <c r="O16" s="46">
        <f t="shared" si="1"/>
        <v>140.65383299294234</v>
      </c>
      <c r="P16" s="46">
        <f t="shared" si="1"/>
        <v>23156.33818360592</v>
      </c>
      <c r="Q16" s="46">
        <f t="shared" si="1"/>
        <v>23616.863884457838</v>
      </c>
      <c r="R16" s="46">
        <f t="shared" si="1"/>
        <v>78288.242442130431</v>
      </c>
      <c r="S16" s="46">
        <f t="shared" si="1"/>
        <v>5634.4319008491302</v>
      </c>
      <c r="T16" s="46">
        <f t="shared" si="1"/>
        <v>224617.35372827025</v>
      </c>
      <c r="U16" s="46">
        <f t="shared" si="1"/>
        <v>5243987.7225441793</v>
      </c>
    </row>
    <row r="17" spans="1:21" ht="10.5" x14ac:dyDescent="0.25">
      <c r="A17" s="38" t="s">
        <v>14</v>
      </c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</row>
    <row r="18" spans="1:21" ht="10.5" x14ac:dyDescent="0.25">
      <c r="A18" s="39" t="s">
        <v>15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</row>
    <row r="19" spans="1:21" x14ac:dyDescent="0.2">
      <c r="A19" s="57" t="s">
        <v>60</v>
      </c>
      <c r="B19" s="58">
        <v>18222.416699401561</v>
      </c>
      <c r="C19" s="58">
        <v>0</v>
      </c>
      <c r="D19" s="58">
        <v>0</v>
      </c>
      <c r="E19" s="58">
        <v>13024.260263820574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101.6523</v>
      </c>
      <c r="O19" s="58">
        <v>0</v>
      </c>
      <c r="P19" s="58">
        <v>0</v>
      </c>
      <c r="Q19" s="58">
        <v>-170.01165455613545</v>
      </c>
      <c r="R19" s="58">
        <v>0</v>
      </c>
      <c r="S19" s="58">
        <v>0</v>
      </c>
      <c r="T19" s="58">
        <v>64.835254542181161</v>
      </c>
      <c r="U19" s="58">
        <v>31243.152863208179</v>
      </c>
    </row>
    <row r="20" spans="1:21" x14ac:dyDescent="0.2">
      <c r="A20" s="52" t="s">
        <v>16</v>
      </c>
      <c r="B20" s="59">
        <f>PLperBrand!B20-InternalSalesPerBrand!B3</f>
        <v>8981.8473110745654</v>
      </c>
      <c r="C20" s="59">
        <f>PLperBrand!C20-InternalSalesPerBrand!G3</f>
        <v>9685.0008090066585</v>
      </c>
      <c r="D20" s="59">
        <f>PLperBrand!D20-InternalSalesPerBrand!N3</f>
        <v>3948.444509278173</v>
      </c>
      <c r="E20" s="59">
        <f>PLperBrand!E20-InternalSalesPerBrand!K3</f>
        <v>865674.61544416356</v>
      </c>
      <c r="F20" s="44">
        <v>185.34602699999999</v>
      </c>
      <c r="G20" s="59">
        <f>PLperBrand!G20-InternalSalesPerBrand!D3</f>
        <v>417041.8419860187</v>
      </c>
      <c r="H20" s="59">
        <f>PLperBrand!H20-InternalSalesPerBrand!E3</f>
        <v>30354.406849341241</v>
      </c>
      <c r="I20" s="44">
        <v>3595.2531822149817</v>
      </c>
      <c r="J20" s="59">
        <f>PLperBrand!J20-InternalSalesPerBrand!L3</f>
        <v>183.40797721479839</v>
      </c>
      <c r="K20" s="59">
        <f>PLperBrand!K20-InternalSalesPerBrand!P3</f>
        <v>9586.1986491390307</v>
      </c>
      <c r="L20" s="59">
        <f>PLperBrand!L20-InternalSalesPerBrand!Q3</f>
        <v>21925.594372627307</v>
      </c>
      <c r="M20" s="59">
        <f>PLperBrand!M20-InternalSalesPerBrand!F3</f>
        <v>47047.28955480134</v>
      </c>
      <c r="N20" s="59">
        <f>PLperBrand!N20-InternalSalesPerBrand!I3</f>
        <v>9230.0795802140437</v>
      </c>
      <c r="O20" s="59">
        <f>PLperBrand!O20-InternalSalesPerBrand!O3</f>
        <v>83.119014733364679</v>
      </c>
      <c r="P20" s="59">
        <f>PLperBrand!P20-InternalSalesPerBrand!J3</f>
        <v>17191.554943474766</v>
      </c>
      <c r="Q20" s="44">
        <v>-14025.613139033981</v>
      </c>
      <c r="R20" s="59">
        <f>PLperBrand!R20-InternalSalesPerBrand!H3</f>
        <v>44670.480874552879</v>
      </c>
      <c r="S20" s="59">
        <f>PLperBrand!S20-InternalSalesPerBrand!M3</f>
        <v>5581.1838574941821</v>
      </c>
      <c r="T20" s="59">
        <f>PLperBrand!T20-InternalSalesPerBrand!C3</f>
        <v>130521.20902238188</v>
      </c>
      <c r="U20" s="44">
        <f>SUM(B20:T20)</f>
        <v>1611461.2608256976</v>
      </c>
    </row>
    <row r="21" spans="1:21" x14ac:dyDescent="0.2">
      <c r="A21" s="52" t="s">
        <v>64</v>
      </c>
      <c r="B21" s="44">
        <v>12394.532638715993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f>SUM(B21:T21)</f>
        <v>12394.532638715993</v>
      </c>
    </row>
    <row r="22" spans="1:21" x14ac:dyDescent="0.2">
      <c r="A22" s="52" t="s">
        <v>65</v>
      </c>
      <c r="B22" s="44">
        <v>0</v>
      </c>
      <c r="C22" s="44">
        <v>0</v>
      </c>
      <c r="D22" s="44">
        <v>0</v>
      </c>
      <c r="E22" s="44">
        <v>172847.42818615335</v>
      </c>
      <c r="F22" s="44">
        <v>0</v>
      </c>
      <c r="G22" s="44">
        <v>4694.416759645238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795.8225087850069</v>
      </c>
      <c r="O22" s="44">
        <v>0</v>
      </c>
      <c r="P22" s="44">
        <v>0</v>
      </c>
      <c r="Q22" s="44">
        <v>48181.41231150231</v>
      </c>
      <c r="R22" s="44">
        <v>0</v>
      </c>
      <c r="S22" s="44">
        <v>0</v>
      </c>
      <c r="T22" s="44">
        <v>0</v>
      </c>
      <c r="U22" s="44">
        <f>SUM(B22:T22)</f>
        <v>226519.0797660859</v>
      </c>
    </row>
    <row r="23" spans="1:21" x14ac:dyDescent="0.2">
      <c r="A23" s="52" t="s">
        <v>66</v>
      </c>
      <c r="B23" s="44">
        <v>-8559.7125085264761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f>SUM(B23:T23)</f>
        <v>-8559.7125085264761</v>
      </c>
    </row>
    <row r="24" spans="1:21" ht="10.5" x14ac:dyDescent="0.25">
      <c r="A24" s="40" t="s">
        <v>67</v>
      </c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</row>
    <row r="25" spans="1:21" x14ac:dyDescent="0.2">
      <c r="A25" s="41" t="s">
        <v>270</v>
      </c>
      <c r="B25" s="44">
        <v>14049.854273169318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f>SUM(B25:T25)</f>
        <v>14049.854273169318</v>
      </c>
    </row>
    <row r="26" spans="1:21" x14ac:dyDescent="0.2">
      <c r="A26" s="41" t="s">
        <v>68</v>
      </c>
      <c r="B26" s="44">
        <v>1011.302310503562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f>SUM(B26:T26)</f>
        <v>1011.302310503562</v>
      </c>
    </row>
    <row r="27" spans="1:21" ht="10.5" x14ac:dyDescent="0.25">
      <c r="A27" s="53" t="s">
        <v>271</v>
      </c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1:21" x14ac:dyDescent="0.2">
      <c r="A28" s="54" t="s">
        <v>272</v>
      </c>
      <c r="B28" s="44">
        <v>17987.539677014658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f>SUM(B28:T28)</f>
        <v>17987.539677014658</v>
      </c>
    </row>
    <row r="29" spans="1:21" x14ac:dyDescent="0.2">
      <c r="A29" s="54" t="s">
        <v>273</v>
      </c>
      <c r="B29" s="44">
        <v>5070.6080123549273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0</v>
      </c>
      <c r="R29" s="44">
        <v>0</v>
      </c>
      <c r="S29" s="44">
        <v>0</v>
      </c>
      <c r="T29" s="44">
        <v>0</v>
      </c>
      <c r="U29" s="44">
        <f>SUM(B29:T29)</f>
        <v>5070.6080123549273</v>
      </c>
    </row>
    <row r="30" spans="1:21" ht="10.5" x14ac:dyDescent="0.25">
      <c r="A30" s="55" t="s">
        <v>274</v>
      </c>
      <c r="B30" s="46">
        <f t="shared" ref="B30:U30" si="2">SUM(B28:B29)</f>
        <v>23058.147689369587</v>
      </c>
      <c r="C30" s="46">
        <f t="shared" si="2"/>
        <v>0</v>
      </c>
      <c r="D30" s="46">
        <f t="shared" si="2"/>
        <v>0</v>
      </c>
      <c r="E30" s="46">
        <f t="shared" si="2"/>
        <v>0</v>
      </c>
      <c r="F30" s="46">
        <f t="shared" si="2"/>
        <v>0</v>
      </c>
      <c r="G30" s="46">
        <f t="shared" si="2"/>
        <v>0</v>
      </c>
      <c r="H30" s="46">
        <f t="shared" si="2"/>
        <v>0</v>
      </c>
      <c r="I30" s="46">
        <f t="shared" si="2"/>
        <v>0</v>
      </c>
      <c r="J30" s="46">
        <f t="shared" si="2"/>
        <v>0</v>
      </c>
      <c r="K30" s="46">
        <f t="shared" si="2"/>
        <v>0</v>
      </c>
      <c r="L30" s="46">
        <f t="shared" si="2"/>
        <v>0</v>
      </c>
      <c r="M30" s="46">
        <f t="shared" si="2"/>
        <v>0</v>
      </c>
      <c r="N30" s="46">
        <f t="shared" si="2"/>
        <v>0</v>
      </c>
      <c r="O30" s="46">
        <f t="shared" si="2"/>
        <v>0</v>
      </c>
      <c r="P30" s="46">
        <f t="shared" si="2"/>
        <v>0</v>
      </c>
      <c r="Q30" s="46">
        <f t="shared" si="2"/>
        <v>0</v>
      </c>
      <c r="R30" s="46">
        <f t="shared" si="2"/>
        <v>0</v>
      </c>
      <c r="S30" s="46">
        <f t="shared" si="2"/>
        <v>0</v>
      </c>
      <c r="T30" s="46">
        <f t="shared" si="2"/>
        <v>0</v>
      </c>
      <c r="U30" s="46">
        <f t="shared" si="2"/>
        <v>23058.147689369587</v>
      </c>
    </row>
    <row r="31" spans="1:21" ht="10.5" x14ac:dyDescent="0.25">
      <c r="A31" s="45" t="s">
        <v>69</v>
      </c>
      <c r="B31" s="46">
        <f t="shared" ref="B31:U31" si="3">SUM(B25:B26,B30)</f>
        <v>38119.304273042464</v>
      </c>
      <c r="C31" s="46">
        <f t="shared" si="3"/>
        <v>0</v>
      </c>
      <c r="D31" s="46">
        <f t="shared" si="3"/>
        <v>0</v>
      </c>
      <c r="E31" s="46">
        <f t="shared" si="3"/>
        <v>0</v>
      </c>
      <c r="F31" s="46">
        <f t="shared" si="3"/>
        <v>0</v>
      </c>
      <c r="G31" s="46">
        <f t="shared" si="3"/>
        <v>0</v>
      </c>
      <c r="H31" s="46">
        <f t="shared" si="3"/>
        <v>0</v>
      </c>
      <c r="I31" s="46">
        <f t="shared" si="3"/>
        <v>0</v>
      </c>
      <c r="J31" s="46">
        <f t="shared" si="3"/>
        <v>0</v>
      </c>
      <c r="K31" s="46">
        <f t="shared" si="3"/>
        <v>0</v>
      </c>
      <c r="L31" s="46">
        <f t="shared" si="3"/>
        <v>0</v>
      </c>
      <c r="M31" s="46">
        <f t="shared" si="3"/>
        <v>0</v>
      </c>
      <c r="N31" s="46">
        <f t="shared" si="3"/>
        <v>0</v>
      </c>
      <c r="O31" s="46">
        <f t="shared" si="3"/>
        <v>0</v>
      </c>
      <c r="P31" s="46">
        <f t="shared" si="3"/>
        <v>0</v>
      </c>
      <c r="Q31" s="46">
        <f t="shared" si="3"/>
        <v>0</v>
      </c>
      <c r="R31" s="46">
        <f t="shared" si="3"/>
        <v>0</v>
      </c>
      <c r="S31" s="46">
        <f t="shared" si="3"/>
        <v>0</v>
      </c>
      <c r="T31" s="46">
        <f t="shared" si="3"/>
        <v>0</v>
      </c>
      <c r="U31" s="46">
        <f t="shared" si="3"/>
        <v>38119.304273042464</v>
      </c>
    </row>
    <row r="32" spans="1:21" ht="10.5" x14ac:dyDescent="0.25">
      <c r="A32" s="47" t="s">
        <v>43</v>
      </c>
      <c r="B32" s="46">
        <f t="shared" ref="B32:U32" si="4">SUM(B20:B23,B31)+B19</f>
        <v>69158.388413708104</v>
      </c>
      <c r="C32" s="46">
        <f t="shared" si="4"/>
        <v>9685.0008090066585</v>
      </c>
      <c r="D32" s="46">
        <f t="shared" si="4"/>
        <v>3948.444509278173</v>
      </c>
      <c r="E32" s="46">
        <f t="shared" si="4"/>
        <v>1051546.3038941375</v>
      </c>
      <c r="F32" s="46">
        <f t="shared" si="4"/>
        <v>185.34602699999999</v>
      </c>
      <c r="G32" s="46">
        <f t="shared" si="4"/>
        <v>421736.25874566392</v>
      </c>
      <c r="H32" s="46">
        <f t="shared" si="4"/>
        <v>30354.406849341241</v>
      </c>
      <c r="I32" s="46">
        <f t="shared" si="4"/>
        <v>3595.2531822149817</v>
      </c>
      <c r="J32" s="46">
        <f t="shared" si="4"/>
        <v>183.40797721479839</v>
      </c>
      <c r="K32" s="46">
        <f t="shared" si="4"/>
        <v>9586.1986491390307</v>
      </c>
      <c r="L32" s="46">
        <f t="shared" si="4"/>
        <v>21925.594372627307</v>
      </c>
      <c r="M32" s="46">
        <f t="shared" si="4"/>
        <v>47047.28955480134</v>
      </c>
      <c r="N32" s="46">
        <f t="shared" si="4"/>
        <v>10127.554388999049</v>
      </c>
      <c r="O32" s="46">
        <f t="shared" si="4"/>
        <v>83.119014733364679</v>
      </c>
      <c r="P32" s="46">
        <f t="shared" si="4"/>
        <v>17191.554943474766</v>
      </c>
      <c r="Q32" s="46">
        <f t="shared" si="4"/>
        <v>33985.787517912198</v>
      </c>
      <c r="R32" s="46">
        <f t="shared" si="4"/>
        <v>44670.480874552879</v>
      </c>
      <c r="S32" s="46">
        <f t="shared" si="4"/>
        <v>5581.1838574941821</v>
      </c>
      <c r="T32" s="46">
        <f t="shared" si="4"/>
        <v>130586.04427692406</v>
      </c>
      <c r="U32" s="46">
        <f t="shared" si="4"/>
        <v>1911177.6178582236</v>
      </c>
    </row>
    <row r="33" spans="1:21" ht="10.5" x14ac:dyDescent="0.25">
      <c r="A33" s="48" t="s">
        <v>44</v>
      </c>
      <c r="B33" s="46">
        <f t="shared" ref="B33:U33" si="5">SUM(B32)</f>
        <v>69158.388413708104</v>
      </c>
      <c r="C33" s="46">
        <f t="shared" si="5"/>
        <v>9685.0008090066585</v>
      </c>
      <c r="D33" s="46">
        <f t="shared" si="5"/>
        <v>3948.444509278173</v>
      </c>
      <c r="E33" s="46">
        <f t="shared" si="5"/>
        <v>1051546.3038941375</v>
      </c>
      <c r="F33" s="46">
        <f t="shared" si="5"/>
        <v>185.34602699999999</v>
      </c>
      <c r="G33" s="46">
        <f t="shared" si="5"/>
        <v>421736.25874566392</v>
      </c>
      <c r="H33" s="46">
        <f t="shared" si="5"/>
        <v>30354.406849341241</v>
      </c>
      <c r="I33" s="46">
        <f t="shared" si="5"/>
        <v>3595.2531822149817</v>
      </c>
      <c r="J33" s="46">
        <f t="shared" si="5"/>
        <v>183.40797721479839</v>
      </c>
      <c r="K33" s="46">
        <f t="shared" si="5"/>
        <v>9586.1986491390307</v>
      </c>
      <c r="L33" s="46">
        <f t="shared" si="5"/>
        <v>21925.594372627307</v>
      </c>
      <c r="M33" s="46">
        <f t="shared" si="5"/>
        <v>47047.28955480134</v>
      </c>
      <c r="N33" s="46">
        <f t="shared" si="5"/>
        <v>10127.554388999049</v>
      </c>
      <c r="O33" s="46">
        <f t="shared" si="5"/>
        <v>83.119014733364679</v>
      </c>
      <c r="P33" s="46">
        <f t="shared" si="5"/>
        <v>17191.554943474766</v>
      </c>
      <c r="Q33" s="46">
        <f t="shared" si="5"/>
        <v>33985.787517912198</v>
      </c>
      <c r="R33" s="46">
        <f t="shared" si="5"/>
        <v>44670.480874552879</v>
      </c>
      <c r="S33" s="46">
        <f t="shared" si="5"/>
        <v>5581.1838574941821</v>
      </c>
      <c r="T33" s="46">
        <f t="shared" si="5"/>
        <v>130586.04427692406</v>
      </c>
      <c r="U33" s="46">
        <f t="shared" si="5"/>
        <v>1911177.6178582236</v>
      </c>
    </row>
    <row r="34" spans="1:21" ht="10.5" x14ac:dyDescent="0.25">
      <c r="A34" s="49" t="s">
        <v>45</v>
      </c>
      <c r="B34" s="51">
        <f t="shared" ref="B34:U34" si="6">B16-B33</f>
        <v>-83652.881828046462</v>
      </c>
      <c r="C34" s="51">
        <f t="shared" si="6"/>
        <v>4318.7375122081194</v>
      </c>
      <c r="D34" s="51">
        <f t="shared" si="6"/>
        <v>1735.763071253456</v>
      </c>
      <c r="E34" s="51">
        <f t="shared" si="6"/>
        <v>2950160.3430642774</v>
      </c>
      <c r="F34" s="51">
        <f t="shared" si="6"/>
        <v>21646.589602051601</v>
      </c>
      <c r="G34" s="51">
        <f t="shared" si="6"/>
        <v>231138.68032346107</v>
      </c>
      <c r="H34" s="51">
        <f t="shared" si="6"/>
        <v>3213.487865039795</v>
      </c>
      <c r="I34" s="51">
        <f t="shared" si="6"/>
        <v>4229.7927208069414</v>
      </c>
      <c r="J34" s="51">
        <f t="shared" si="6"/>
        <v>21.035578110763026</v>
      </c>
      <c r="K34" s="51">
        <f t="shared" si="6"/>
        <v>5824.2792018158361</v>
      </c>
      <c r="L34" s="51">
        <f t="shared" si="6"/>
        <v>6083.8920422860974</v>
      </c>
      <c r="M34" s="51">
        <f t="shared" si="6"/>
        <v>12322.693916321514</v>
      </c>
      <c r="N34" s="51">
        <f t="shared" si="6"/>
        <v>52411.978129155701</v>
      </c>
      <c r="O34" s="51">
        <f t="shared" si="6"/>
        <v>57.534818259577662</v>
      </c>
      <c r="P34" s="51">
        <f t="shared" si="6"/>
        <v>5964.7832401311534</v>
      </c>
      <c r="Q34" s="51">
        <f t="shared" si="6"/>
        <v>-10368.92363345436</v>
      </c>
      <c r="R34" s="51">
        <f t="shared" si="6"/>
        <v>33617.761567577552</v>
      </c>
      <c r="S34" s="51">
        <f t="shared" si="6"/>
        <v>53.248043354948095</v>
      </c>
      <c r="T34" s="51">
        <f t="shared" si="6"/>
        <v>94031.309451346184</v>
      </c>
      <c r="U34" s="51">
        <f t="shared" si="6"/>
        <v>3332810.1046859557</v>
      </c>
    </row>
    <row r="35" spans="1:21" ht="10.5" x14ac:dyDescent="0.25">
      <c r="A35" s="38" t="s">
        <v>70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</row>
    <row r="36" spans="1:21" ht="10.5" x14ac:dyDescent="0.25">
      <c r="A36" s="39" t="s">
        <v>71</v>
      </c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</row>
    <row r="37" spans="1:21" x14ac:dyDescent="0.2">
      <c r="A37" s="52" t="s">
        <v>72</v>
      </c>
      <c r="B37" s="44">
        <v>0</v>
      </c>
      <c r="C37" s="44">
        <v>0</v>
      </c>
      <c r="D37" s="44">
        <v>0</v>
      </c>
      <c r="E37" s="44">
        <v>0</v>
      </c>
      <c r="F37" s="44">
        <v>0</v>
      </c>
      <c r="G37" s="44">
        <v>0</v>
      </c>
      <c r="H37" s="44">
        <v>0</v>
      </c>
      <c r="I37" s="44">
        <v>0</v>
      </c>
      <c r="J37" s="44">
        <v>0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67.751521061645278</v>
      </c>
      <c r="R37" s="44">
        <v>0</v>
      </c>
      <c r="S37" s="44">
        <v>0</v>
      </c>
      <c r="T37" s="44">
        <v>0</v>
      </c>
      <c r="U37" s="44">
        <f>SUM(B37:T37)</f>
        <v>67.751521061645278</v>
      </c>
    </row>
    <row r="38" spans="1:21" ht="10.5" x14ac:dyDescent="0.25">
      <c r="A38" s="40" t="s">
        <v>73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</row>
    <row r="39" spans="1:21" x14ac:dyDescent="0.2">
      <c r="A39" s="41" t="s">
        <v>74</v>
      </c>
      <c r="B39" s="44">
        <v>475359.17391763051</v>
      </c>
      <c r="C39" s="44">
        <v>0</v>
      </c>
      <c r="D39" s="44">
        <v>0</v>
      </c>
      <c r="E39" s="44">
        <v>0</v>
      </c>
      <c r="F39" s="44">
        <v>0</v>
      </c>
      <c r="G39" s="44">
        <v>0</v>
      </c>
      <c r="H39" s="44">
        <v>0</v>
      </c>
      <c r="I39" s="44">
        <v>0</v>
      </c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0</v>
      </c>
      <c r="R39" s="44">
        <v>0</v>
      </c>
      <c r="S39" s="44">
        <v>0</v>
      </c>
      <c r="T39" s="44">
        <v>0</v>
      </c>
      <c r="U39" s="44">
        <f>SUM(B39:T39)</f>
        <v>475359.17391763051</v>
      </c>
    </row>
    <row r="40" spans="1:21" x14ac:dyDescent="0.2">
      <c r="A40" s="41" t="s">
        <v>75</v>
      </c>
      <c r="B40" s="44">
        <v>746945.3888467974</v>
      </c>
      <c r="C40" s="44">
        <v>0</v>
      </c>
      <c r="D40" s="44">
        <v>0</v>
      </c>
      <c r="E40" s="44">
        <v>0</v>
      </c>
      <c r="F40" s="44">
        <v>0</v>
      </c>
      <c r="G40" s="44">
        <v>0</v>
      </c>
      <c r="H40" s="44">
        <v>0</v>
      </c>
      <c r="I40" s="44">
        <v>0</v>
      </c>
      <c r="J40" s="44">
        <v>0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0</v>
      </c>
      <c r="R40" s="44">
        <v>0</v>
      </c>
      <c r="S40" s="44">
        <v>0</v>
      </c>
      <c r="T40" s="44">
        <v>0</v>
      </c>
      <c r="U40" s="44">
        <f>SUM(B40:T40)</f>
        <v>746945.3888467974</v>
      </c>
    </row>
    <row r="41" spans="1:21" x14ac:dyDescent="0.2">
      <c r="A41" s="41" t="s">
        <v>76</v>
      </c>
      <c r="B41" s="44">
        <v>110009.58568916703</v>
      </c>
      <c r="C41" s="44">
        <v>0</v>
      </c>
      <c r="D41" s="44">
        <v>0</v>
      </c>
      <c r="E41" s="44">
        <v>0</v>
      </c>
      <c r="F41" s="44">
        <v>0</v>
      </c>
      <c r="G41" s="44">
        <v>0</v>
      </c>
      <c r="H41" s="44">
        <v>0</v>
      </c>
      <c r="I41" s="44">
        <v>0</v>
      </c>
      <c r="J41" s="44">
        <v>0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0</v>
      </c>
      <c r="R41" s="44">
        <v>0</v>
      </c>
      <c r="S41" s="44">
        <v>0</v>
      </c>
      <c r="T41" s="44">
        <v>0</v>
      </c>
      <c r="U41" s="44">
        <f>SUM(B41:T41)</f>
        <v>110009.58568916703</v>
      </c>
    </row>
    <row r="42" spans="1:21" x14ac:dyDescent="0.2">
      <c r="A42" s="41" t="s">
        <v>77</v>
      </c>
      <c r="B42" s="44">
        <v>34947.519745029967</v>
      </c>
      <c r="C42" s="44">
        <v>0</v>
      </c>
      <c r="D42" s="44">
        <v>0</v>
      </c>
      <c r="E42" s="44">
        <v>0</v>
      </c>
      <c r="F42" s="44">
        <v>0</v>
      </c>
      <c r="G42" s="44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0</v>
      </c>
      <c r="R42" s="44">
        <v>0</v>
      </c>
      <c r="S42" s="44">
        <v>0</v>
      </c>
      <c r="T42" s="44">
        <v>0</v>
      </c>
      <c r="U42" s="44">
        <f>SUM(B42:T42)</f>
        <v>34947.519745029967</v>
      </c>
    </row>
    <row r="43" spans="1:21" ht="10.5" x14ac:dyDescent="0.25">
      <c r="A43" s="45" t="s">
        <v>78</v>
      </c>
      <c r="B43" s="46">
        <f t="shared" ref="B43:U43" si="7">SUM(B39:B42)</f>
        <v>1367261.6681986249</v>
      </c>
      <c r="C43" s="46">
        <f t="shared" si="7"/>
        <v>0</v>
      </c>
      <c r="D43" s="46">
        <f t="shared" si="7"/>
        <v>0</v>
      </c>
      <c r="E43" s="46">
        <f t="shared" si="7"/>
        <v>0</v>
      </c>
      <c r="F43" s="46">
        <f t="shared" si="7"/>
        <v>0</v>
      </c>
      <c r="G43" s="46">
        <f t="shared" si="7"/>
        <v>0</v>
      </c>
      <c r="H43" s="46">
        <f t="shared" si="7"/>
        <v>0</v>
      </c>
      <c r="I43" s="46">
        <f t="shared" si="7"/>
        <v>0</v>
      </c>
      <c r="J43" s="46">
        <f t="shared" si="7"/>
        <v>0</v>
      </c>
      <c r="K43" s="46">
        <f t="shared" si="7"/>
        <v>0</v>
      </c>
      <c r="L43" s="46">
        <f t="shared" si="7"/>
        <v>0</v>
      </c>
      <c r="M43" s="46">
        <f t="shared" si="7"/>
        <v>0</v>
      </c>
      <c r="N43" s="46">
        <f t="shared" si="7"/>
        <v>0</v>
      </c>
      <c r="O43" s="46">
        <f t="shared" si="7"/>
        <v>0</v>
      </c>
      <c r="P43" s="46">
        <f t="shared" si="7"/>
        <v>0</v>
      </c>
      <c r="Q43" s="46">
        <f t="shared" si="7"/>
        <v>0</v>
      </c>
      <c r="R43" s="46">
        <f t="shared" si="7"/>
        <v>0</v>
      </c>
      <c r="S43" s="46">
        <f t="shared" si="7"/>
        <v>0</v>
      </c>
      <c r="T43" s="46">
        <f t="shared" si="7"/>
        <v>0</v>
      </c>
      <c r="U43" s="46">
        <f t="shared" si="7"/>
        <v>1367261.6681986249</v>
      </c>
    </row>
    <row r="44" spans="1:21" ht="10.5" x14ac:dyDescent="0.25">
      <c r="A44" s="40" t="s">
        <v>79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</row>
    <row r="45" spans="1:21" x14ac:dyDescent="0.2">
      <c r="A45" s="41" t="s">
        <v>80</v>
      </c>
      <c r="B45" s="44">
        <v>2529.2034012613913</v>
      </c>
      <c r="C45" s="44">
        <v>0</v>
      </c>
      <c r="D45" s="44">
        <v>0</v>
      </c>
      <c r="E45" s="44">
        <v>0</v>
      </c>
      <c r="F45" s="44">
        <v>0</v>
      </c>
      <c r="G45" s="44">
        <v>0</v>
      </c>
      <c r="H45" s="44">
        <v>0</v>
      </c>
      <c r="I45" s="44">
        <v>0</v>
      </c>
      <c r="J45" s="44">
        <v>0</v>
      </c>
      <c r="K45" s="44">
        <v>0</v>
      </c>
      <c r="L45" s="44">
        <v>0</v>
      </c>
      <c r="M45" s="44">
        <v>0</v>
      </c>
      <c r="N45" s="44">
        <v>0</v>
      </c>
      <c r="O45" s="44">
        <v>0</v>
      </c>
      <c r="P45" s="44">
        <v>0</v>
      </c>
      <c r="Q45" s="44">
        <v>0</v>
      </c>
      <c r="R45" s="44">
        <v>0</v>
      </c>
      <c r="S45" s="44">
        <v>0</v>
      </c>
      <c r="T45" s="44">
        <v>0</v>
      </c>
      <c r="U45" s="44">
        <f>SUM(B45:T45)</f>
        <v>2529.2034012613913</v>
      </c>
    </row>
    <row r="46" spans="1:21" x14ac:dyDescent="0.2">
      <c r="A46" s="41" t="s">
        <v>81</v>
      </c>
      <c r="B46" s="44">
        <v>16565.234188371644</v>
      </c>
      <c r="C46" s="44">
        <v>0</v>
      </c>
      <c r="D46" s="44">
        <v>0</v>
      </c>
      <c r="E46" s="44">
        <v>0</v>
      </c>
      <c r="F46" s="44">
        <v>0</v>
      </c>
      <c r="G46" s="44">
        <v>0</v>
      </c>
      <c r="H46" s="44">
        <v>0</v>
      </c>
      <c r="I46" s="44">
        <v>0</v>
      </c>
      <c r="J46" s="44">
        <v>0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0</v>
      </c>
      <c r="R46" s="44">
        <v>0</v>
      </c>
      <c r="S46" s="44">
        <v>0</v>
      </c>
      <c r="T46" s="44">
        <v>0</v>
      </c>
      <c r="U46" s="44">
        <f>SUM(B46:T46)</f>
        <v>16565.234188371644</v>
      </c>
    </row>
    <row r="47" spans="1:21" x14ac:dyDescent="0.2">
      <c r="A47" s="41" t="s">
        <v>82</v>
      </c>
      <c r="B47" s="44">
        <v>1383.6877861822206</v>
      </c>
      <c r="C47" s="44">
        <v>0</v>
      </c>
      <c r="D47" s="44">
        <v>0</v>
      </c>
      <c r="E47" s="44">
        <v>0</v>
      </c>
      <c r="F47" s="44">
        <v>0</v>
      </c>
      <c r="G47" s="44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0</v>
      </c>
      <c r="R47" s="44">
        <v>0</v>
      </c>
      <c r="S47" s="44">
        <v>0</v>
      </c>
      <c r="T47" s="44">
        <v>0</v>
      </c>
      <c r="U47" s="44">
        <f>SUM(B47:T47)</f>
        <v>1383.6877861822206</v>
      </c>
    </row>
    <row r="48" spans="1:21" x14ac:dyDescent="0.2">
      <c r="A48" s="41" t="s">
        <v>275</v>
      </c>
      <c r="B48" s="44">
        <v>-0.2118907719454092</v>
      </c>
      <c r="C48" s="44">
        <v>0</v>
      </c>
      <c r="D48" s="44">
        <v>0</v>
      </c>
      <c r="E48" s="44">
        <v>0</v>
      </c>
      <c r="F48" s="44">
        <v>0</v>
      </c>
      <c r="G48" s="44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44">
        <v>0</v>
      </c>
      <c r="N48" s="44">
        <v>0</v>
      </c>
      <c r="O48" s="44">
        <v>0</v>
      </c>
      <c r="P48" s="44">
        <v>0</v>
      </c>
      <c r="Q48" s="44">
        <v>0</v>
      </c>
      <c r="R48" s="44">
        <v>0</v>
      </c>
      <c r="S48" s="44">
        <v>0</v>
      </c>
      <c r="T48" s="44">
        <v>0</v>
      </c>
      <c r="U48" s="44">
        <f>SUM(B48:T48)</f>
        <v>-0.2118907719454092</v>
      </c>
    </row>
    <row r="49" spans="1:21" x14ac:dyDescent="0.2">
      <c r="A49" s="41" t="s">
        <v>276</v>
      </c>
      <c r="B49" s="44">
        <v>1760.7079721381499</v>
      </c>
      <c r="C49" s="44">
        <v>0</v>
      </c>
      <c r="D49" s="44">
        <v>0</v>
      </c>
      <c r="E49" s="44">
        <v>0</v>
      </c>
      <c r="F49" s="44">
        <v>0</v>
      </c>
      <c r="G49" s="44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44">
        <v>0</v>
      </c>
      <c r="N49" s="44">
        <v>0</v>
      </c>
      <c r="O49" s="44">
        <v>0</v>
      </c>
      <c r="P49" s="44">
        <v>0</v>
      </c>
      <c r="Q49" s="44">
        <v>0</v>
      </c>
      <c r="R49" s="44">
        <v>0</v>
      </c>
      <c r="S49" s="44">
        <v>0</v>
      </c>
      <c r="T49" s="44">
        <v>0</v>
      </c>
      <c r="U49" s="44">
        <f>SUM(B49:T49)</f>
        <v>1760.7079721381499</v>
      </c>
    </row>
    <row r="50" spans="1:21" ht="10.5" x14ac:dyDescent="0.25">
      <c r="A50" s="45" t="s">
        <v>83</v>
      </c>
      <c r="B50" s="46">
        <f t="shared" ref="B50:U50" si="8">SUM(B45:B49)</f>
        <v>22238.62145718146</v>
      </c>
      <c r="C50" s="46">
        <f t="shared" si="8"/>
        <v>0</v>
      </c>
      <c r="D50" s="46">
        <f t="shared" si="8"/>
        <v>0</v>
      </c>
      <c r="E50" s="46">
        <f t="shared" si="8"/>
        <v>0</v>
      </c>
      <c r="F50" s="46">
        <f t="shared" si="8"/>
        <v>0</v>
      </c>
      <c r="G50" s="46">
        <f t="shared" si="8"/>
        <v>0</v>
      </c>
      <c r="H50" s="46">
        <f t="shared" si="8"/>
        <v>0</v>
      </c>
      <c r="I50" s="46">
        <f t="shared" si="8"/>
        <v>0</v>
      </c>
      <c r="J50" s="46">
        <f t="shared" si="8"/>
        <v>0</v>
      </c>
      <c r="K50" s="46">
        <f t="shared" si="8"/>
        <v>0</v>
      </c>
      <c r="L50" s="46">
        <f t="shared" si="8"/>
        <v>0</v>
      </c>
      <c r="M50" s="46">
        <f t="shared" si="8"/>
        <v>0</v>
      </c>
      <c r="N50" s="46">
        <f t="shared" si="8"/>
        <v>0</v>
      </c>
      <c r="O50" s="46">
        <f t="shared" si="8"/>
        <v>0</v>
      </c>
      <c r="P50" s="46">
        <f t="shared" si="8"/>
        <v>0</v>
      </c>
      <c r="Q50" s="46">
        <f t="shared" si="8"/>
        <v>0</v>
      </c>
      <c r="R50" s="46">
        <f t="shared" si="8"/>
        <v>0</v>
      </c>
      <c r="S50" s="46">
        <f t="shared" si="8"/>
        <v>0</v>
      </c>
      <c r="T50" s="46">
        <f t="shared" si="8"/>
        <v>0</v>
      </c>
      <c r="U50" s="46">
        <f t="shared" si="8"/>
        <v>22238.62145718146</v>
      </c>
    </row>
    <row r="51" spans="1:21" ht="10.5" x14ac:dyDescent="0.25">
      <c r="A51" s="40" t="s">
        <v>84</v>
      </c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</row>
    <row r="52" spans="1:21" x14ac:dyDescent="0.2">
      <c r="A52" s="41" t="s">
        <v>85</v>
      </c>
      <c r="B52" s="44">
        <v>44341.282364271268</v>
      </c>
      <c r="C52" s="44">
        <v>0</v>
      </c>
      <c r="D52" s="44">
        <v>0</v>
      </c>
      <c r="E52" s="44">
        <v>0</v>
      </c>
      <c r="F52" s="44">
        <v>0</v>
      </c>
      <c r="G52" s="44">
        <v>0</v>
      </c>
      <c r="H52" s="44">
        <v>0</v>
      </c>
      <c r="I52" s="44">
        <v>0</v>
      </c>
      <c r="J52" s="44">
        <v>0</v>
      </c>
      <c r="K52" s="44">
        <v>0</v>
      </c>
      <c r="L52" s="44">
        <v>0</v>
      </c>
      <c r="M52" s="44">
        <v>0</v>
      </c>
      <c r="N52" s="44">
        <v>0</v>
      </c>
      <c r="O52" s="44">
        <v>0</v>
      </c>
      <c r="P52" s="44">
        <v>0</v>
      </c>
      <c r="Q52" s="44">
        <v>38181.513481778085</v>
      </c>
      <c r="R52" s="44">
        <v>0</v>
      </c>
      <c r="S52" s="44">
        <v>0</v>
      </c>
      <c r="T52" s="44">
        <v>0</v>
      </c>
      <c r="U52" s="44">
        <f>SUM(B52:T52)</f>
        <v>82522.795846049354</v>
      </c>
    </row>
    <row r="53" spans="1:21" x14ac:dyDescent="0.2">
      <c r="A53" s="41" t="s">
        <v>86</v>
      </c>
      <c r="B53" s="44">
        <v>5770.0221472798594</v>
      </c>
      <c r="C53" s="44">
        <v>0</v>
      </c>
      <c r="D53" s="44">
        <v>0</v>
      </c>
      <c r="E53" s="44">
        <v>0</v>
      </c>
      <c r="F53" s="44">
        <v>0</v>
      </c>
      <c r="G53" s="44">
        <v>0</v>
      </c>
      <c r="H53" s="44">
        <v>0</v>
      </c>
      <c r="I53" s="44">
        <v>0</v>
      </c>
      <c r="J53" s="44">
        <v>0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0</v>
      </c>
      <c r="R53" s="44">
        <v>0</v>
      </c>
      <c r="S53" s="44">
        <v>0</v>
      </c>
      <c r="T53" s="44">
        <v>0</v>
      </c>
      <c r="U53" s="44">
        <f>SUM(B53:T53)</f>
        <v>5770.0221472798594</v>
      </c>
    </row>
    <row r="54" spans="1:21" x14ac:dyDescent="0.2">
      <c r="A54" s="41" t="s">
        <v>87</v>
      </c>
      <c r="B54" s="44">
        <v>220102.83415828072</v>
      </c>
      <c r="C54" s="44">
        <v>0</v>
      </c>
      <c r="D54" s="44">
        <v>0</v>
      </c>
      <c r="E54" s="44">
        <v>12679.067202741297</v>
      </c>
      <c r="F54" s="44">
        <v>0</v>
      </c>
      <c r="G54" s="44">
        <v>511.64202389484603</v>
      </c>
      <c r="H54" s="44">
        <v>0</v>
      </c>
      <c r="I54" s="44">
        <v>99.890326799999997</v>
      </c>
      <c r="J54" s="44">
        <v>0</v>
      </c>
      <c r="K54" s="44">
        <v>0</v>
      </c>
      <c r="L54" s="44">
        <v>0</v>
      </c>
      <c r="M54" s="44">
        <v>0</v>
      </c>
      <c r="N54" s="44">
        <v>80.725931338914904</v>
      </c>
      <c r="O54" s="44">
        <v>0</v>
      </c>
      <c r="P54" s="44">
        <v>0</v>
      </c>
      <c r="Q54" s="44">
        <v>0</v>
      </c>
      <c r="R54" s="44">
        <v>0</v>
      </c>
      <c r="S54" s="44">
        <v>0</v>
      </c>
      <c r="T54" s="44">
        <v>13134.115271902447</v>
      </c>
      <c r="U54" s="44">
        <f>SUM(B54:T54)</f>
        <v>246608.27491495822</v>
      </c>
    </row>
    <row r="55" spans="1:21" ht="10.5" x14ac:dyDescent="0.25">
      <c r="A55" s="45" t="s">
        <v>88</v>
      </c>
      <c r="B55" s="46">
        <f t="shared" ref="B55:U55" si="9">SUM(B52:B54)</f>
        <v>270214.13866983185</v>
      </c>
      <c r="C55" s="46">
        <f t="shared" si="9"/>
        <v>0</v>
      </c>
      <c r="D55" s="46">
        <f t="shared" si="9"/>
        <v>0</v>
      </c>
      <c r="E55" s="46">
        <f t="shared" si="9"/>
        <v>12679.067202741297</v>
      </c>
      <c r="F55" s="46">
        <f t="shared" si="9"/>
        <v>0</v>
      </c>
      <c r="G55" s="46">
        <f t="shared" si="9"/>
        <v>511.64202389484603</v>
      </c>
      <c r="H55" s="46">
        <f t="shared" si="9"/>
        <v>0</v>
      </c>
      <c r="I55" s="46">
        <f t="shared" si="9"/>
        <v>99.890326799999997</v>
      </c>
      <c r="J55" s="46">
        <f t="shared" si="9"/>
        <v>0</v>
      </c>
      <c r="K55" s="46">
        <f t="shared" si="9"/>
        <v>0</v>
      </c>
      <c r="L55" s="46">
        <f t="shared" si="9"/>
        <v>0</v>
      </c>
      <c r="M55" s="46">
        <f t="shared" si="9"/>
        <v>0</v>
      </c>
      <c r="N55" s="46">
        <f t="shared" si="9"/>
        <v>80.725931338914904</v>
      </c>
      <c r="O55" s="46">
        <f t="shared" si="9"/>
        <v>0</v>
      </c>
      <c r="P55" s="46">
        <f t="shared" si="9"/>
        <v>0</v>
      </c>
      <c r="Q55" s="46">
        <f t="shared" si="9"/>
        <v>38181.513481778085</v>
      </c>
      <c r="R55" s="46">
        <f t="shared" si="9"/>
        <v>0</v>
      </c>
      <c r="S55" s="46">
        <f t="shared" si="9"/>
        <v>0</v>
      </c>
      <c r="T55" s="46">
        <f t="shared" si="9"/>
        <v>13134.115271902447</v>
      </c>
      <c r="U55" s="46">
        <f t="shared" si="9"/>
        <v>334901.09290828742</v>
      </c>
    </row>
    <row r="56" spans="1:21" ht="10.5" x14ac:dyDescent="0.25">
      <c r="A56" s="40" t="s">
        <v>89</v>
      </c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</row>
    <row r="57" spans="1:21" x14ac:dyDescent="0.2">
      <c r="A57" s="41" t="s">
        <v>277</v>
      </c>
      <c r="B57" s="44">
        <v>3185.88026950828</v>
      </c>
      <c r="C57" s="44">
        <v>0</v>
      </c>
      <c r="D57" s="44">
        <v>0</v>
      </c>
      <c r="E57" s="44">
        <v>0</v>
      </c>
      <c r="F57" s="44">
        <v>0</v>
      </c>
      <c r="G57" s="44">
        <v>0</v>
      </c>
      <c r="H57" s="44">
        <v>0</v>
      </c>
      <c r="I57" s="44">
        <v>0</v>
      </c>
      <c r="J57" s="44">
        <v>0</v>
      </c>
      <c r="K57" s="44">
        <v>0</v>
      </c>
      <c r="L57" s="44">
        <v>0</v>
      </c>
      <c r="M57" s="44">
        <v>0</v>
      </c>
      <c r="N57" s="44">
        <v>0</v>
      </c>
      <c r="O57" s="44">
        <v>0</v>
      </c>
      <c r="P57" s="44">
        <v>0</v>
      </c>
      <c r="Q57" s="44">
        <v>0</v>
      </c>
      <c r="R57" s="44">
        <v>0</v>
      </c>
      <c r="S57" s="44">
        <v>0</v>
      </c>
      <c r="T57" s="44">
        <v>0</v>
      </c>
      <c r="U57" s="44">
        <f>SUM(B57:T57)</f>
        <v>3185.88026950828</v>
      </c>
    </row>
    <row r="58" spans="1:21" x14ac:dyDescent="0.2">
      <c r="A58" s="41" t="s">
        <v>90</v>
      </c>
      <c r="B58" s="44">
        <v>3532.8210630406602</v>
      </c>
      <c r="C58" s="44">
        <v>0</v>
      </c>
      <c r="D58" s="44">
        <v>0</v>
      </c>
      <c r="E58" s="44">
        <v>0</v>
      </c>
      <c r="F58" s="44">
        <v>0</v>
      </c>
      <c r="G58" s="44">
        <v>0</v>
      </c>
      <c r="H58" s="44">
        <v>0</v>
      </c>
      <c r="I58" s="44">
        <v>0</v>
      </c>
      <c r="J58" s="44">
        <v>0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0</v>
      </c>
      <c r="R58" s="44">
        <v>0</v>
      </c>
      <c r="S58" s="44">
        <v>0</v>
      </c>
      <c r="T58" s="44">
        <v>0</v>
      </c>
      <c r="U58" s="44">
        <f>SUM(B58:T58)</f>
        <v>3532.8210630406602</v>
      </c>
    </row>
    <row r="59" spans="1:21" ht="10.5" x14ac:dyDescent="0.25">
      <c r="A59" s="45" t="s">
        <v>91</v>
      </c>
      <c r="B59" s="46">
        <f t="shared" ref="B59:U59" si="10">SUM(B57:B58)</f>
        <v>6718.7013325489406</v>
      </c>
      <c r="C59" s="46">
        <f t="shared" si="10"/>
        <v>0</v>
      </c>
      <c r="D59" s="46">
        <f t="shared" si="10"/>
        <v>0</v>
      </c>
      <c r="E59" s="46">
        <f t="shared" si="10"/>
        <v>0</v>
      </c>
      <c r="F59" s="46">
        <f t="shared" si="10"/>
        <v>0</v>
      </c>
      <c r="G59" s="46">
        <f t="shared" si="10"/>
        <v>0</v>
      </c>
      <c r="H59" s="46">
        <f t="shared" si="10"/>
        <v>0</v>
      </c>
      <c r="I59" s="46">
        <f t="shared" si="10"/>
        <v>0</v>
      </c>
      <c r="J59" s="46">
        <f t="shared" si="10"/>
        <v>0</v>
      </c>
      <c r="K59" s="46">
        <f t="shared" si="10"/>
        <v>0</v>
      </c>
      <c r="L59" s="46">
        <f t="shared" si="10"/>
        <v>0</v>
      </c>
      <c r="M59" s="46">
        <f t="shared" si="10"/>
        <v>0</v>
      </c>
      <c r="N59" s="46">
        <f t="shared" si="10"/>
        <v>0</v>
      </c>
      <c r="O59" s="46">
        <f t="shared" si="10"/>
        <v>0</v>
      </c>
      <c r="P59" s="46">
        <f t="shared" si="10"/>
        <v>0</v>
      </c>
      <c r="Q59" s="46">
        <f t="shared" si="10"/>
        <v>0</v>
      </c>
      <c r="R59" s="46">
        <f t="shared" si="10"/>
        <v>0</v>
      </c>
      <c r="S59" s="46">
        <f t="shared" si="10"/>
        <v>0</v>
      </c>
      <c r="T59" s="46">
        <f t="shared" si="10"/>
        <v>0</v>
      </c>
      <c r="U59" s="46">
        <f t="shared" si="10"/>
        <v>6718.7013325489406</v>
      </c>
    </row>
    <row r="60" spans="1:21" ht="10.5" x14ac:dyDescent="0.25">
      <c r="A60" s="40" t="s">
        <v>92</v>
      </c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</row>
    <row r="61" spans="1:21" x14ac:dyDescent="0.2">
      <c r="A61" s="41" t="s">
        <v>93</v>
      </c>
      <c r="B61" s="44">
        <v>25908.231499111658</v>
      </c>
      <c r="C61" s="44">
        <v>0</v>
      </c>
      <c r="D61" s="44">
        <v>0</v>
      </c>
      <c r="E61" s="44">
        <v>0</v>
      </c>
      <c r="F61" s="44">
        <v>0</v>
      </c>
      <c r="G61" s="44">
        <v>0</v>
      </c>
      <c r="H61" s="44">
        <v>0</v>
      </c>
      <c r="I61" s="44">
        <v>0</v>
      </c>
      <c r="J61" s="44">
        <v>0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0</v>
      </c>
      <c r="R61" s="44">
        <v>0</v>
      </c>
      <c r="S61" s="44">
        <v>0</v>
      </c>
      <c r="T61" s="44">
        <v>562.82695180061251</v>
      </c>
      <c r="U61" s="44">
        <f t="shared" ref="U61:U69" si="11">SUM(B61:T61)</f>
        <v>26471.058450912271</v>
      </c>
    </row>
    <row r="62" spans="1:21" x14ac:dyDescent="0.2">
      <c r="A62" s="41" t="s">
        <v>94</v>
      </c>
      <c r="B62" s="44">
        <v>55694.090906885678</v>
      </c>
      <c r="C62" s="44">
        <v>0</v>
      </c>
      <c r="D62" s="44">
        <v>0</v>
      </c>
      <c r="E62" s="44">
        <v>0</v>
      </c>
      <c r="F62" s="44">
        <v>0</v>
      </c>
      <c r="G62" s="44">
        <v>0</v>
      </c>
      <c r="H62" s="44">
        <v>0</v>
      </c>
      <c r="I62" s="44">
        <v>0</v>
      </c>
      <c r="J62" s="44">
        <v>0</v>
      </c>
      <c r="K62" s="44">
        <v>0</v>
      </c>
      <c r="L62" s="44">
        <v>0</v>
      </c>
      <c r="M62" s="44">
        <v>0</v>
      </c>
      <c r="N62" s="44">
        <v>0</v>
      </c>
      <c r="O62" s="44">
        <v>0</v>
      </c>
      <c r="P62" s="44">
        <v>0</v>
      </c>
      <c r="Q62" s="44">
        <v>0</v>
      </c>
      <c r="R62" s="44">
        <v>0</v>
      </c>
      <c r="S62" s="44">
        <v>0</v>
      </c>
      <c r="T62" s="44">
        <v>1717.1995171312826</v>
      </c>
      <c r="U62" s="44">
        <f t="shared" si="11"/>
        <v>57411.290424016959</v>
      </c>
    </row>
    <row r="63" spans="1:21" x14ac:dyDescent="0.2">
      <c r="A63" s="41" t="s">
        <v>95</v>
      </c>
      <c r="B63" s="44">
        <v>64699.289285971099</v>
      </c>
      <c r="C63" s="44">
        <v>0</v>
      </c>
      <c r="D63" s="44">
        <v>0</v>
      </c>
      <c r="E63" s="44">
        <v>0</v>
      </c>
      <c r="F63" s="44">
        <v>0</v>
      </c>
      <c r="G63" s="44">
        <v>0</v>
      </c>
      <c r="H63" s="44">
        <v>0</v>
      </c>
      <c r="I63" s="44">
        <v>0</v>
      </c>
      <c r="J63" s="44">
        <v>0</v>
      </c>
      <c r="K63" s="44">
        <v>0</v>
      </c>
      <c r="L63" s="44">
        <v>0</v>
      </c>
      <c r="M63" s="44">
        <v>0</v>
      </c>
      <c r="N63" s="44">
        <v>0</v>
      </c>
      <c r="O63" s="44">
        <v>0</v>
      </c>
      <c r="P63" s="44">
        <v>0</v>
      </c>
      <c r="Q63" s="44">
        <v>0</v>
      </c>
      <c r="R63" s="44">
        <v>0</v>
      </c>
      <c r="S63" s="44">
        <v>0</v>
      </c>
      <c r="T63" s="44">
        <v>1339.4603797369502</v>
      </c>
      <c r="U63" s="44">
        <f t="shared" si="11"/>
        <v>66038.749665708048</v>
      </c>
    </row>
    <row r="64" spans="1:21" x14ac:dyDescent="0.2">
      <c r="A64" s="41" t="s">
        <v>96</v>
      </c>
      <c r="B64" s="44">
        <v>14571.335844769157</v>
      </c>
      <c r="C64" s="44">
        <v>0</v>
      </c>
      <c r="D64" s="44">
        <v>0</v>
      </c>
      <c r="E64" s="44">
        <v>0</v>
      </c>
      <c r="F64" s="44">
        <v>0</v>
      </c>
      <c r="G64" s="44">
        <v>0</v>
      </c>
      <c r="H64" s="44">
        <v>0</v>
      </c>
      <c r="I64" s="44">
        <v>0</v>
      </c>
      <c r="J64" s="44">
        <v>0</v>
      </c>
      <c r="K64" s="44">
        <v>0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0</v>
      </c>
      <c r="R64" s="44">
        <v>0</v>
      </c>
      <c r="S64" s="44">
        <v>0</v>
      </c>
      <c r="T64" s="44">
        <v>361.96892840082705</v>
      </c>
      <c r="U64" s="44">
        <f t="shared" si="11"/>
        <v>14933.304773169984</v>
      </c>
    </row>
    <row r="65" spans="1:21" x14ac:dyDescent="0.2">
      <c r="A65" s="41" t="s">
        <v>97</v>
      </c>
      <c r="B65" s="44">
        <v>2855.9891470753646</v>
      </c>
      <c r="C65" s="44">
        <v>0</v>
      </c>
      <c r="D65" s="44">
        <v>0</v>
      </c>
      <c r="E65" s="44">
        <v>0</v>
      </c>
      <c r="F65" s="44">
        <v>0</v>
      </c>
      <c r="G65" s="44">
        <v>0</v>
      </c>
      <c r="H65" s="44">
        <v>0</v>
      </c>
      <c r="I65" s="44">
        <v>0</v>
      </c>
      <c r="J65" s="44">
        <v>0</v>
      </c>
      <c r="K65" s="44">
        <v>0</v>
      </c>
      <c r="L65" s="44">
        <v>0</v>
      </c>
      <c r="M65" s="44">
        <v>0</v>
      </c>
      <c r="N65" s="44">
        <v>0</v>
      </c>
      <c r="O65" s="44">
        <v>0</v>
      </c>
      <c r="P65" s="44">
        <v>0</v>
      </c>
      <c r="Q65" s="44">
        <v>0</v>
      </c>
      <c r="R65" s="44">
        <v>0</v>
      </c>
      <c r="S65" s="44">
        <v>0</v>
      </c>
      <c r="T65" s="44">
        <v>301.74321197502252</v>
      </c>
      <c r="U65" s="44">
        <f t="shared" si="11"/>
        <v>3157.732359050387</v>
      </c>
    </row>
    <row r="66" spans="1:21" x14ac:dyDescent="0.2">
      <c r="A66" s="41" t="s">
        <v>98</v>
      </c>
      <c r="B66" s="44">
        <v>7766.5042145074658</v>
      </c>
      <c r="C66" s="44">
        <v>0</v>
      </c>
      <c r="D66" s="44">
        <v>0</v>
      </c>
      <c r="E66" s="44">
        <v>0</v>
      </c>
      <c r="F66" s="44">
        <v>0</v>
      </c>
      <c r="G66" s="44">
        <v>0</v>
      </c>
      <c r="H66" s="44">
        <v>0</v>
      </c>
      <c r="I66" s="44">
        <v>0</v>
      </c>
      <c r="J66" s="44">
        <v>0</v>
      </c>
      <c r="K66" s="44">
        <v>0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0</v>
      </c>
      <c r="R66" s="44">
        <v>0</v>
      </c>
      <c r="S66" s="44">
        <v>0</v>
      </c>
      <c r="T66" s="44">
        <v>0</v>
      </c>
      <c r="U66" s="44">
        <f t="shared" si="11"/>
        <v>7766.5042145074658</v>
      </c>
    </row>
    <row r="67" spans="1:21" x14ac:dyDescent="0.2">
      <c r="A67" s="41" t="s">
        <v>99</v>
      </c>
      <c r="B67" s="44">
        <v>2404.7808425746825</v>
      </c>
      <c r="C67" s="44">
        <v>0</v>
      </c>
      <c r="D67" s="44">
        <v>0</v>
      </c>
      <c r="E67" s="44">
        <v>0</v>
      </c>
      <c r="F67" s="44">
        <v>0</v>
      </c>
      <c r="G67" s="44">
        <v>0</v>
      </c>
      <c r="H67" s="44">
        <v>0</v>
      </c>
      <c r="I67" s="44">
        <v>0</v>
      </c>
      <c r="J67" s="44">
        <v>0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0</v>
      </c>
      <c r="R67" s="44">
        <v>0</v>
      </c>
      <c r="S67" s="44">
        <v>0</v>
      </c>
      <c r="T67" s="44">
        <v>0</v>
      </c>
      <c r="U67" s="44">
        <f t="shared" si="11"/>
        <v>2404.7808425746825</v>
      </c>
    </row>
    <row r="68" spans="1:21" x14ac:dyDescent="0.2">
      <c r="A68" s="41" t="s">
        <v>278</v>
      </c>
      <c r="B68" s="44">
        <v>14424.330860458222</v>
      </c>
      <c r="C68" s="44">
        <v>0</v>
      </c>
      <c r="D68" s="44">
        <v>0</v>
      </c>
      <c r="E68" s="44">
        <v>0</v>
      </c>
      <c r="F68" s="44">
        <v>0</v>
      </c>
      <c r="G68" s="44">
        <v>0</v>
      </c>
      <c r="H68" s="44">
        <v>0</v>
      </c>
      <c r="I68" s="44">
        <v>0</v>
      </c>
      <c r="J68" s="44">
        <v>0</v>
      </c>
      <c r="K68" s="44">
        <v>0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0</v>
      </c>
      <c r="R68" s="44">
        <v>0</v>
      </c>
      <c r="S68" s="44">
        <v>0</v>
      </c>
      <c r="T68" s="44">
        <v>0</v>
      </c>
      <c r="U68" s="44">
        <f t="shared" si="11"/>
        <v>14424.330860458222</v>
      </c>
    </row>
    <row r="69" spans="1:21" x14ac:dyDescent="0.2">
      <c r="A69" s="41" t="s">
        <v>100</v>
      </c>
      <c r="B69" s="44">
        <v>17258.670735276319</v>
      </c>
      <c r="C69" s="44">
        <v>0</v>
      </c>
      <c r="D69" s="44">
        <v>0</v>
      </c>
      <c r="E69" s="44">
        <v>0</v>
      </c>
      <c r="F69" s="44">
        <v>0</v>
      </c>
      <c r="G69" s="44">
        <v>0</v>
      </c>
      <c r="H69" s="44">
        <v>0</v>
      </c>
      <c r="I69" s="44">
        <v>0</v>
      </c>
      <c r="J69" s="44">
        <v>0</v>
      </c>
      <c r="K69" s="44">
        <v>0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0</v>
      </c>
      <c r="R69" s="44">
        <v>0</v>
      </c>
      <c r="S69" s="44">
        <v>0</v>
      </c>
      <c r="T69" s="44">
        <v>65.69550930466059</v>
      </c>
      <c r="U69" s="44">
        <f t="shared" si="11"/>
        <v>17324.366244580979</v>
      </c>
    </row>
    <row r="70" spans="1:21" ht="10.5" x14ac:dyDescent="0.25">
      <c r="A70" s="45" t="s">
        <v>101</v>
      </c>
      <c r="B70" s="46">
        <f t="shared" ref="B70:U70" si="12">SUM(B61:B69)</f>
        <v>205583.22333662969</v>
      </c>
      <c r="C70" s="46">
        <f t="shared" si="12"/>
        <v>0</v>
      </c>
      <c r="D70" s="46">
        <f t="shared" si="12"/>
        <v>0</v>
      </c>
      <c r="E70" s="46">
        <f t="shared" si="12"/>
        <v>0</v>
      </c>
      <c r="F70" s="46">
        <f t="shared" si="12"/>
        <v>0</v>
      </c>
      <c r="G70" s="46">
        <f t="shared" si="12"/>
        <v>0</v>
      </c>
      <c r="H70" s="46">
        <f t="shared" si="12"/>
        <v>0</v>
      </c>
      <c r="I70" s="46">
        <f t="shared" si="12"/>
        <v>0</v>
      </c>
      <c r="J70" s="46">
        <f t="shared" si="12"/>
        <v>0</v>
      </c>
      <c r="K70" s="46">
        <f t="shared" si="12"/>
        <v>0</v>
      </c>
      <c r="L70" s="46">
        <f t="shared" si="12"/>
        <v>0</v>
      </c>
      <c r="M70" s="46">
        <f t="shared" si="12"/>
        <v>0</v>
      </c>
      <c r="N70" s="46">
        <f t="shared" si="12"/>
        <v>0</v>
      </c>
      <c r="O70" s="46">
        <f t="shared" si="12"/>
        <v>0</v>
      </c>
      <c r="P70" s="46">
        <f t="shared" si="12"/>
        <v>0</v>
      </c>
      <c r="Q70" s="46">
        <f t="shared" si="12"/>
        <v>0</v>
      </c>
      <c r="R70" s="46">
        <f t="shared" si="12"/>
        <v>0</v>
      </c>
      <c r="S70" s="46">
        <f t="shared" si="12"/>
        <v>0</v>
      </c>
      <c r="T70" s="46">
        <f t="shared" si="12"/>
        <v>4348.8944983493566</v>
      </c>
      <c r="U70" s="46">
        <f t="shared" si="12"/>
        <v>209932.11783497903</v>
      </c>
    </row>
    <row r="71" spans="1:21" ht="10.5" x14ac:dyDescent="0.25">
      <c r="A71" s="40" t="s">
        <v>102</v>
      </c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</row>
    <row r="72" spans="1:21" x14ac:dyDescent="0.2">
      <c r="A72" s="41" t="s">
        <v>103</v>
      </c>
      <c r="B72" s="44">
        <v>66195.740479111395</v>
      </c>
      <c r="C72" s="44">
        <v>0</v>
      </c>
      <c r="D72" s="44">
        <v>0</v>
      </c>
      <c r="E72" s="44">
        <v>7479.9034282477623</v>
      </c>
      <c r="F72" s="44">
        <v>0</v>
      </c>
      <c r="G72" s="44">
        <v>7479.9034282477623</v>
      </c>
      <c r="H72" s="44">
        <v>0</v>
      </c>
      <c r="I72" s="44">
        <v>0</v>
      </c>
      <c r="J72" s="44">
        <v>0</v>
      </c>
      <c r="K72" s="44">
        <v>0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0</v>
      </c>
      <c r="R72" s="44">
        <v>0</v>
      </c>
      <c r="S72" s="44">
        <v>0</v>
      </c>
      <c r="T72" s="44">
        <v>0</v>
      </c>
      <c r="U72" s="44">
        <f t="shared" ref="U72:U77" si="13">SUM(B72:T72)</f>
        <v>81155.547335606927</v>
      </c>
    </row>
    <row r="73" spans="1:21" x14ac:dyDescent="0.2">
      <c r="A73" s="41" t="s">
        <v>104</v>
      </c>
      <c r="B73" s="44">
        <v>6292.8305427548557</v>
      </c>
      <c r="C73" s="44">
        <v>0</v>
      </c>
      <c r="D73" s="44">
        <v>0</v>
      </c>
      <c r="E73" s="44">
        <v>15064.763222169719</v>
      </c>
      <c r="F73" s="44">
        <v>0</v>
      </c>
      <c r="G73" s="44">
        <v>2511.3809223364165</v>
      </c>
      <c r="H73" s="44">
        <v>463.65861720657495</v>
      </c>
      <c r="I73" s="44">
        <v>0</v>
      </c>
      <c r="J73" s="44">
        <v>0</v>
      </c>
      <c r="K73" s="44">
        <v>0</v>
      </c>
      <c r="L73" s="44">
        <v>0</v>
      </c>
      <c r="M73" s="44">
        <v>0</v>
      </c>
      <c r="N73" s="44">
        <v>11106.593340679727</v>
      </c>
      <c r="O73" s="44">
        <v>0</v>
      </c>
      <c r="P73" s="44">
        <v>0</v>
      </c>
      <c r="Q73" s="44">
        <v>0</v>
      </c>
      <c r="R73" s="44">
        <v>0</v>
      </c>
      <c r="S73" s="44">
        <v>0</v>
      </c>
      <c r="T73" s="44">
        <v>3297.4915770837524</v>
      </c>
      <c r="U73" s="44">
        <f t="shared" si="13"/>
        <v>38736.718222231051</v>
      </c>
    </row>
    <row r="74" spans="1:21" x14ac:dyDescent="0.2">
      <c r="A74" s="41" t="s">
        <v>105</v>
      </c>
      <c r="B74" s="44">
        <v>186987.34440819224</v>
      </c>
      <c r="C74" s="44">
        <v>0</v>
      </c>
      <c r="D74" s="44">
        <v>0</v>
      </c>
      <c r="E74" s="44">
        <v>0</v>
      </c>
      <c r="F74" s="44">
        <v>0</v>
      </c>
      <c r="G74" s="44">
        <v>0</v>
      </c>
      <c r="H74" s="44">
        <v>0</v>
      </c>
      <c r="I74" s="44">
        <v>0</v>
      </c>
      <c r="J74" s="44">
        <v>0</v>
      </c>
      <c r="K74" s="44">
        <v>0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0</v>
      </c>
      <c r="R74" s="44">
        <v>0</v>
      </c>
      <c r="S74" s="44">
        <v>0</v>
      </c>
      <c r="T74" s="44">
        <v>3680.6517229109913</v>
      </c>
      <c r="U74" s="44">
        <f t="shared" si="13"/>
        <v>190667.99613110322</v>
      </c>
    </row>
    <row r="75" spans="1:21" x14ac:dyDescent="0.2">
      <c r="A75" s="41" t="s">
        <v>279</v>
      </c>
      <c r="B75" s="44">
        <v>1526.2233957886494</v>
      </c>
      <c r="C75" s="44">
        <v>0</v>
      </c>
      <c r="D75" s="44">
        <v>0</v>
      </c>
      <c r="E75" s="44">
        <v>0</v>
      </c>
      <c r="F75" s="44">
        <v>0</v>
      </c>
      <c r="G75" s="44">
        <v>0</v>
      </c>
      <c r="H75" s="44">
        <v>0</v>
      </c>
      <c r="I75" s="44">
        <v>0</v>
      </c>
      <c r="J75" s="44">
        <v>0</v>
      </c>
      <c r="K75" s="44">
        <v>0</v>
      </c>
      <c r="L75" s="44">
        <v>0</v>
      </c>
      <c r="M75" s="44">
        <v>0</v>
      </c>
      <c r="N75" s="44">
        <v>0</v>
      </c>
      <c r="O75" s="44">
        <v>0</v>
      </c>
      <c r="P75" s="44">
        <v>0</v>
      </c>
      <c r="Q75" s="44">
        <v>0</v>
      </c>
      <c r="R75" s="44">
        <v>0</v>
      </c>
      <c r="S75" s="44">
        <v>0</v>
      </c>
      <c r="T75" s="44">
        <v>0</v>
      </c>
      <c r="U75" s="44">
        <f t="shared" si="13"/>
        <v>1526.2233957886494</v>
      </c>
    </row>
    <row r="76" spans="1:21" x14ac:dyDescent="0.2">
      <c r="A76" s="41" t="s">
        <v>106</v>
      </c>
      <c r="B76" s="44">
        <v>68461.652137397905</v>
      </c>
      <c r="C76" s="44">
        <v>0</v>
      </c>
      <c r="D76" s="44">
        <v>0</v>
      </c>
      <c r="E76" s="44">
        <v>0</v>
      </c>
      <c r="F76" s="44">
        <v>0</v>
      </c>
      <c r="G76" s="44">
        <v>0</v>
      </c>
      <c r="H76" s="44">
        <v>0</v>
      </c>
      <c r="I76" s="44">
        <v>0</v>
      </c>
      <c r="J76" s="44">
        <v>0</v>
      </c>
      <c r="K76" s="44">
        <v>0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0</v>
      </c>
      <c r="R76" s="44">
        <v>0</v>
      </c>
      <c r="S76" s="44">
        <v>0</v>
      </c>
      <c r="T76" s="44">
        <v>1192.6321800354908</v>
      </c>
      <c r="U76" s="44">
        <f t="shared" si="13"/>
        <v>69654.284317433398</v>
      </c>
    </row>
    <row r="77" spans="1:21" x14ac:dyDescent="0.2">
      <c r="A77" s="41" t="s">
        <v>107</v>
      </c>
      <c r="B77" s="44">
        <v>65000</v>
      </c>
      <c r="C77" s="44">
        <v>0</v>
      </c>
      <c r="D77" s="44">
        <v>0</v>
      </c>
      <c r="E77" s="44">
        <v>0</v>
      </c>
      <c r="F77" s="44">
        <v>0</v>
      </c>
      <c r="G77" s="44">
        <v>0</v>
      </c>
      <c r="H77" s="44">
        <v>0</v>
      </c>
      <c r="I77" s="44">
        <v>0</v>
      </c>
      <c r="J77" s="44">
        <v>0</v>
      </c>
      <c r="K77" s="44">
        <v>0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0</v>
      </c>
      <c r="R77" s="44">
        <v>0</v>
      </c>
      <c r="S77" s="44">
        <v>0</v>
      </c>
      <c r="T77" s="44">
        <v>0</v>
      </c>
      <c r="U77" s="44">
        <f t="shared" si="13"/>
        <v>65000</v>
      </c>
    </row>
    <row r="78" spans="1:21" ht="10.5" x14ac:dyDescent="0.25">
      <c r="A78" s="45" t="s">
        <v>108</v>
      </c>
      <c r="B78" s="46">
        <f t="shared" ref="B78:U78" si="14">SUM(B72:B77)</f>
        <v>394463.79096324509</v>
      </c>
      <c r="C78" s="46">
        <f t="shared" si="14"/>
        <v>0</v>
      </c>
      <c r="D78" s="46">
        <f t="shared" si="14"/>
        <v>0</v>
      </c>
      <c r="E78" s="46">
        <f t="shared" si="14"/>
        <v>22544.666650417479</v>
      </c>
      <c r="F78" s="46">
        <f t="shared" si="14"/>
        <v>0</v>
      </c>
      <c r="G78" s="46">
        <f t="shared" si="14"/>
        <v>9991.2843505841793</v>
      </c>
      <c r="H78" s="46">
        <f t="shared" si="14"/>
        <v>463.65861720657495</v>
      </c>
      <c r="I78" s="46">
        <f t="shared" si="14"/>
        <v>0</v>
      </c>
      <c r="J78" s="46">
        <f t="shared" si="14"/>
        <v>0</v>
      </c>
      <c r="K78" s="46">
        <f t="shared" si="14"/>
        <v>0</v>
      </c>
      <c r="L78" s="46">
        <f t="shared" si="14"/>
        <v>0</v>
      </c>
      <c r="M78" s="46">
        <f t="shared" si="14"/>
        <v>0</v>
      </c>
      <c r="N78" s="46">
        <f t="shared" si="14"/>
        <v>11106.593340679727</v>
      </c>
      <c r="O78" s="46">
        <f t="shared" si="14"/>
        <v>0</v>
      </c>
      <c r="P78" s="46">
        <f t="shared" si="14"/>
        <v>0</v>
      </c>
      <c r="Q78" s="46">
        <f t="shared" si="14"/>
        <v>0</v>
      </c>
      <c r="R78" s="46">
        <f t="shared" si="14"/>
        <v>0</v>
      </c>
      <c r="S78" s="46">
        <f t="shared" si="14"/>
        <v>0</v>
      </c>
      <c r="T78" s="46">
        <f t="shared" si="14"/>
        <v>8170.7754800302346</v>
      </c>
      <c r="U78" s="46">
        <f t="shared" si="14"/>
        <v>446740.76940216322</v>
      </c>
    </row>
    <row r="79" spans="1:21" ht="10.5" x14ac:dyDescent="0.25">
      <c r="A79" s="40" t="s">
        <v>109</v>
      </c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</row>
    <row r="80" spans="1:21" x14ac:dyDescent="0.2">
      <c r="A80" s="41" t="s">
        <v>110</v>
      </c>
      <c r="B80" s="44">
        <v>19161.401584244311</v>
      </c>
      <c r="C80" s="44">
        <v>0</v>
      </c>
      <c r="D80" s="44">
        <v>0</v>
      </c>
      <c r="E80" s="44">
        <v>0</v>
      </c>
      <c r="F80" s="44">
        <v>0</v>
      </c>
      <c r="G80" s="44">
        <v>0</v>
      </c>
      <c r="H80" s="44">
        <v>0</v>
      </c>
      <c r="I80" s="44">
        <v>0</v>
      </c>
      <c r="J80" s="44">
        <v>0</v>
      </c>
      <c r="K80" s="44">
        <v>0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0</v>
      </c>
      <c r="R80" s="44">
        <v>0</v>
      </c>
      <c r="S80" s="44">
        <v>0</v>
      </c>
      <c r="T80" s="44">
        <v>0</v>
      </c>
      <c r="U80" s="44">
        <f t="shared" ref="U80:U85" si="15">SUM(B80:T80)</f>
        <v>19161.401584244311</v>
      </c>
    </row>
    <row r="81" spans="1:21" x14ac:dyDescent="0.2">
      <c r="A81" s="41" t="s">
        <v>111</v>
      </c>
      <c r="B81" s="44">
        <v>9907.4889838891777</v>
      </c>
      <c r="C81" s="44">
        <v>0</v>
      </c>
      <c r="D81" s="44">
        <v>0</v>
      </c>
      <c r="E81" s="44">
        <v>0</v>
      </c>
      <c r="F81" s="44">
        <v>0</v>
      </c>
      <c r="G81" s="44">
        <v>0</v>
      </c>
      <c r="H81" s="44">
        <v>0</v>
      </c>
      <c r="I81" s="44">
        <v>0</v>
      </c>
      <c r="J81" s="44">
        <v>0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0</v>
      </c>
      <c r="R81" s="44">
        <v>0</v>
      </c>
      <c r="S81" s="44">
        <v>0</v>
      </c>
      <c r="T81" s="44">
        <v>0</v>
      </c>
      <c r="U81" s="44">
        <f t="shared" si="15"/>
        <v>9907.4889838891777</v>
      </c>
    </row>
    <row r="82" spans="1:21" x14ac:dyDescent="0.2">
      <c r="A82" s="41" t="s">
        <v>112</v>
      </c>
      <c r="B82" s="44">
        <v>6372.4114496956372</v>
      </c>
      <c r="C82" s="44">
        <v>0</v>
      </c>
      <c r="D82" s="44">
        <v>0</v>
      </c>
      <c r="E82" s="44">
        <v>0</v>
      </c>
      <c r="F82" s="44">
        <v>0</v>
      </c>
      <c r="G82" s="44">
        <v>0</v>
      </c>
      <c r="H82" s="44">
        <v>0</v>
      </c>
      <c r="I82" s="44">
        <v>0</v>
      </c>
      <c r="J82" s="44">
        <v>0</v>
      </c>
      <c r="K82" s="44">
        <v>0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0</v>
      </c>
      <c r="R82" s="44">
        <v>0</v>
      </c>
      <c r="S82" s="44">
        <v>0</v>
      </c>
      <c r="T82" s="44">
        <v>0</v>
      </c>
      <c r="U82" s="44">
        <f t="shared" si="15"/>
        <v>6372.4114496956372</v>
      </c>
    </row>
    <row r="83" spans="1:21" x14ac:dyDescent="0.2">
      <c r="A83" s="41" t="s">
        <v>113</v>
      </c>
      <c r="B83" s="44">
        <v>159451.22777020087</v>
      </c>
      <c r="C83" s="44">
        <v>0</v>
      </c>
      <c r="D83" s="44">
        <v>0</v>
      </c>
      <c r="E83" s="44">
        <v>1472.8638245739658</v>
      </c>
      <c r="F83" s="44">
        <v>0</v>
      </c>
      <c r="G83" s="44">
        <v>339.00828358871343</v>
      </c>
      <c r="H83" s="44">
        <v>0</v>
      </c>
      <c r="I83" s="44">
        <v>0</v>
      </c>
      <c r="J83" s="44">
        <v>0</v>
      </c>
      <c r="K83" s="44">
        <v>0</v>
      </c>
      <c r="L83" s="44">
        <v>0</v>
      </c>
      <c r="M83" s="44">
        <v>0</v>
      </c>
      <c r="N83" s="44">
        <v>1400.2085214533918</v>
      </c>
      <c r="O83" s="44">
        <v>0</v>
      </c>
      <c r="P83" s="44">
        <v>0</v>
      </c>
      <c r="Q83" s="44">
        <v>0</v>
      </c>
      <c r="R83" s="44">
        <v>0</v>
      </c>
      <c r="S83" s="44">
        <v>0</v>
      </c>
      <c r="T83" s="44">
        <v>31.460091618982801</v>
      </c>
      <c r="U83" s="44">
        <f t="shared" si="15"/>
        <v>162694.76849143594</v>
      </c>
    </row>
    <row r="84" spans="1:21" x14ac:dyDescent="0.2">
      <c r="A84" s="41" t="s">
        <v>114</v>
      </c>
      <c r="B84" s="44">
        <v>344.92836125887209</v>
      </c>
      <c r="C84" s="44">
        <v>0</v>
      </c>
      <c r="D84" s="44">
        <v>0</v>
      </c>
      <c r="E84" s="44">
        <v>0</v>
      </c>
      <c r="F84" s="44">
        <v>0</v>
      </c>
      <c r="G84" s="44">
        <v>0</v>
      </c>
      <c r="H84" s="44">
        <v>0</v>
      </c>
      <c r="I84" s="44">
        <v>0</v>
      </c>
      <c r="J84" s="44">
        <v>0</v>
      </c>
      <c r="K84" s="44">
        <v>0</v>
      </c>
      <c r="L84" s="44">
        <v>0</v>
      </c>
      <c r="M84" s="44">
        <v>0</v>
      </c>
      <c r="N84" s="44">
        <v>0</v>
      </c>
      <c r="O84" s="44">
        <v>0</v>
      </c>
      <c r="P84" s="44">
        <v>0</v>
      </c>
      <c r="Q84" s="44">
        <v>0</v>
      </c>
      <c r="R84" s="44">
        <v>0</v>
      </c>
      <c r="S84" s="44">
        <v>0</v>
      </c>
      <c r="T84" s="44">
        <v>0</v>
      </c>
      <c r="U84" s="44">
        <f t="shared" si="15"/>
        <v>344.92836125887209</v>
      </c>
    </row>
    <row r="85" spans="1:21" x14ac:dyDescent="0.2">
      <c r="A85" s="41" t="s">
        <v>280</v>
      </c>
      <c r="B85" s="44">
        <v>1698.5526819315389</v>
      </c>
      <c r="C85" s="44">
        <v>0</v>
      </c>
      <c r="D85" s="44">
        <v>0</v>
      </c>
      <c r="E85" s="44">
        <v>0</v>
      </c>
      <c r="F85" s="44">
        <v>0</v>
      </c>
      <c r="G85" s="44">
        <v>0</v>
      </c>
      <c r="H85" s="44">
        <v>0</v>
      </c>
      <c r="I85" s="44">
        <v>0</v>
      </c>
      <c r="J85" s="44">
        <v>0</v>
      </c>
      <c r="K85" s="44">
        <v>0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0</v>
      </c>
      <c r="R85" s="44">
        <v>0</v>
      </c>
      <c r="S85" s="44">
        <v>0</v>
      </c>
      <c r="T85" s="44">
        <v>0</v>
      </c>
      <c r="U85" s="44">
        <f t="shared" si="15"/>
        <v>1698.5526819315389</v>
      </c>
    </row>
    <row r="86" spans="1:21" ht="10.5" x14ac:dyDescent="0.25">
      <c r="A86" s="45" t="s">
        <v>115</v>
      </c>
      <c r="B86" s="46">
        <f t="shared" ref="B86:U86" si="16">SUM(B80:B85)</f>
        <v>196936.0108312204</v>
      </c>
      <c r="C86" s="46">
        <f t="shared" si="16"/>
        <v>0</v>
      </c>
      <c r="D86" s="46">
        <f t="shared" si="16"/>
        <v>0</v>
      </c>
      <c r="E86" s="46">
        <f t="shared" si="16"/>
        <v>1472.8638245739658</v>
      </c>
      <c r="F86" s="46">
        <f t="shared" si="16"/>
        <v>0</v>
      </c>
      <c r="G86" s="46">
        <f t="shared" si="16"/>
        <v>339.00828358871343</v>
      </c>
      <c r="H86" s="46">
        <f t="shared" si="16"/>
        <v>0</v>
      </c>
      <c r="I86" s="46">
        <f t="shared" si="16"/>
        <v>0</v>
      </c>
      <c r="J86" s="46">
        <f t="shared" si="16"/>
        <v>0</v>
      </c>
      <c r="K86" s="46">
        <f t="shared" si="16"/>
        <v>0</v>
      </c>
      <c r="L86" s="46">
        <f t="shared" si="16"/>
        <v>0</v>
      </c>
      <c r="M86" s="46">
        <f t="shared" si="16"/>
        <v>0</v>
      </c>
      <c r="N86" s="46">
        <f t="shared" si="16"/>
        <v>1400.2085214533918</v>
      </c>
      <c r="O86" s="46">
        <f t="shared" si="16"/>
        <v>0</v>
      </c>
      <c r="P86" s="46">
        <f t="shared" si="16"/>
        <v>0</v>
      </c>
      <c r="Q86" s="46">
        <f t="shared" si="16"/>
        <v>0</v>
      </c>
      <c r="R86" s="46">
        <f t="shared" si="16"/>
        <v>0</v>
      </c>
      <c r="S86" s="46">
        <f t="shared" si="16"/>
        <v>0</v>
      </c>
      <c r="T86" s="46">
        <f t="shared" si="16"/>
        <v>31.460091618982801</v>
      </c>
      <c r="U86" s="46">
        <f t="shared" si="16"/>
        <v>200179.55155245546</v>
      </c>
    </row>
    <row r="87" spans="1:21" ht="10.5" x14ac:dyDescent="0.25">
      <c r="A87" s="40" t="s">
        <v>116</v>
      </c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</row>
    <row r="88" spans="1:21" x14ac:dyDescent="0.2">
      <c r="A88" s="41" t="s">
        <v>117</v>
      </c>
      <c r="B88" s="44">
        <v>68073.97123430566</v>
      </c>
      <c r="C88" s="44">
        <v>0</v>
      </c>
      <c r="D88" s="44">
        <v>0</v>
      </c>
      <c r="E88" s="44">
        <v>0</v>
      </c>
      <c r="F88" s="44">
        <v>0</v>
      </c>
      <c r="G88" s="44">
        <v>0</v>
      </c>
      <c r="H88" s="44">
        <v>0</v>
      </c>
      <c r="I88" s="44">
        <v>0</v>
      </c>
      <c r="J88" s="44">
        <v>0</v>
      </c>
      <c r="K88" s="44">
        <v>0</v>
      </c>
      <c r="L88" s="44">
        <v>0</v>
      </c>
      <c r="M88" s="44">
        <v>0</v>
      </c>
      <c r="N88" s="44">
        <v>0</v>
      </c>
      <c r="O88" s="44">
        <v>0</v>
      </c>
      <c r="P88" s="44">
        <v>0</v>
      </c>
      <c r="Q88" s="44">
        <v>0</v>
      </c>
      <c r="R88" s="44">
        <v>0</v>
      </c>
      <c r="S88" s="44">
        <v>0</v>
      </c>
      <c r="T88" s="44">
        <v>0</v>
      </c>
      <c r="U88" s="44">
        <f t="shared" ref="U88:U98" si="17">SUM(B88:T88)</f>
        <v>68073.97123430566</v>
      </c>
    </row>
    <row r="89" spans="1:21" x14ac:dyDescent="0.2">
      <c r="A89" s="41" t="s">
        <v>118</v>
      </c>
      <c r="B89" s="44">
        <v>15305.946703310326</v>
      </c>
      <c r="C89" s="44">
        <v>0</v>
      </c>
      <c r="D89" s="44">
        <v>0</v>
      </c>
      <c r="E89" s="44">
        <v>0</v>
      </c>
      <c r="F89" s="44">
        <v>0</v>
      </c>
      <c r="G89" s="44">
        <v>0</v>
      </c>
      <c r="H89" s="44">
        <v>0</v>
      </c>
      <c r="I89" s="44">
        <v>0</v>
      </c>
      <c r="J89" s="44">
        <v>0</v>
      </c>
      <c r="K89" s="44">
        <v>0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0</v>
      </c>
      <c r="R89" s="44">
        <v>0</v>
      </c>
      <c r="S89" s="44">
        <v>0</v>
      </c>
      <c r="T89" s="44">
        <v>0</v>
      </c>
      <c r="U89" s="44">
        <f t="shared" si="17"/>
        <v>15305.946703310326</v>
      </c>
    </row>
    <row r="90" spans="1:21" x14ac:dyDescent="0.2">
      <c r="A90" s="41" t="s">
        <v>119</v>
      </c>
      <c r="B90" s="44">
        <v>1362.27</v>
      </c>
      <c r="C90" s="44">
        <v>0</v>
      </c>
      <c r="D90" s="44">
        <v>0</v>
      </c>
      <c r="E90" s="44">
        <v>0</v>
      </c>
      <c r="F90" s="44">
        <v>0</v>
      </c>
      <c r="G90" s="44">
        <v>0</v>
      </c>
      <c r="H90" s="44">
        <v>0</v>
      </c>
      <c r="I90" s="44">
        <v>0</v>
      </c>
      <c r="J90" s="44">
        <v>0</v>
      </c>
      <c r="K90" s="44">
        <v>0</v>
      </c>
      <c r="L90" s="44">
        <v>0</v>
      </c>
      <c r="M90" s="44">
        <v>0</v>
      </c>
      <c r="N90" s="44">
        <v>0</v>
      </c>
      <c r="O90" s="44">
        <v>0</v>
      </c>
      <c r="P90" s="44">
        <v>0</v>
      </c>
      <c r="Q90" s="44">
        <v>0</v>
      </c>
      <c r="R90" s="44">
        <v>0</v>
      </c>
      <c r="S90" s="44">
        <v>0</v>
      </c>
      <c r="T90" s="44">
        <v>0</v>
      </c>
      <c r="U90" s="44">
        <f t="shared" si="17"/>
        <v>1362.27</v>
      </c>
    </row>
    <row r="91" spans="1:21" x14ac:dyDescent="0.2">
      <c r="A91" s="41" t="s">
        <v>120</v>
      </c>
      <c r="B91" s="44">
        <v>6617.734893201643</v>
      </c>
      <c r="C91" s="44">
        <v>0</v>
      </c>
      <c r="D91" s="44">
        <v>0</v>
      </c>
      <c r="E91" s="44">
        <v>0</v>
      </c>
      <c r="F91" s="44">
        <v>0</v>
      </c>
      <c r="G91" s="44">
        <v>0</v>
      </c>
      <c r="H91" s="44">
        <v>0</v>
      </c>
      <c r="I91" s="44">
        <v>0</v>
      </c>
      <c r="J91" s="44">
        <v>0</v>
      </c>
      <c r="K91" s="44">
        <v>0</v>
      </c>
      <c r="L91" s="44">
        <v>0</v>
      </c>
      <c r="M91" s="44">
        <v>0</v>
      </c>
      <c r="N91" s="44">
        <v>0</v>
      </c>
      <c r="O91" s="44">
        <v>0</v>
      </c>
      <c r="P91" s="44">
        <v>0</v>
      </c>
      <c r="Q91" s="44">
        <v>0</v>
      </c>
      <c r="R91" s="44">
        <v>0</v>
      </c>
      <c r="S91" s="44">
        <v>0</v>
      </c>
      <c r="T91" s="44">
        <v>0</v>
      </c>
      <c r="U91" s="44">
        <f t="shared" si="17"/>
        <v>6617.734893201643</v>
      </c>
    </row>
    <row r="92" spans="1:21" x14ac:dyDescent="0.2">
      <c r="A92" s="41" t="s">
        <v>121</v>
      </c>
      <c r="B92" s="44">
        <v>6133.413515475524</v>
      </c>
      <c r="C92" s="44">
        <v>0</v>
      </c>
      <c r="D92" s="44">
        <v>0</v>
      </c>
      <c r="E92" s="44">
        <v>0</v>
      </c>
      <c r="F92" s="44">
        <v>0</v>
      </c>
      <c r="G92" s="44">
        <v>0</v>
      </c>
      <c r="H92" s="44">
        <v>0</v>
      </c>
      <c r="I92" s="44">
        <v>0</v>
      </c>
      <c r="J92" s="44">
        <v>0</v>
      </c>
      <c r="K92" s="44">
        <v>0</v>
      </c>
      <c r="L92" s="44">
        <v>0</v>
      </c>
      <c r="M92" s="44">
        <v>0</v>
      </c>
      <c r="N92" s="44">
        <v>0</v>
      </c>
      <c r="O92" s="44">
        <v>0</v>
      </c>
      <c r="P92" s="44">
        <v>0</v>
      </c>
      <c r="Q92" s="44">
        <v>0</v>
      </c>
      <c r="R92" s="44">
        <v>0</v>
      </c>
      <c r="S92" s="44">
        <v>0</v>
      </c>
      <c r="T92" s="44">
        <v>0</v>
      </c>
      <c r="U92" s="44">
        <f t="shared" si="17"/>
        <v>6133.413515475524</v>
      </c>
    </row>
    <row r="93" spans="1:21" x14ac:dyDescent="0.2">
      <c r="A93" s="41" t="s">
        <v>122</v>
      </c>
      <c r="B93" s="44">
        <v>166.47899826706811</v>
      </c>
      <c r="C93" s="44">
        <v>0</v>
      </c>
      <c r="D93" s="44">
        <v>0</v>
      </c>
      <c r="E93" s="44">
        <v>0</v>
      </c>
      <c r="F93" s="44">
        <v>0</v>
      </c>
      <c r="G93" s="44">
        <v>0</v>
      </c>
      <c r="H93" s="44">
        <v>0</v>
      </c>
      <c r="I93" s="44">
        <v>0</v>
      </c>
      <c r="J93" s="44">
        <v>0</v>
      </c>
      <c r="K93" s="44">
        <v>0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0</v>
      </c>
      <c r="R93" s="44">
        <v>0</v>
      </c>
      <c r="S93" s="44">
        <v>0</v>
      </c>
      <c r="T93" s="44">
        <v>1342.5</v>
      </c>
      <c r="U93" s="44">
        <f t="shared" si="17"/>
        <v>1508.9789982670682</v>
      </c>
    </row>
    <row r="94" spans="1:21" x14ac:dyDescent="0.2">
      <c r="A94" s="41" t="s">
        <v>281</v>
      </c>
      <c r="B94" s="44">
        <v>238.13843007132749</v>
      </c>
      <c r="C94" s="44">
        <v>0</v>
      </c>
      <c r="D94" s="44">
        <v>0</v>
      </c>
      <c r="E94" s="44">
        <v>0</v>
      </c>
      <c r="F94" s="44">
        <v>0</v>
      </c>
      <c r="G94" s="44">
        <v>0</v>
      </c>
      <c r="H94" s="44">
        <v>0</v>
      </c>
      <c r="I94" s="44">
        <v>0</v>
      </c>
      <c r="J94" s="44">
        <v>0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0</v>
      </c>
      <c r="R94" s="44">
        <v>0</v>
      </c>
      <c r="S94" s="44">
        <v>0</v>
      </c>
      <c r="T94" s="44">
        <v>0</v>
      </c>
      <c r="U94" s="44">
        <f t="shared" si="17"/>
        <v>238.13843007132749</v>
      </c>
    </row>
    <row r="95" spans="1:21" x14ac:dyDescent="0.2">
      <c r="A95" s="41" t="s">
        <v>123</v>
      </c>
      <c r="B95" s="44">
        <v>20332.238286299627</v>
      </c>
      <c r="C95" s="44">
        <v>0</v>
      </c>
      <c r="D95" s="44">
        <v>0</v>
      </c>
      <c r="E95" s="44">
        <v>0</v>
      </c>
      <c r="F95" s="44">
        <v>0</v>
      </c>
      <c r="G95" s="44">
        <v>0</v>
      </c>
      <c r="H95" s="44">
        <v>0</v>
      </c>
      <c r="I95" s="44">
        <v>0</v>
      </c>
      <c r="J95" s="44">
        <v>0</v>
      </c>
      <c r="K95" s="44">
        <v>0</v>
      </c>
      <c r="L95" s="44">
        <v>0</v>
      </c>
      <c r="M95" s="44">
        <v>0</v>
      </c>
      <c r="N95" s="44">
        <v>0</v>
      </c>
      <c r="O95" s="44">
        <v>0</v>
      </c>
      <c r="P95" s="44">
        <v>0</v>
      </c>
      <c r="Q95" s="44">
        <v>0</v>
      </c>
      <c r="R95" s="44">
        <v>0</v>
      </c>
      <c r="S95" s="44">
        <v>0</v>
      </c>
      <c r="T95" s="44">
        <v>191.69466098907654</v>
      </c>
      <c r="U95" s="44">
        <f t="shared" si="17"/>
        <v>20523.932947288704</v>
      </c>
    </row>
    <row r="96" spans="1:21" x14ac:dyDescent="0.2">
      <c r="A96" s="41" t="s">
        <v>282</v>
      </c>
      <c r="B96" s="44">
        <v>8.1369035582039995E-3</v>
      </c>
      <c r="C96" s="44">
        <v>0</v>
      </c>
      <c r="D96" s="44">
        <v>0</v>
      </c>
      <c r="E96" s="44">
        <v>0</v>
      </c>
      <c r="F96" s="44">
        <v>0</v>
      </c>
      <c r="G96" s="44">
        <v>0</v>
      </c>
      <c r="H96" s="44">
        <v>0</v>
      </c>
      <c r="I96" s="44">
        <v>0</v>
      </c>
      <c r="J96" s="44">
        <v>0</v>
      </c>
      <c r="K96" s="44">
        <v>0</v>
      </c>
      <c r="L96" s="44">
        <v>0</v>
      </c>
      <c r="M96" s="44">
        <v>0</v>
      </c>
      <c r="N96" s="44">
        <v>0</v>
      </c>
      <c r="O96" s="44">
        <v>0</v>
      </c>
      <c r="P96" s="44">
        <v>0</v>
      </c>
      <c r="Q96" s="44">
        <v>0</v>
      </c>
      <c r="R96" s="44">
        <v>0</v>
      </c>
      <c r="S96" s="44">
        <v>0</v>
      </c>
      <c r="T96" s="44">
        <v>0</v>
      </c>
      <c r="U96" s="44">
        <f t="shared" si="17"/>
        <v>8.1369035582039995E-3</v>
      </c>
    </row>
    <row r="97" spans="1:21" x14ac:dyDescent="0.2">
      <c r="A97" s="41" t="s">
        <v>124</v>
      </c>
      <c r="B97" s="44">
        <v>5013.1667444990062</v>
      </c>
      <c r="C97" s="44">
        <v>0</v>
      </c>
      <c r="D97" s="44">
        <v>0</v>
      </c>
      <c r="E97" s="44">
        <v>0</v>
      </c>
      <c r="F97" s="44">
        <v>0</v>
      </c>
      <c r="G97" s="44">
        <v>0</v>
      </c>
      <c r="H97" s="44">
        <v>0</v>
      </c>
      <c r="I97" s="44">
        <v>0</v>
      </c>
      <c r="J97" s="44">
        <v>0</v>
      </c>
      <c r="K97" s="44">
        <v>0</v>
      </c>
      <c r="L97" s="44">
        <v>0</v>
      </c>
      <c r="M97" s="44">
        <v>0</v>
      </c>
      <c r="N97" s="44">
        <v>0</v>
      </c>
      <c r="O97" s="44">
        <v>0</v>
      </c>
      <c r="P97" s="44">
        <v>0</v>
      </c>
      <c r="Q97" s="44">
        <v>0</v>
      </c>
      <c r="R97" s="44">
        <v>0</v>
      </c>
      <c r="S97" s="44">
        <v>0</v>
      </c>
      <c r="T97" s="44">
        <v>2894.21266044</v>
      </c>
      <c r="U97" s="44">
        <f t="shared" si="17"/>
        <v>7907.3794049390062</v>
      </c>
    </row>
    <row r="98" spans="1:21" x14ac:dyDescent="0.2">
      <c r="A98" s="41" t="s">
        <v>125</v>
      </c>
      <c r="B98" s="44">
        <v>212.46048057505163</v>
      </c>
      <c r="C98" s="44">
        <v>0</v>
      </c>
      <c r="D98" s="44">
        <v>0</v>
      </c>
      <c r="E98" s="44">
        <v>0</v>
      </c>
      <c r="F98" s="44">
        <v>0</v>
      </c>
      <c r="G98" s="44">
        <v>0</v>
      </c>
      <c r="H98" s="44">
        <v>0</v>
      </c>
      <c r="I98" s="44">
        <v>0</v>
      </c>
      <c r="J98" s="44">
        <v>0</v>
      </c>
      <c r="K98" s="44">
        <v>0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0</v>
      </c>
      <c r="R98" s="44">
        <v>0</v>
      </c>
      <c r="S98" s="44">
        <v>0</v>
      </c>
      <c r="T98" s="44">
        <v>0</v>
      </c>
      <c r="U98" s="44">
        <f t="shared" si="17"/>
        <v>212.46048057505163</v>
      </c>
    </row>
    <row r="99" spans="1:21" ht="10.5" x14ac:dyDescent="0.25">
      <c r="A99" s="45" t="s">
        <v>126</v>
      </c>
      <c r="B99" s="46">
        <f t="shared" ref="B99:U99" si="18">SUM(B88:B98)</f>
        <v>123455.8274229088</v>
      </c>
      <c r="C99" s="46">
        <f t="shared" si="18"/>
        <v>0</v>
      </c>
      <c r="D99" s="46">
        <f t="shared" si="18"/>
        <v>0</v>
      </c>
      <c r="E99" s="46">
        <f t="shared" si="18"/>
        <v>0</v>
      </c>
      <c r="F99" s="46">
        <f t="shared" si="18"/>
        <v>0</v>
      </c>
      <c r="G99" s="46">
        <f t="shared" si="18"/>
        <v>0</v>
      </c>
      <c r="H99" s="46">
        <f t="shared" si="18"/>
        <v>0</v>
      </c>
      <c r="I99" s="46">
        <f t="shared" si="18"/>
        <v>0</v>
      </c>
      <c r="J99" s="46">
        <f t="shared" si="18"/>
        <v>0</v>
      </c>
      <c r="K99" s="46">
        <f t="shared" si="18"/>
        <v>0</v>
      </c>
      <c r="L99" s="46">
        <f t="shared" si="18"/>
        <v>0</v>
      </c>
      <c r="M99" s="46">
        <f t="shared" si="18"/>
        <v>0</v>
      </c>
      <c r="N99" s="46">
        <f t="shared" si="18"/>
        <v>0</v>
      </c>
      <c r="O99" s="46">
        <f t="shared" si="18"/>
        <v>0</v>
      </c>
      <c r="P99" s="46">
        <f t="shared" si="18"/>
        <v>0</v>
      </c>
      <c r="Q99" s="46">
        <f t="shared" si="18"/>
        <v>0</v>
      </c>
      <c r="R99" s="46">
        <f t="shared" si="18"/>
        <v>0</v>
      </c>
      <c r="S99" s="46">
        <f t="shared" si="18"/>
        <v>0</v>
      </c>
      <c r="T99" s="46">
        <f t="shared" si="18"/>
        <v>4428.4073214290765</v>
      </c>
      <c r="U99" s="46">
        <f t="shared" si="18"/>
        <v>127884.23474433788</v>
      </c>
    </row>
    <row r="100" spans="1:21" ht="10.5" x14ac:dyDescent="0.25">
      <c r="A100" s="40" t="s">
        <v>127</v>
      </c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</row>
    <row r="101" spans="1:21" x14ac:dyDescent="0.2">
      <c r="A101" s="41" t="s">
        <v>283</v>
      </c>
      <c r="B101" s="44">
        <v>1041.3512074900523</v>
      </c>
      <c r="C101" s="44">
        <v>0</v>
      </c>
      <c r="D101" s="44">
        <v>0</v>
      </c>
      <c r="E101" s="44">
        <v>0</v>
      </c>
      <c r="F101" s="44">
        <v>0</v>
      </c>
      <c r="G101" s="44">
        <v>0</v>
      </c>
      <c r="H101" s="44">
        <v>0</v>
      </c>
      <c r="I101" s="44">
        <v>0</v>
      </c>
      <c r="J101" s="44">
        <v>0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0</v>
      </c>
      <c r="R101" s="44">
        <v>0</v>
      </c>
      <c r="S101" s="44">
        <v>0</v>
      </c>
      <c r="T101" s="44">
        <v>0</v>
      </c>
      <c r="U101" s="44">
        <f>SUM(B101:T101)</f>
        <v>1041.3512074900523</v>
      </c>
    </row>
    <row r="102" spans="1:21" ht="10.5" x14ac:dyDescent="0.25">
      <c r="A102" s="45" t="s">
        <v>128</v>
      </c>
      <c r="B102" s="46">
        <f t="shared" ref="B102:U102" si="19">SUM(B101)</f>
        <v>1041.3512074900523</v>
      </c>
      <c r="C102" s="46">
        <f t="shared" si="19"/>
        <v>0</v>
      </c>
      <c r="D102" s="46">
        <f t="shared" si="19"/>
        <v>0</v>
      </c>
      <c r="E102" s="46">
        <f t="shared" si="19"/>
        <v>0</v>
      </c>
      <c r="F102" s="46">
        <f t="shared" si="19"/>
        <v>0</v>
      </c>
      <c r="G102" s="46">
        <f t="shared" si="19"/>
        <v>0</v>
      </c>
      <c r="H102" s="46">
        <f t="shared" si="19"/>
        <v>0</v>
      </c>
      <c r="I102" s="46">
        <f t="shared" si="19"/>
        <v>0</v>
      </c>
      <c r="J102" s="46">
        <f t="shared" si="19"/>
        <v>0</v>
      </c>
      <c r="K102" s="46">
        <f t="shared" si="19"/>
        <v>0</v>
      </c>
      <c r="L102" s="46">
        <f t="shared" si="19"/>
        <v>0</v>
      </c>
      <c r="M102" s="46">
        <f t="shared" si="19"/>
        <v>0</v>
      </c>
      <c r="N102" s="46">
        <f t="shared" si="19"/>
        <v>0</v>
      </c>
      <c r="O102" s="46">
        <f t="shared" si="19"/>
        <v>0</v>
      </c>
      <c r="P102" s="46">
        <f t="shared" si="19"/>
        <v>0</v>
      </c>
      <c r="Q102" s="46">
        <f t="shared" si="19"/>
        <v>0</v>
      </c>
      <c r="R102" s="46">
        <f t="shared" si="19"/>
        <v>0</v>
      </c>
      <c r="S102" s="46">
        <f t="shared" si="19"/>
        <v>0</v>
      </c>
      <c r="T102" s="46">
        <f t="shared" si="19"/>
        <v>0</v>
      </c>
      <c r="U102" s="46">
        <f t="shared" si="19"/>
        <v>1041.3512074900523</v>
      </c>
    </row>
    <row r="103" spans="1:21" ht="10.5" x14ac:dyDescent="0.25">
      <c r="A103" s="40" t="s">
        <v>284</v>
      </c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</row>
    <row r="104" spans="1:21" x14ac:dyDescent="0.2">
      <c r="A104" s="41" t="s">
        <v>285</v>
      </c>
      <c r="B104" s="44">
        <v>0</v>
      </c>
      <c r="C104" s="44">
        <v>0</v>
      </c>
      <c r="D104" s="44">
        <v>0</v>
      </c>
      <c r="E104" s="44">
        <v>3907.409870099048</v>
      </c>
      <c r="F104" s="44">
        <v>0</v>
      </c>
      <c r="G104" s="44">
        <v>0</v>
      </c>
      <c r="H104" s="44">
        <v>0</v>
      </c>
      <c r="I104" s="44">
        <v>0</v>
      </c>
      <c r="J104" s="44">
        <v>0</v>
      </c>
      <c r="K104" s="44">
        <v>0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0</v>
      </c>
      <c r="R104" s="44">
        <v>0</v>
      </c>
      <c r="S104" s="44">
        <v>0</v>
      </c>
      <c r="T104" s="44">
        <v>0</v>
      </c>
      <c r="U104" s="44">
        <f>SUM(B104:T104)</f>
        <v>3907.409870099048</v>
      </c>
    </row>
    <row r="105" spans="1:21" ht="10.5" x14ac:dyDescent="0.25">
      <c r="A105" s="45" t="s">
        <v>286</v>
      </c>
      <c r="B105" s="46">
        <f t="shared" ref="B105:U105" si="20">SUM(B104)</f>
        <v>0</v>
      </c>
      <c r="C105" s="46">
        <f t="shared" si="20"/>
        <v>0</v>
      </c>
      <c r="D105" s="46">
        <f t="shared" si="20"/>
        <v>0</v>
      </c>
      <c r="E105" s="46">
        <f t="shared" si="20"/>
        <v>3907.409870099048</v>
      </c>
      <c r="F105" s="46">
        <f t="shared" si="20"/>
        <v>0</v>
      </c>
      <c r="G105" s="46">
        <f t="shared" si="20"/>
        <v>0</v>
      </c>
      <c r="H105" s="46">
        <f t="shared" si="20"/>
        <v>0</v>
      </c>
      <c r="I105" s="46">
        <f t="shared" si="20"/>
        <v>0</v>
      </c>
      <c r="J105" s="46">
        <f t="shared" si="20"/>
        <v>0</v>
      </c>
      <c r="K105" s="46">
        <f t="shared" si="20"/>
        <v>0</v>
      </c>
      <c r="L105" s="46">
        <f t="shared" si="20"/>
        <v>0</v>
      </c>
      <c r="M105" s="46">
        <f t="shared" si="20"/>
        <v>0</v>
      </c>
      <c r="N105" s="46">
        <f t="shared" si="20"/>
        <v>0</v>
      </c>
      <c r="O105" s="46">
        <f t="shared" si="20"/>
        <v>0</v>
      </c>
      <c r="P105" s="46">
        <f t="shared" si="20"/>
        <v>0</v>
      </c>
      <c r="Q105" s="46">
        <f t="shared" si="20"/>
        <v>0</v>
      </c>
      <c r="R105" s="46">
        <f t="shared" si="20"/>
        <v>0</v>
      </c>
      <c r="S105" s="46">
        <f t="shared" si="20"/>
        <v>0</v>
      </c>
      <c r="T105" s="46">
        <f t="shared" si="20"/>
        <v>0</v>
      </c>
      <c r="U105" s="46">
        <f t="shared" si="20"/>
        <v>3907.409870099048</v>
      </c>
    </row>
    <row r="106" spans="1:21" ht="10.5" x14ac:dyDescent="0.25">
      <c r="A106" s="40" t="s">
        <v>129</v>
      </c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</row>
    <row r="107" spans="1:21" x14ac:dyDescent="0.2">
      <c r="A107" s="41" t="s">
        <v>130</v>
      </c>
      <c r="B107" s="44">
        <v>14029.470121524388</v>
      </c>
      <c r="C107" s="44">
        <v>0</v>
      </c>
      <c r="D107" s="44">
        <v>0</v>
      </c>
      <c r="E107" s="44">
        <v>0</v>
      </c>
      <c r="F107" s="44">
        <v>0</v>
      </c>
      <c r="G107" s="44">
        <v>0</v>
      </c>
      <c r="H107" s="44">
        <v>0</v>
      </c>
      <c r="I107" s="44">
        <v>0</v>
      </c>
      <c r="J107" s="44">
        <v>0</v>
      </c>
      <c r="K107" s="44">
        <v>0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0</v>
      </c>
      <c r="R107" s="44">
        <v>0</v>
      </c>
      <c r="S107" s="44">
        <v>0</v>
      </c>
      <c r="T107" s="44">
        <v>0</v>
      </c>
      <c r="U107" s="44">
        <f t="shared" ref="U107:U119" si="21">SUM(B107:T107)</f>
        <v>14029.470121524388</v>
      </c>
    </row>
    <row r="108" spans="1:21" x14ac:dyDescent="0.2">
      <c r="A108" s="41" t="s">
        <v>131</v>
      </c>
      <c r="B108" s="44">
        <v>163802.52041340707</v>
      </c>
      <c r="C108" s="44">
        <v>0</v>
      </c>
      <c r="D108" s="44">
        <v>0</v>
      </c>
      <c r="E108" s="44">
        <v>16128.236196514814</v>
      </c>
      <c r="F108" s="44">
        <v>0</v>
      </c>
      <c r="G108" s="44">
        <v>941.10529596973254</v>
      </c>
      <c r="H108" s="44">
        <v>0</v>
      </c>
      <c r="I108" s="44">
        <v>0</v>
      </c>
      <c r="J108" s="44">
        <v>0</v>
      </c>
      <c r="K108" s="44">
        <v>0</v>
      </c>
      <c r="L108" s="44">
        <v>0</v>
      </c>
      <c r="M108" s="44">
        <v>0</v>
      </c>
      <c r="N108" s="44">
        <v>136.46690128591607</v>
      </c>
      <c r="O108" s="44">
        <v>0</v>
      </c>
      <c r="P108" s="44">
        <v>0</v>
      </c>
      <c r="Q108" s="44">
        <v>0</v>
      </c>
      <c r="R108" s="44">
        <v>0</v>
      </c>
      <c r="S108" s="44">
        <v>0</v>
      </c>
      <c r="T108" s="44">
        <v>2118.6581519062916</v>
      </c>
      <c r="U108" s="44">
        <f t="shared" si="21"/>
        <v>183126.98695908382</v>
      </c>
    </row>
    <row r="109" spans="1:21" x14ac:dyDescent="0.2">
      <c r="A109" s="41" t="s">
        <v>287</v>
      </c>
      <c r="B109" s="44">
        <v>1237.2884119401904</v>
      </c>
      <c r="C109" s="44">
        <v>0</v>
      </c>
      <c r="D109" s="44">
        <v>0</v>
      </c>
      <c r="E109" s="44">
        <v>0</v>
      </c>
      <c r="F109" s="44">
        <v>0</v>
      </c>
      <c r="G109" s="44">
        <v>0</v>
      </c>
      <c r="H109" s="44">
        <v>0</v>
      </c>
      <c r="I109" s="44">
        <v>0</v>
      </c>
      <c r="J109" s="44">
        <v>0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0</v>
      </c>
      <c r="R109" s="44">
        <v>0</v>
      </c>
      <c r="S109" s="44">
        <v>0</v>
      </c>
      <c r="T109" s="44">
        <v>0</v>
      </c>
      <c r="U109" s="44">
        <f t="shared" si="21"/>
        <v>1237.2884119401904</v>
      </c>
    </row>
    <row r="110" spans="1:21" x14ac:dyDescent="0.2">
      <c r="A110" s="41" t="s">
        <v>132</v>
      </c>
      <c r="B110" s="44">
        <v>6042.9003279929739</v>
      </c>
      <c r="C110" s="44">
        <v>0</v>
      </c>
      <c r="D110" s="44">
        <v>0</v>
      </c>
      <c r="E110" s="44">
        <v>0</v>
      </c>
      <c r="F110" s="44">
        <v>0</v>
      </c>
      <c r="G110" s="44">
        <v>0</v>
      </c>
      <c r="H110" s="44">
        <v>680.56220901028269</v>
      </c>
      <c r="I110" s="44">
        <v>0</v>
      </c>
      <c r="J110" s="44">
        <v>0</v>
      </c>
      <c r="K110" s="44">
        <v>0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0</v>
      </c>
      <c r="R110" s="44">
        <v>0</v>
      </c>
      <c r="S110" s="44">
        <v>0</v>
      </c>
      <c r="T110" s="44">
        <v>311.31354620026599</v>
      </c>
      <c r="U110" s="44">
        <f t="shared" si="21"/>
        <v>7034.7760832035219</v>
      </c>
    </row>
    <row r="111" spans="1:21" x14ac:dyDescent="0.2">
      <c r="A111" s="41" t="s">
        <v>133</v>
      </c>
      <c r="B111" s="44">
        <v>3235.841513878911</v>
      </c>
      <c r="C111" s="44">
        <v>0</v>
      </c>
      <c r="D111" s="44">
        <v>0</v>
      </c>
      <c r="E111" s="44">
        <v>0</v>
      </c>
      <c r="F111" s="44">
        <v>0</v>
      </c>
      <c r="G111" s="44">
        <v>0</v>
      </c>
      <c r="H111" s="44">
        <v>0</v>
      </c>
      <c r="I111" s="44">
        <v>0</v>
      </c>
      <c r="J111" s="44">
        <v>0</v>
      </c>
      <c r="K111" s="44">
        <v>0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0</v>
      </c>
      <c r="R111" s="44">
        <v>0</v>
      </c>
      <c r="S111" s="44">
        <v>0</v>
      </c>
      <c r="T111" s="44">
        <v>0</v>
      </c>
      <c r="U111" s="44">
        <f t="shared" si="21"/>
        <v>3235.841513878911</v>
      </c>
    </row>
    <row r="112" spans="1:21" x14ac:dyDescent="0.2">
      <c r="A112" s="41" t="s">
        <v>134</v>
      </c>
      <c r="B112" s="44">
        <v>9318.1570813529597</v>
      </c>
      <c r="C112" s="44">
        <v>0</v>
      </c>
      <c r="D112" s="44">
        <v>0</v>
      </c>
      <c r="E112" s="44">
        <v>0</v>
      </c>
      <c r="F112" s="44">
        <v>0</v>
      </c>
      <c r="G112" s="44">
        <v>0</v>
      </c>
      <c r="H112" s="44">
        <v>0</v>
      </c>
      <c r="I112" s="44">
        <v>0</v>
      </c>
      <c r="J112" s="44">
        <v>0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0</v>
      </c>
      <c r="R112" s="44">
        <v>0</v>
      </c>
      <c r="S112" s="44">
        <v>0</v>
      </c>
      <c r="T112" s="44">
        <v>0</v>
      </c>
      <c r="U112" s="44">
        <f t="shared" si="21"/>
        <v>9318.1570813529597</v>
      </c>
    </row>
    <row r="113" spans="1:21" x14ac:dyDescent="0.2">
      <c r="A113" s="41" t="s">
        <v>135</v>
      </c>
      <c r="B113" s="44">
        <v>4091.4712003516443</v>
      </c>
      <c r="C113" s="44">
        <v>0</v>
      </c>
      <c r="D113" s="44">
        <v>0</v>
      </c>
      <c r="E113" s="44">
        <v>1392.3512445483882</v>
      </c>
      <c r="F113" s="44">
        <v>0</v>
      </c>
      <c r="G113" s="44">
        <v>0</v>
      </c>
      <c r="H113" s="44">
        <v>323.91134747439975</v>
      </c>
      <c r="I113" s="44">
        <v>0</v>
      </c>
      <c r="J113" s="44">
        <v>0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0</v>
      </c>
      <c r="R113" s="44">
        <v>0</v>
      </c>
      <c r="S113" s="44">
        <v>0</v>
      </c>
      <c r="T113" s="44">
        <v>0</v>
      </c>
      <c r="U113" s="44">
        <f t="shared" si="21"/>
        <v>5807.7337923744326</v>
      </c>
    </row>
    <row r="114" spans="1:21" x14ac:dyDescent="0.2">
      <c r="A114" s="41" t="s">
        <v>288</v>
      </c>
      <c r="B114" s="44">
        <v>88.592131350012821</v>
      </c>
      <c r="C114" s="44">
        <v>0</v>
      </c>
      <c r="D114" s="44">
        <v>0</v>
      </c>
      <c r="E114" s="44">
        <v>291.35808120000002</v>
      </c>
      <c r="F114" s="44">
        <v>0</v>
      </c>
      <c r="G114" s="44">
        <v>0</v>
      </c>
      <c r="H114" s="44">
        <v>74.504893954144151</v>
      </c>
      <c r="I114" s="44">
        <v>0</v>
      </c>
      <c r="J114" s="44">
        <v>0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0</v>
      </c>
      <c r="R114" s="44">
        <v>0</v>
      </c>
      <c r="S114" s="44">
        <v>0</v>
      </c>
      <c r="T114" s="44">
        <v>0</v>
      </c>
      <c r="U114" s="44">
        <f t="shared" si="21"/>
        <v>454.45510650415702</v>
      </c>
    </row>
    <row r="115" spans="1:21" x14ac:dyDescent="0.2">
      <c r="A115" s="41" t="s">
        <v>289</v>
      </c>
      <c r="B115" s="44">
        <v>6852.4466848468173</v>
      </c>
      <c r="C115" s="44">
        <v>0</v>
      </c>
      <c r="D115" s="44">
        <v>0</v>
      </c>
      <c r="E115" s="44">
        <v>0</v>
      </c>
      <c r="F115" s="44">
        <v>0</v>
      </c>
      <c r="G115" s="44">
        <v>0</v>
      </c>
      <c r="H115" s="44">
        <v>0</v>
      </c>
      <c r="I115" s="44">
        <v>0</v>
      </c>
      <c r="J115" s="44">
        <v>0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0</v>
      </c>
      <c r="R115" s="44">
        <v>0</v>
      </c>
      <c r="S115" s="44">
        <v>0</v>
      </c>
      <c r="T115" s="44">
        <v>0</v>
      </c>
      <c r="U115" s="44">
        <f t="shared" si="21"/>
        <v>6852.4466848468173</v>
      </c>
    </row>
    <row r="116" spans="1:21" x14ac:dyDescent="0.2">
      <c r="A116" s="41" t="s">
        <v>136</v>
      </c>
      <c r="B116" s="44">
        <v>8500.4162001908426</v>
      </c>
      <c r="C116" s="44">
        <v>0</v>
      </c>
      <c r="D116" s="44">
        <v>0</v>
      </c>
      <c r="E116" s="44">
        <v>0</v>
      </c>
      <c r="F116" s="44">
        <v>0</v>
      </c>
      <c r="G116" s="44">
        <v>0</v>
      </c>
      <c r="H116" s="44">
        <v>0</v>
      </c>
      <c r="I116" s="44">
        <v>0</v>
      </c>
      <c r="J116" s="44">
        <v>0</v>
      </c>
      <c r="K116" s="44">
        <v>0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0</v>
      </c>
      <c r="R116" s="44">
        <v>0</v>
      </c>
      <c r="S116" s="44">
        <v>0</v>
      </c>
      <c r="T116" s="44">
        <v>11761.995963577074</v>
      </c>
      <c r="U116" s="44">
        <f t="shared" si="21"/>
        <v>20262.412163767916</v>
      </c>
    </row>
    <row r="117" spans="1:21" x14ac:dyDescent="0.2">
      <c r="A117" s="41" t="s">
        <v>290</v>
      </c>
      <c r="B117" s="44">
        <v>5795.2124368346513</v>
      </c>
      <c r="C117" s="44">
        <v>0</v>
      </c>
      <c r="D117" s="44">
        <v>0</v>
      </c>
      <c r="E117" s="44">
        <v>0</v>
      </c>
      <c r="F117" s="44">
        <v>0</v>
      </c>
      <c r="G117" s="44">
        <v>0</v>
      </c>
      <c r="H117" s="44">
        <v>0</v>
      </c>
      <c r="I117" s="44">
        <v>0</v>
      </c>
      <c r="J117" s="44">
        <v>0</v>
      </c>
      <c r="K117" s="44">
        <v>0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0</v>
      </c>
      <c r="R117" s="44">
        <v>0</v>
      </c>
      <c r="S117" s="44">
        <v>0</v>
      </c>
      <c r="T117" s="44">
        <v>0</v>
      </c>
      <c r="U117" s="44">
        <f t="shared" si="21"/>
        <v>5795.2124368346513</v>
      </c>
    </row>
    <row r="118" spans="1:21" x14ac:dyDescent="0.2">
      <c r="A118" s="41" t="s">
        <v>137</v>
      </c>
      <c r="B118" s="44">
        <v>27020.515912169227</v>
      </c>
      <c r="C118" s="44">
        <v>0</v>
      </c>
      <c r="D118" s="44">
        <v>0</v>
      </c>
      <c r="E118" s="44">
        <v>0</v>
      </c>
      <c r="F118" s="44">
        <v>0</v>
      </c>
      <c r="G118" s="44">
        <v>0</v>
      </c>
      <c r="H118" s="44">
        <v>0</v>
      </c>
      <c r="I118" s="44">
        <v>0</v>
      </c>
      <c r="J118" s="44">
        <v>0</v>
      </c>
      <c r="K118" s="44">
        <v>0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0</v>
      </c>
      <c r="R118" s="44">
        <v>0</v>
      </c>
      <c r="S118" s="44">
        <v>0</v>
      </c>
      <c r="T118" s="44">
        <v>0</v>
      </c>
      <c r="U118" s="44">
        <f t="shared" si="21"/>
        <v>27020.515912169227</v>
      </c>
    </row>
    <row r="119" spans="1:21" x14ac:dyDescent="0.2">
      <c r="A119" s="41" t="s">
        <v>138</v>
      </c>
      <c r="B119" s="44">
        <v>15589.575679843369</v>
      </c>
      <c r="C119" s="44">
        <v>0</v>
      </c>
      <c r="D119" s="44">
        <v>0</v>
      </c>
      <c r="E119" s="44">
        <v>0</v>
      </c>
      <c r="F119" s="44">
        <v>0</v>
      </c>
      <c r="G119" s="44">
        <v>0</v>
      </c>
      <c r="H119" s="44">
        <v>0</v>
      </c>
      <c r="I119" s="44">
        <v>0</v>
      </c>
      <c r="J119" s="44">
        <v>0</v>
      </c>
      <c r="K119" s="44">
        <v>0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0</v>
      </c>
      <c r="R119" s="44">
        <v>0</v>
      </c>
      <c r="S119" s="44">
        <v>0</v>
      </c>
      <c r="T119" s="44">
        <v>0</v>
      </c>
      <c r="U119" s="44">
        <f t="shared" si="21"/>
        <v>15589.575679843369</v>
      </c>
    </row>
    <row r="120" spans="1:21" ht="10.5" x14ac:dyDescent="0.25">
      <c r="A120" s="45" t="s">
        <v>139</v>
      </c>
      <c r="B120" s="46">
        <f t="shared" ref="B120:U120" si="22">SUM(B107:B119)</f>
        <v>265604.40811568301</v>
      </c>
      <c r="C120" s="46">
        <f t="shared" si="22"/>
        <v>0</v>
      </c>
      <c r="D120" s="46">
        <f t="shared" si="22"/>
        <v>0</v>
      </c>
      <c r="E120" s="46">
        <f t="shared" si="22"/>
        <v>17811.945522263202</v>
      </c>
      <c r="F120" s="46">
        <f t="shared" si="22"/>
        <v>0</v>
      </c>
      <c r="G120" s="46">
        <f t="shared" si="22"/>
        <v>941.10529596973254</v>
      </c>
      <c r="H120" s="46">
        <f t="shared" si="22"/>
        <v>1078.9784504388265</v>
      </c>
      <c r="I120" s="46">
        <f t="shared" si="22"/>
        <v>0</v>
      </c>
      <c r="J120" s="46">
        <f t="shared" si="22"/>
        <v>0</v>
      </c>
      <c r="K120" s="46">
        <f t="shared" si="22"/>
        <v>0</v>
      </c>
      <c r="L120" s="46">
        <f t="shared" si="22"/>
        <v>0</v>
      </c>
      <c r="M120" s="46">
        <f t="shared" si="22"/>
        <v>0</v>
      </c>
      <c r="N120" s="46">
        <f t="shared" si="22"/>
        <v>136.46690128591607</v>
      </c>
      <c r="O120" s="46">
        <f t="shared" si="22"/>
        <v>0</v>
      </c>
      <c r="P120" s="46">
        <f t="shared" si="22"/>
        <v>0</v>
      </c>
      <c r="Q120" s="46">
        <f t="shared" si="22"/>
        <v>0</v>
      </c>
      <c r="R120" s="46">
        <f t="shared" si="22"/>
        <v>0</v>
      </c>
      <c r="S120" s="46">
        <f t="shared" si="22"/>
        <v>0</v>
      </c>
      <c r="T120" s="46">
        <f t="shared" si="22"/>
        <v>14191.967661683631</v>
      </c>
      <c r="U120" s="46">
        <f t="shared" si="22"/>
        <v>299764.87194732431</v>
      </c>
    </row>
    <row r="121" spans="1:21" ht="10.5" x14ac:dyDescent="0.25">
      <c r="A121" s="40" t="s">
        <v>140</v>
      </c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</row>
    <row r="122" spans="1:21" x14ac:dyDescent="0.2">
      <c r="A122" s="41" t="s">
        <v>141</v>
      </c>
      <c r="B122" s="44">
        <v>25118.290040085307</v>
      </c>
      <c r="C122" s="44">
        <v>0</v>
      </c>
      <c r="D122" s="44">
        <v>0</v>
      </c>
      <c r="E122" s="44">
        <v>0</v>
      </c>
      <c r="F122" s="44">
        <v>0</v>
      </c>
      <c r="G122" s="44">
        <v>0</v>
      </c>
      <c r="H122" s="44">
        <v>0</v>
      </c>
      <c r="I122" s="44">
        <v>0</v>
      </c>
      <c r="J122" s="44">
        <v>0</v>
      </c>
      <c r="K122" s="44">
        <v>0</v>
      </c>
      <c r="L122" s="44">
        <v>0</v>
      </c>
      <c r="M122" s="44">
        <v>0</v>
      </c>
      <c r="N122" s="44">
        <v>0</v>
      </c>
      <c r="O122" s="44">
        <v>0</v>
      </c>
      <c r="P122" s="44">
        <v>0</v>
      </c>
      <c r="Q122" s="44">
        <v>0</v>
      </c>
      <c r="R122" s="44">
        <v>0</v>
      </c>
      <c r="S122" s="44">
        <v>0</v>
      </c>
      <c r="T122" s="44">
        <v>0</v>
      </c>
      <c r="U122" s="44">
        <f>SUM(B122:T122)</f>
        <v>25118.290040085307</v>
      </c>
    </row>
    <row r="123" spans="1:21" x14ac:dyDescent="0.2">
      <c r="A123" s="41" t="s">
        <v>142</v>
      </c>
      <c r="B123" s="44">
        <v>79629.047011872128</v>
      </c>
      <c r="C123" s="44">
        <v>0</v>
      </c>
      <c r="D123" s="44">
        <v>0</v>
      </c>
      <c r="E123" s="44">
        <v>0</v>
      </c>
      <c r="F123" s="44">
        <v>0</v>
      </c>
      <c r="G123" s="44">
        <v>0</v>
      </c>
      <c r="H123" s="44">
        <v>0</v>
      </c>
      <c r="I123" s="44">
        <v>0</v>
      </c>
      <c r="J123" s="44">
        <v>0</v>
      </c>
      <c r="K123" s="44">
        <v>0</v>
      </c>
      <c r="L123" s="44">
        <v>0</v>
      </c>
      <c r="M123" s="44">
        <v>0</v>
      </c>
      <c r="N123" s="44">
        <v>0</v>
      </c>
      <c r="O123" s="44">
        <v>0</v>
      </c>
      <c r="P123" s="44">
        <v>0</v>
      </c>
      <c r="Q123" s="44">
        <v>0</v>
      </c>
      <c r="R123" s="44">
        <v>0</v>
      </c>
      <c r="S123" s="44">
        <v>0</v>
      </c>
      <c r="T123" s="44">
        <v>0</v>
      </c>
      <c r="U123" s="44">
        <f>SUM(B123:T123)</f>
        <v>79629.047011872128</v>
      </c>
    </row>
    <row r="124" spans="1:21" x14ac:dyDescent="0.2">
      <c r="A124" s="41" t="s">
        <v>143</v>
      </c>
      <c r="B124" s="44">
        <v>18074.459850138323</v>
      </c>
      <c r="C124" s="44">
        <v>0</v>
      </c>
      <c r="D124" s="44">
        <v>0</v>
      </c>
      <c r="E124" s="44">
        <v>0</v>
      </c>
      <c r="F124" s="44">
        <v>0</v>
      </c>
      <c r="G124" s="44">
        <v>0</v>
      </c>
      <c r="H124" s="44">
        <v>0</v>
      </c>
      <c r="I124" s="44">
        <v>0</v>
      </c>
      <c r="J124" s="44">
        <v>0</v>
      </c>
      <c r="K124" s="44">
        <v>0</v>
      </c>
      <c r="L124" s="44">
        <v>0</v>
      </c>
      <c r="M124" s="44">
        <v>0</v>
      </c>
      <c r="N124" s="44">
        <v>0</v>
      </c>
      <c r="O124" s="44">
        <v>0</v>
      </c>
      <c r="P124" s="44">
        <v>0</v>
      </c>
      <c r="Q124" s="44">
        <v>0</v>
      </c>
      <c r="R124" s="44">
        <v>0</v>
      </c>
      <c r="S124" s="44">
        <v>0</v>
      </c>
      <c r="T124" s="44">
        <v>0</v>
      </c>
      <c r="U124" s="44">
        <f>SUM(B124:T124)</f>
        <v>18074.459850138323</v>
      </c>
    </row>
    <row r="125" spans="1:21" x14ac:dyDescent="0.2">
      <c r="A125" s="41" t="s">
        <v>144</v>
      </c>
      <c r="B125" s="44">
        <v>-16.89834403300376</v>
      </c>
      <c r="C125" s="44">
        <v>0</v>
      </c>
      <c r="D125" s="44">
        <v>0</v>
      </c>
      <c r="E125" s="44">
        <v>0</v>
      </c>
      <c r="F125" s="44">
        <v>0</v>
      </c>
      <c r="G125" s="44">
        <v>0</v>
      </c>
      <c r="H125" s="44">
        <v>0</v>
      </c>
      <c r="I125" s="44">
        <v>0</v>
      </c>
      <c r="J125" s="44">
        <v>0</v>
      </c>
      <c r="K125" s="44">
        <v>0</v>
      </c>
      <c r="L125" s="44">
        <v>0</v>
      </c>
      <c r="M125" s="44">
        <v>0</v>
      </c>
      <c r="N125" s="44">
        <v>0</v>
      </c>
      <c r="O125" s="44">
        <v>0</v>
      </c>
      <c r="P125" s="44">
        <v>0</v>
      </c>
      <c r="Q125" s="44">
        <v>0</v>
      </c>
      <c r="R125" s="44">
        <v>0</v>
      </c>
      <c r="S125" s="44">
        <v>0</v>
      </c>
      <c r="T125" s="44">
        <v>0</v>
      </c>
      <c r="U125" s="44">
        <f>SUM(B125:T125)</f>
        <v>-16.89834403300376</v>
      </c>
    </row>
    <row r="126" spans="1:21" ht="10.5" x14ac:dyDescent="0.25">
      <c r="A126" s="45" t="s">
        <v>145</v>
      </c>
      <c r="B126" s="46">
        <f t="shared" ref="B126:U126" si="23">SUM(B122:B125)</f>
        <v>122804.89855806275</v>
      </c>
      <c r="C126" s="46">
        <f t="shared" si="23"/>
        <v>0</v>
      </c>
      <c r="D126" s="46">
        <f t="shared" si="23"/>
        <v>0</v>
      </c>
      <c r="E126" s="46">
        <f t="shared" si="23"/>
        <v>0</v>
      </c>
      <c r="F126" s="46">
        <f t="shared" si="23"/>
        <v>0</v>
      </c>
      <c r="G126" s="46">
        <f t="shared" si="23"/>
        <v>0</v>
      </c>
      <c r="H126" s="46">
        <f t="shared" si="23"/>
        <v>0</v>
      </c>
      <c r="I126" s="46">
        <f t="shared" si="23"/>
        <v>0</v>
      </c>
      <c r="J126" s="46">
        <f t="shared" si="23"/>
        <v>0</v>
      </c>
      <c r="K126" s="46">
        <f t="shared" si="23"/>
        <v>0</v>
      </c>
      <c r="L126" s="46">
        <f t="shared" si="23"/>
        <v>0</v>
      </c>
      <c r="M126" s="46">
        <f t="shared" si="23"/>
        <v>0</v>
      </c>
      <c r="N126" s="46">
        <f t="shared" si="23"/>
        <v>0</v>
      </c>
      <c r="O126" s="46">
        <f t="shared" si="23"/>
        <v>0</v>
      </c>
      <c r="P126" s="46">
        <f t="shared" si="23"/>
        <v>0</v>
      </c>
      <c r="Q126" s="46">
        <f t="shared" si="23"/>
        <v>0</v>
      </c>
      <c r="R126" s="46">
        <f t="shared" si="23"/>
        <v>0</v>
      </c>
      <c r="S126" s="46">
        <f t="shared" si="23"/>
        <v>0</v>
      </c>
      <c r="T126" s="46">
        <f t="shared" si="23"/>
        <v>0</v>
      </c>
      <c r="U126" s="46">
        <f t="shared" si="23"/>
        <v>122804.89855806275</v>
      </c>
    </row>
    <row r="127" spans="1:21" ht="10.5" x14ac:dyDescent="0.25">
      <c r="A127" s="47" t="s">
        <v>146</v>
      </c>
      <c r="B127" s="46">
        <f t="shared" ref="B127:U127" si="24">SUM(B37,B43,B50,B55,B59,B70,B78,B86,B99,B102,B105,B120,B126)</f>
        <v>2976322.6400934276</v>
      </c>
      <c r="C127" s="46">
        <f t="shared" si="24"/>
        <v>0</v>
      </c>
      <c r="D127" s="46">
        <f t="shared" si="24"/>
        <v>0</v>
      </c>
      <c r="E127" s="46">
        <f t="shared" si="24"/>
        <v>58415.953070094991</v>
      </c>
      <c r="F127" s="46">
        <f t="shared" si="24"/>
        <v>0</v>
      </c>
      <c r="G127" s="46">
        <f t="shared" si="24"/>
        <v>11783.039954037471</v>
      </c>
      <c r="H127" s="46">
        <f t="shared" si="24"/>
        <v>1542.6370676454014</v>
      </c>
      <c r="I127" s="46">
        <f t="shared" si="24"/>
        <v>99.890326799999997</v>
      </c>
      <c r="J127" s="46">
        <f t="shared" si="24"/>
        <v>0</v>
      </c>
      <c r="K127" s="46">
        <f t="shared" si="24"/>
        <v>0</v>
      </c>
      <c r="L127" s="46">
        <f t="shared" si="24"/>
        <v>0</v>
      </c>
      <c r="M127" s="46">
        <f t="shared" si="24"/>
        <v>0</v>
      </c>
      <c r="N127" s="46">
        <f t="shared" si="24"/>
        <v>12723.994694757948</v>
      </c>
      <c r="O127" s="46">
        <f t="shared" si="24"/>
        <v>0</v>
      </c>
      <c r="P127" s="46">
        <f t="shared" si="24"/>
        <v>0</v>
      </c>
      <c r="Q127" s="46">
        <f t="shared" si="24"/>
        <v>38249.265002839733</v>
      </c>
      <c r="R127" s="46">
        <f t="shared" si="24"/>
        <v>0</v>
      </c>
      <c r="S127" s="46">
        <f t="shared" si="24"/>
        <v>0</v>
      </c>
      <c r="T127" s="46">
        <f t="shared" si="24"/>
        <v>44305.620325013726</v>
      </c>
      <c r="U127" s="46">
        <f t="shared" si="24"/>
        <v>3143443.0405346164</v>
      </c>
    </row>
    <row r="128" spans="1:21" ht="10.5" x14ac:dyDescent="0.25">
      <c r="A128" s="39" t="s">
        <v>147</v>
      </c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</row>
    <row r="129" spans="1:21" x14ac:dyDescent="0.2">
      <c r="A129" s="52" t="s">
        <v>148</v>
      </c>
      <c r="B129" s="44">
        <v>5290.4640641626929</v>
      </c>
      <c r="C129" s="44">
        <v>0</v>
      </c>
      <c r="D129" s="44">
        <v>0</v>
      </c>
      <c r="E129" s="44">
        <v>189.18622500000001</v>
      </c>
      <c r="F129" s="44">
        <v>0</v>
      </c>
      <c r="G129" s="44">
        <v>20561.853904507094</v>
      </c>
      <c r="H129" s="44">
        <v>0</v>
      </c>
      <c r="I129" s="44">
        <v>0</v>
      </c>
      <c r="J129" s="44">
        <v>0</v>
      </c>
      <c r="K129" s="44">
        <v>0</v>
      </c>
      <c r="L129" s="44">
        <v>5048.7106600749139</v>
      </c>
      <c r="M129" s="44">
        <v>0</v>
      </c>
      <c r="N129" s="44">
        <v>5836.3621031098319</v>
      </c>
      <c r="O129" s="44">
        <v>0</v>
      </c>
      <c r="P129" s="44">
        <v>0</v>
      </c>
      <c r="Q129" s="44">
        <v>0</v>
      </c>
      <c r="R129" s="44">
        <v>0</v>
      </c>
      <c r="S129" s="44">
        <v>0</v>
      </c>
      <c r="T129" s="44">
        <v>5584.4946343980382</v>
      </c>
      <c r="U129" s="44">
        <f t="shared" ref="U129:U146" si="25">SUM(B129:T129)</f>
        <v>42511.071591252577</v>
      </c>
    </row>
    <row r="130" spans="1:21" x14ac:dyDescent="0.2">
      <c r="A130" s="52" t="s">
        <v>149</v>
      </c>
      <c r="B130" s="44">
        <v>6657.2753231322167</v>
      </c>
      <c r="C130" s="44">
        <v>0</v>
      </c>
      <c r="D130" s="44">
        <v>0</v>
      </c>
      <c r="E130" s="44">
        <v>12488.34480052208</v>
      </c>
      <c r="F130" s="44">
        <v>0</v>
      </c>
      <c r="G130" s="44">
        <v>0</v>
      </c>
      <c r="H130" s="44">
        <v>0</v>
      </c>
      <c r="I130" s="44">
        <v>0</v>
      </c>
      <c r="J130" s="44">
        <v>0</v>
      </c>
      <c r="K130" s="44">
        <v>0</v>
      </c>
      <c r="L130" s="44">
        <v>0</v>
      </c>
      <c r="M130" s="44">
        <v>0</v>
      </c>
      <c r="N130" s="44">
        <v>2849.2715651859726</v>
      </c>
      <c r="O130" s="44">
        <v>0</v>
      </c>
      <c r="P130" s="44">
        <v>0</v>
      </c>
      <c r="Q130" s="44">
        <v>0</v>
      </c>
      <c r="R130" s="44">
        <v>0</v>
      </c>
      <c r="S130" s="44">
        <v>0</v>
      </c>
      <c r="T130" s="44">
        <v>0</v>
      </c>
      <c r="U130" s="44">
        <f t="shared" si="25"/>
        <v>21994.891688840271</v>
      </c>
    </row>
    <row r="131" spans="1:21" x14ac:dyDescent="0.2">
      <c r="A131" s="52" t="s">
        <v>291</v>
      </c>
      <c r="B131" s="44">
        <v>592.09511848319949</v>
      </c>
      <c r="C131" s="44">
        <v>0</v>
      </c>
      <c r="D131" s="44">
        <v>0</v>
      </c>
      <c r="E131" s="44">
        <v>677.5056426997096</v>
      </c>
      <c r="F131" s="44">
        <v>0</v>
      </c>
      <c r="G131" s="44">
        <v>662.23085516448566</v>
      </c>
      <c r="H131" s="44">
        <v>0</v>
      </c>
      <c r="I131" s="44">
        <v>0</v>
      </c>
      <c r="J131" s="44">
        <v>0</v>
      </c>
      <c r="K131" s="44">
        <v>0</v>
      </c>
      <c r="L131" s="44">
        <v>0</v>
      </c>
      <c r="M131" s="44">
        <v>0</v>
      </c>
      <c r="N131" s="44">
        <v>76.780062012358854</v>
      </c>
      <c r="O131" s="44">
        <v>0</v>
      </c>
      <c r="P131" s="44">
        <v>0</v>
      </c>
      <c r="Q131" s="44">
        <v>0</v>
      </c>
      <c r="R131" s="44">
        <v>0</v>
      </c>
      <c r="S131" s="44">
        <v>0</v>
      </c>
      <c r="T131" s="44">
        <v>0</v>
      </c>
      <c r="U131" s="44">
        <f t="shared" si="25"/>
        <v>2008.6116783597536</v>
      </c>
    </row>
    <row r="132" spans="1:21" x14ac:dyDescent="0.2">
      <c r="A132" s="52" t="s">
        <v>150</v>
      </c>
      <c r="B132" s="44">
        <v>8277.5167641456828</v>
      </c>
      <c r="C132" s="44">
        <v>0</v>
      </c>
      <c r="D132" s="44">
        <v>0</v>
      </c>
      <c r="E132" s="44">
        <v>128.35283510593163</v>
      </c>
      <c r="F132" s="44">
        <v>0</v>
      </c>
      <c r="G132" s="44">
        <v>0</v>
      </c>
      <c r="H132" s="44">
        <v>571.49111372423079</v>
      </c>
      <c r="I132" s="44">
        <v>0</v>
      </c>
      <c r="J132" s="44">
        <v>0</v>
      </c>
      <c r="K132" s="44">
        <v>0</v>
      </c>
      <c r="L132" s="44">
        <v>0</v>
      </c>
      <c r="M132" s="44">
        <v>0</v>
      </c>
      <c r="N132" s="44">
        <v>556.69176512023751</v>
      </c>
      <c r="O132" s="44">
        <v>0</v>
      </c>
      <c r="P132" s="44">
        <v>0</v>
      </c>
      <c r="Q132" s="44">
        <v>0</v>
      </c>
      <c r="R132" s="44">
        <v>0</v>
      </c>
      <c r="S132" s="44">
        <v>0</v>
      </c>
      <c r="T132" s="44">
        <v>308.93263439999998</v>
      </c>
      <c r="U132" s="44">
        <f t="shared" si="25"/>
        <v>9842.9851124960842</v>
      </c>
    </row>
    <row r="133" spans="1:21" x14ac:dyDescent="0.2">
      <c r="A133" s="52" t="s">
        <v>292</v>
      </c>
      <c r="B133" s="44">
        <v>5297.2692986352304</v>
      </c>
      <c r="C133" s="44">
        <v>0</v>
      </c>
      <c r="D133" s="44">
        <v>0</v>
      </c>
      <c r="E133" s="44">
        <v>0</v>
      </c>
      <c r="F133" s="44">
        <v>0</v>
      </c>
      <c r="G133" s="44">
        <v>0</v>
      </c>
      <c r="H133" s="44">
        <v>0</v>
      </c>
      <c r="I133" s="44">
        <v>0</v>
      </c>
      <c r="J133" s="44">
        <v>0</v>
      </c>
      <c r="K133" s="44">
        <v>0</v>
      </c>
      <c r="L133" s="44">
        <v>0</v>
      </c>
      <c r="M133" s="44">
        <v>0</v>
      </c>
      <c r="N133" s="44">
        <v>0</v>
      </c>
      <c r="O133" s="44">
        <v>0</v>
      </c>
      <c r="P133" s="44">
        <v>0</v>
      </c>
      <c r="Q133" s="44">
        <v>0</v>
      </c>
      <c r="R133" s="44">
        <v>0</v>
      </c>
      <c r="S133" s="44">
        <v>0</v>
      </c>
      <c r="T133" s="44">
        <v>2490.6879225950024</v>
      </c>
      <c r="U133" s="44">
        <f t="shared" si="25"/>
        <v>7787.9572212302328</v>
      </c>
    </row>
    <row r="134" spans="1:21" x14ac:dyDescent="0.2">
      <c r="A134" s="52" t="s">
        <v>151</v>
      </c>
      <c r="B134" s="44">
        <v>25284.047344842205</v>
      </c>
      <c r="C134" s="44">
        <v>0</v>
      </c>
      <c r="D134" s="44">
        <v>0</v>
      </c>
      <c r="E134" s="44">
        <v>0</v>
      </c>
      <c r="F134" s="44">
        <v>0</v>
      </c>
      <c r="G134" s="44">
        <v>1863.6255000000001</v>
      </c>
      <c r="H134" s="44">
        <v>0</v>
      </c>
      <c r="I134" s="44">
        <v>0</v>
      </c>
      <c r="J134" s="44">
        <v>0</v>
      </c>
      <c r="K134" s="44">
        <v>0</v>
      </c>
      <c r="L134" s="44">
        <v>306.27153664144498</v>
      </c>
      <c r="M134" s="44">
        <v>0</v>
      </c>
      <c r="N134" s="44">
        <v>529.72692986352297</v>
      </c>
      <c r="O134" s="44">
        <v>0</v>
      </c>
      <c r="P134" s="44">
        <v>903.57600000000002</v>
      </c>
      <c r="Q134" s="44">
        <v>0</v>
      </c>
      <c r="R134" s="44">
        <v>0</v>
      </c>
      <c r="S134" s="44">
        <v>0</v>
      </c>
      <c r="T134" s="44">
        <v>8554.3266092659687</v>
      </c>
      <c r="U134" s="44">
        <f t="shared" si="25"/>
        <v>37441.57392061314</v>
      </c>
    </row>
    <row r="135" spans="1:21" x14ac:dyDescent="0.2">
      <c r="A135" s="52" t="s">
        <v>152</v>
      </c>
      <c r="B135" s="44">
        <v>13666.557737857813</v>
      </c>
      <c r="C135" s="44">
        <v>0</v>
      </c>
      <c r="D135" s="44">
        <v>0</v>
      </c>
      <c r="E135" s="44">
        <v>0</v>
      </c>
      <c r="F135" s="44">
        <v>0</v>
      </c>
      <c r="G135" s="44">
        <v>0</v>
      </c>
      <c r="H135" s="44">
        <v>0</v>
      </c>
      <c r="I135" s="44">
        <v>0</v>
      </c>
      <c r="J135" s="44">
        <v>0</v>
      </c>
      <c r="K135" s="44">
        <v>0</v>
      </c>
      <c r="L135" s="44">
        <v>0</v>
      </c>
      <c r="M135" s="44">
        <v>0</v>
      </c>
      <c r="N135" s="44">
        <v>0</v>
      </c>
      <c r="O135" s="44">
        <v>0</v>
      </c>
      <c r="P135" s="44">
        <v>0</v>
      </c>
      <c r="Q135" s="44">
        <v>0</v>
      </c>
      <c r="R135" s="44">
        <v>0</v>
      </c>
      <c r="S135" s="44">
        <v>0</v>
      </c>
      <c r="T135" s="44">
        <v>0</v>
      </c>
      <c r="U135" s="44">
        <f t="shared" si="25"/>
        <v>13666.557737857813</v>
      </c>
    </row>
    <row r="136" spans="1:21" x14ac:dyDescent="0.2">
      <c r="A136" s="52" t="s">
        <v>153</v>
      </c>
      <c r="B136" s="44">
        <v>25339.583983383087</v>
      </c>
      <c r="C136" s="44">
        <v>0</v>
      </c>
      <c r="D136" s="44">
        <v>0</v>
      </c>
      <c r="E136" s="44">
        <v>14374.213802664186</v>
      </c>
      <c r="F136" s="44">
        <v>0</v>
      </c>
      <c r="G136" s="44">
        <v>0</v>
      </c>
      <c r="H136" s="44">
        <v>0</v>
      </c>
      <c r="I136" s="44">
        <v>0</v>
      </c>
      <c r="J136" s="44">
        <v>0</v>
      </c>
      <c r="K136" s="44">
        <v>0</v>
      </c>
      <c r="L136" s="44">
        <v>765.67884160361245</v>
      </c>
      <c r="M136" s="44">
        <v>0</v>
      </c>
      <c r="N136" s="44">
        <v>22339.380427522756</v>
      </c>
      <c r="O136" s="44">
        <v>0</v>
      </c>
      <c r="P136" s="44">
        <v>0</v>
      </c>
      <c r="Q136" s="44">
        <v>0</v>
      </c>
      <c r="R136" s="44">
        <v>0</v>
      </c>
      <c r="S136" s="44">
        <v>0</v>
      </c>
      <c r="T136" s="44">
        <v>0</v>
      </c>
      <c r="U136" s="44">
        <f t="shared" si="25"/>
        <v>62818.857055173648</v>
      </c>
    </row>
    <row r="137" spans="1:21" x14ac:dyDescent="0.2">
      <c r="A137" s="52" t="s">
        <v>154</v>
      </c>
      <c r="B137" s="44">
        <v>1558.9175645856781</v>
      </c>
      <c r="C137" s="44">
        <v>0</v>
      </c>
      <c r="D137" s="44">
        <v>0</v>
      </c>
      <c r="E137" s="44">
        <v>191.86909373179785</v>
      </c>
      <c r="F137" s="44">
        <v>0</v>
      </c>
      <c r="G137" s="44">
        <v>0</v>
      </c>
      <c r="H137" s="44">
        <v>0</v>
      </c>
      <c r="I137" s="44">
        <v>0</v>
      </c>
      <c r="J137" s="44">
        <v>0</v>
      </c>
      <c r="K137" s="44">
        <v>0</v>
      </c>
      <c r="L137" s="44">
        <v>0</v>
      </c>
      <c r="M137" s="44">
        <v>0</v>
      </c>
      <c r="N137" s="44">
        <v>0</v>
      </c>
      <c r="O137" s="44">
        <v>0</v>
      </c>
      <c r="P137" s="44">
        <v>0</v>
      </c>
      <c r="Q137" s="44">
        <v>0</v>
      </c>
      <c r="R137" s="44">
        <v>0</v>
      </c>
      <c r="S137" s="44">
        <v>0</v>
      </c>
      <c r="T137" s="44">
        <v>0</v>
      </c>
      <c r="U137" s="44">
        <f t="shared" si="25"/>
        <v>1750.7866583174759</v>
      </c>
    </row>
    <row r="138" spans="1:21" x14ac:dyDescent="0.2">
      <c r="A138" s="52" t="s">
        <v>155</v>
      </c>
      <c r="B138" s="44">
        <v>21866.828825624234</v>
      </c>
      <c r="C138" s="44">
        <v>0</v>
      </c>
      <c r="D138" s="44">
        <v>0</v>
      </c>
      <c r="E138" s="44">
        <v>20293.653940379463</v>
      </c>
      <c r="F138" s="44">
        <v>3316.0176990727909</v>
      </c>
      <c r="G138" s="44">
        <v>0</v>
      </c>
      <c r="H138" s="44">
        <v>0</v>
      </c>
      <c r="I138" s="44">
        <v>0</v>
      </c>
      <c r="J138" s="44">
        <v>0</v>
      </c>
      <c r="K138" s="44">
        <v>0</v>
      </c>
      <c r="L138" s="44">
        <v>11441.201952844962</v>
      </c>
      <c r="M138" s="44">
        <v>0</v>
      </c>
      <c r="N138" s="44">
        <v>24805.667772715162</v>
      </c>
      <c r="O138" s="44">
        <v>0</v>
      </c>
      <c r="P138" s="44">
        <v>0</v>
      </c>
      <c r="Q138" s="44">
        <v>0</v>
      </c>
      <c r="R138" s="44">
        <v>0</v>
      </c>
      <c r="S138" s="44">
        <v>0</v>
      </c>
      <c r="T138" s="44">
        <v>8641.9121611005285</v>
      </c>
      <c r="U138" s="44">
        <f t="shared" si="25"/>
        <v>90365.282351737129</v>
      </c>
    </row>
    <row r="139" spans="1:21" x14ac:dyDescent="0.2">
      <c r="A139" s="52" t="s">
        <v>156</v>
      </c>
      <c r="B139" s="44">
        <v>4496.9719669514689</v>
      </c>
      <c r="C139" s="44">
        <v>0</v>
      </c>
      <c r="D139" s="44">
        <v>0</v>
      </c>
      <c r="E139" s="44">
        <v>0</v>
      </c>
      <c r="F139" s="44">
        <v>0</v>
      </c>
      <c r="G139" s="44">
        <v>0</v>
      </c>
      <c r="H139" s="44">
        <v>0</v>
      </c>
      <c r="I139" s="44">
        <v>0</v>
      </c>
      <c r="J139" s="44">
        <v>0</v>
      </c>
      <c r="K139" s="44">
        <v>0</v>
      </c>
      <c r="L139" s="44">
        <v>0</v>
      </c>
      <c r="M139" s="44">
        <v>0</v>
      </c>
      <c r="N139" s="44">
        <v>0</v>
      </c>
      <c r="O139" s="44">
        <v>0</v>
      </c>
      <c r="P139" s="44">
        <v>0</v>
      </c>
      <c r="Q139" s="44">
        <v>0</v>
      </c>
      <c r="R139" s="44">
        <v>0</v>
      </c>
      <c r="S139" s="44">
        <v>0</v>
      </c>
      <c r="T139" s="44">
        <v>0</v>
      </c>
      <c r="U139" s="44">
        <f t="shared" si="25"/>
        <v>4496.9719669514689</v>
      </c>
    </row>
    <row r="140" spans="1:21" x14ac:dyDescent="0.2">
      <c r="A140" s="52" t="s">
        <v>157</v>
      </c>
      <c r="B140" s="44">
        <v>84751.878907781094</v>
      </c>
      <c r="C140" s="44">
        <v>0</v>
      </c>
      <c r="D140" s="44">
        <v>0</v>
      </c>
      <c r="E140" s="44">
        <v>3679.404227697702</v>
      </c>
      <c r="F140" s="44">
        <v>0</v>
      </c>
      <c r="G140" s="44">
        <v>4951.2049844154626</v>
      </c>
      <c r="H140" s="44">
        <v>0</v>
      </c>
      <c r="I140" s="44">
        <v>0</v>
      </c>
      <c r="J140" s="44">
        <v>0</v>
      </c>
      <c r="K140" s="44">
        <v>0</v>
      </c>
      <c r="L140" s="44">
        <v>1400.5427999999999</v>
      </c>
      <c r="M140" s="44">
        <v>0</v>
      </c>
      <c r="N140" s="44">
        <v>11024.528320619223</v>
      </c>
      <c r="O140" s="44">
        <v>0</v>
      </c>
      <c r="P140" s="44">
        <v>0</v>
      </c>
      <c r="Q140" s="44">
        <v>0</v>
      </c>
      <c r="R140" s="44">
        <v>0</v>
      </c>
      <c r="S140" s="44">
        <v>0</v>
      </c>
      <c r="T140" s="44">
        <v>2351.2183713111758</v>
      </c>
      <c r="U140" s="44">
        <f t="shared" si="25"/>
        <v>108158.77761182465</v>
      </c>
    </row>
    <row r="141" spans="1:21" x14ac:dyDescent="0.2">
      <c r="A141" s="52" t="s">
        <v>158</v>
      </c>
      <c r="B141" s="44">
        <v>4552.3176532469997</v>
      </c>
      <c r="C141" s="44">
        <v>0</v>
      </c>
      <c r="D141" s="44">
        <v>0</v>
      </c>
      <c r="E141" s="44">
        <v>0</v>
      </c>
      <c r="F141" s="44">
        <v>0</v>
      </c>
      <c r="G141" s="44">
        <v>0</v>
      </c>
      <c r="H141" s="44">
        <v>0</v>
      </c>
      <c r="I141" s="44">
        <v>0</v>
      </c>
      <c r="J141" s="44">
        <v>0</v>
      </c>
      <c r="K141" s="44">
        <v>0</v>
      </c>
      <c r="L141" s="44">
        <v>0</v>
      </c>
      <c r="M141" s="44">
        <v>0</v>
      </c>
      <c r="N141" s="44">
        <v>2009.7076964077521</v>
      </c>
      <c r="O141" s="44">
        <v>0</v>
      </c>
      <c r="P141" s="44">
        <v>0</v>
      </c>
      <c r="Q141" s="44">
        <v>0</v>
      </c>
      <c r="R141" s="44">
        <v>0</v>
      </c>
      <c r="S141" s="44">
        <v>0</v>
      </c>
      <c r="T141" s="44">
        <v>730.85535602278901</v>
      </c>
      <c r="U141" s="44">
        <f t="shared" si="25"/>
        <v>7292.8807056775413</v>
      </c>
    </row>
    <row r="142" spans="1:21" x14ac:dyDescent="0.2">
      <c r="A142" s="52" t="s">
        <v>159</v>
      </c>
      <c r="B142" s="59">
        <v>24282.884048411972</v>
      </c>
      <c r="C142" s="44">
        <v>0</v>
      </c>
      <c r="D142" s="44">
        <v>0</v>
      </c>
      <c r="E142" s="44">
        <v>2373.640426840544</v>
      </c>
      <c r="F142" s="44">
        <v>0</v>
      </c>
      <c r="G142" s="44">
        <v>3153.4949890653402</v>
      </c>
      <c r="H142" s="44">
        <v>0</v>
      </c>
      <c r="I142" s="44">
        <v>0</v>
      </c>
      <c r="J142" s="44">
        <v>0</v>
      </c>
      <c r="K142" s="44">
        <v>0</v>
      </c>
      <c r="L142" s="44">
        <v>3140.4528048763191</v>
      </c>
      <c r="M142" s="44">
        <v>0</v>
      </c>
      <c r="N142" s="44">
        <v>7863.8154418165241</v>
      </c>
      <c r="O142" s="44">
        <v>0</v>
      </c>
      <c r="P142" s="44">
        <v>225.89400000000001</v>
      </c>
      <c r="Q142" s="44">
        <v>0</v>
      </c>
      <c r="R142" s="44">
        <v>0</v>
      </c>
      <c r="S142" s="44">
        <v>0</v>
      </c>
      <c r="T142" s="44">
        <v>23222.345731222256</v>
      </c>
      <c r="U142" s="44">
        <f t="shared" si="25"/>
        <v>64262.527442232953</v>
      </c>
    </row>
    <row r="143" spans="1:21" x14ac:dyDescent="0.2">
      <c r="A143" s="52" t="s">
        <v>293</v>
      </c>
      <c r="B143" s="44">
        <v>110.7685887061007</v>
      </c>
      <c r="C143" s="44">
        <v>0</v>
      </c>
      <c r="D143" s="44">
        <v>0</v>
      </c>
      <c r="E143" s="44">
        <v>1107.685887061007</v>
      </c>
      <c r="F143" s="44">
        <v>0</v>
      </c>
      <c r="G143" s="44">
        <v>3018.1258776653103</v>
      </c>
      <c r="H143" s="44">
        <v>845.44560515340879</v>
      </c>
      <c r="I143" s="44">
        <v>0</v>
      </c>
      <c r="J143" s="44">
        <v>0</v>
      </c>
      <c r="K143" s="44">
        <v>0</v>
      </c>
      <c r="L143" s="44">
        <v>10865.938892516737</v>
      </c>
      <c r="M143" s="44">
        <v>0</v>
      </c>
      <c r="N143" s="44">
        <v>1052.3015927079566</v>
      </c>
      <c r="O143" s="44">
        <v>0</v>
      </c>
      <c r="P143" s="44">
        <v>0</v>
      </c>
      <c r="Q143" s="44">
        <v>0</v>
      </c>
      <c r="R143" s="44">
        <v>0</v>
      </c>
      <c r="S143" s="44">
        <v>0</v>
      </c>
      <c r="T143" s="44">
        <v>2780.4271054688666</v>
      </c>
      <c r="U143" s="44">
        <f t="shared" si="25"/>
        <v>19780.693549279385</v>
      </c>
    </row>
    <row r="144" spans="1:21" x14ac:dyDescent="0.2">
      <c r="A144" s="52" t="s">
        <v>160</v>
      </c>
      <c r="B144" s="44">
        <v>91627.225521296117</v>
      </c>
      <c r="C144" s="44">
        <v>0</v>
      </c>
      <c r="D144" s="44">
        <v>197.42155233856599</v>
      </c>
      <c r="E144" s="44">
        <v>0</v>
      </c>
      <c r="F144" s="44">
        <v>0</v>
      </c>
      <c r="G144" s="44">
        <v>0</v>
      </c>
      <c r="H144" s="44">
        <v>2377.086003124698</v>
      </c>
      <c r="I144" s="44">
        <v>0</v>
      </c>
      <c r="J144" s="44">
        <v>0</v>
      </c>
      <c r="K144" s="44">
        <v>0</v>
      </c>
      <c r="L144" s="44">
        <v>6643.3957088999996</v>
      </c>
      <c r="M144" s="44">
        <v>0</v>
      </c>
      <c r="N144" s="44">
        <v>0</v>
      </c>
      <c r="O144" s="44">
        <v>0</v>
      </c>
      <c r="P144" s="44">
        <v>0</v>
      </c>
      <c r="Q144" s="44">
        <v>0</v>
      </c>
      <c r="R144" s="44">
        <v>0</v>
      </c>
      <c r="S144" s="44">
        <v>0</v>
      </c>
      <c r="T144" s="44">
        <v>92299.787190704141</v>
      </c>
      <c r="U144" s="44">
        <f t="shared" si="25"/>
        <v>193144.91597636353</v>
      </c>
    </row>
    <row r="145" spans="1:21" x14ac:dyDescent="0.2">
      <c r="A145" s="52" t="s">
        <v>294</v>
      </c>
      <c r="B145" s="44">
        <v>12215.900541712663</v>
      </c>
      <c r="C145" s="44">
        <v>0</v>
      </c>
      <c r="D145" s="44">
        <v>0</v>
      </c>
      <c r="E145" s="44">
        <v>401.58666244786917</v>
      </c>
      <c r="F145" s="44">
        <v>0</v>
      </c>
      <c r="G145" s="44">
        <v>401.58666244786917</v>
      </c>
      <c r="H145" s="44">
        <v>0</v>
      </c>
      <c r="I145" s="44">
        <v>0</v>
      </c>
      <c r="J145" s="44">
        <v>0</v>
      </c>
      <c r="K145" s="44">
        <v>0</v>
      </c>
      <c r="L145" s="44">
        <v>2340.7361686037407</v>
      </c>
      <c r="M145" s="44">
        <v>0</v>
      </c>
      <c r="N145" s="44">
        <v>9161.9464192352225</v>
      </c>
      <c r="O145" s="44">
        <v>0</v>
      </c>
      <c r="P145" s="44">
        <v>0</v>
      </c>
      <c r="Q145" s="44">
        <v>0</v>
      </c>
      <c r="R145" s="44">
        <v>0</v>
      </c>
      <c r="S145" s="44">
        <v>0</v>
      </c>
      <c r="T145" s="44">
        <v>0</v>
      </c>
      <c r="U145" s="44">
        <f t="shared" si="25"/>
        <v>24521.756454447364</v>
      </c>
    </row>
    <row r="146" spans="1:21" x14ac:dyDescent="0.2">
      <c r="A146" s="52" t="s">
        <v>161</v>
      </c>
      <c r="B146" s="44">
        <v>78307.212047351713</v>
      </c>
      <c r="C146" s="44">
        <v>0</v>
      </c>
      <c r="D146" s="44">
        <v>0</v>
      </c>
      <c r="E146" s="44">
        <v>0</v>
      </c>
      <c r="F146" s="44">
        <v>0</v>
      </c>
      <c r="G146" s="44">
        <v>0</v>
      </c>
      <c r="H146" s="44">
        <v>0</v>
      </c>
      <c r="I146" s="44">
        <v>0</v>
      </c>
      <c r="J146" s="44">
        <v>0</v>
      </c>
      <c r="K146" s="44">
        <v>0</v>
      </c>
      <c r="L146" s="44">
        <v>0</v>
      </c>
      <c r="M146" s="44">
        <v>0</v>
      </c>
      <c r="N146" s="44">
        <v>0</v>
      </c>
      <c r="O146" s="44">
        <v>0</v>
      </c>
      <c r="P146" s="44">
        <v>0</v>
      </c>
      <c r="Q146" s="44">
        <v>0</v>
      </c>
      <c r="R146" s="44">
        <v>0</v>
      </c>
      <c r="S146" s="44">
        <v>0</v>
      </c>
      <c r="T146" s="44">
        <v>371.00188541015251</v>
      </c>
      <c r="U146" s="44">
        <f t="shared" si="25"/>
        <v>78678.213932761864</v>
      </c>
    </row>
    <row r="147" spans="1:21" ht="10.5" x14ac:dyDescent="0.25">
      <c r="A147" s="40" t="s">
        <v>162</v>
      </c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</row>
    <row r="148" spans="1:21" x14ac:dyDescent="0.2">
      <c r="A148" s="41" t="s">
        <v>163</v>
      </c>
      <c r="B148" s="44">
        <v>133001.22163272146</v>
      </c>
      <c r="C148" s="44">
        <v>0</v>
      </c>
      <c r="D148" s="44">
        <v>0</v>
      </c>
      <c r="E148" s="44">
        <v>694.62405000000001</v>
      </c>
      <c r="F148" s="44">
        <v>0</v>
      </c>
      <c r="G148" s="44">
        <v>0</v>
      </c>
      <c r="H148" s="44">
        <v>1052.9958412440444</v>
      </c>
      <c r="I148" s="44">
        <v>0</v>
      </c>
      <c r="J148" s="44">
        <v>0</v>
      </c>
      <c r="K148" s="44">
        <v>0</v>
      </c>
      <c r="L148" s="44">
        <v>16169.266842879486</v>
      </c>
      <c r="M148" s="44">
        <v>0</v>
      </c>
      <c r="N148" s="44">
        <v>1839.6725562424303</v>
      </c>
      <c r="O148" s="44">
        <v>0</v>
      </c>
      <c r="P148" s="44">
        <v>0</v>
      </c>
      <c r="Q148" s="44">
        <v>0</v>
      </c>
      <c r="R148" s="44">
        <v>0</v>
      </c>
      <c r="S148" s="44">
        <v>0</v>
      </c>
      <c r="T148" s="44">
        <v>91527.05864668345</v>
      </c>
      <c r="U148" s="44">
        <f>SUM(B148:T148)</f>
        <v>244284.83956977091</v>
      </c>
    </row>
    <row r="149" spans="1:21" x14ac:dyDescent="0.2">
      <c r="A149" s="41" t="s">
        <v>295</v>
      </c>
      <c r="B149" s="44">
        <v>169.4205</v>
      </c>
      <c r="C149" s="44">
        <v>0</v>
      </c>
      <c r="D149" s="44">
        <v>0</v>
      </c>
      <c r="E149" s="44">
        <v>0</v>
      </c>
      <c r="F149" s="44">
        <v>0</v>
      </c>
      <c r="G149" s="44">
        <v>0</v>
      </c>
      <c r="H149" s="44">
        <v>0</v>
      </c>
      <c r="I149" s="44">
        <v>0</v>
      </c>
      <c r="J149" s="44">
        <v>0</v>
      </c>
      <c r="K149" s="44">
        <v>0</v>
      </c>
      <c r="L149" s="44">
        <v>5934.308212898939</v>
      </c>
      <c r="M149" s="44">
        <v>0</v>
      </c>
      <c r="N149" s="44">
        <v>0</v>
      </c>
      <c r="O149" s="44">
        <v>0</v>
      </c>
      <c r="P149" s="44">
        <v>0</v>
      </c>
      <c r="Q149" s="44">
        <v>0</v>
      </c>
      <c r="R149" s="44">
        <v>0</v>
      </c>
      <c r="S149" s="44">
        <v>0</v>
      </c>
      <c r="T149" s="44">
        <v>0</v>
      </c>
      <c r="U149" s="44">
        <f>SUM(B149:T149)</f>
        <v>6103.7287128989392</v>
      </c>
    </row>
    <row r="150" spans="1:21" x14ac:dyDescent="0.2">
      <c r="A150" s="41" t="s">
        <v>296</v>
      </c>
      <c r="B150" s="44">
        <v>772.21863900000005</v>
      </c>
      <c r="C150" s="44">
        <v>0</v>
      </c>
      <c r="D150" s="44">
        <v>0</v>
      </c>
      <c r="E150" s="44">
        <v>0</v>
      </c>
      <c r="F150" s="44">
        <v>0</v>
      </c>
      <c r="G150" s="44">
        <v>0</v>
      </c>
      <c r="H150" s="44">
        <v>0</v>
      </c>
      <c r="I150" s="44">
        <v>0</v>
      </c>
      <c r="J150" s="44">
        <v>0</v>
      </c>
      <c r="K150" s="44">
        <v>0</v>
      </c>
      <c r="L150" s="44">
        <v>201.27155400000001</v>
      </c>
      <c r="M150" s="44">
        <v>0</v>
      </c>
      <c r="N150" s="44">
        <v>0</v>
      </c>
      <c r="O150" s="44">
        <v>0</v>
      </c>
      <c r="P150" s="44">
        <v>0</v>
      </c>
      <c r="Q150" s="44">
        <v>0</v>
      </c>
      <c r="R150" s="44">
        <v>0</v>
      </c>
      <c r="S150" s="44">
        <v>0</v>
      </c>
      <c r="T150" s="44">
        <v>1739.667977626947</v>
      </c>
      <c r="U150" s="44">
        <f>SUM(B150:T150)</f>
        <v>2713.1581706269471</v>
      </c>
    </row>
    <row r="151" spans="1:21" ht="10.5" x14ac:dyDescent="0.25">
      <c r="A151" s="45" t="s">
        <v>164</v>
      </c>
      <c r="B151" s="46">
        <f t="shared" ref="B151:U151" si="26">SUM(B148:B150)</f>
        <v>133942.86077172146</v>
      </c>
      <c r="C151" s="46">
        <f t="shared" si="26"/>
        <v>0</v>
      </c>
      <c r="D151" s="46">
        <f t="shared" si="26"/>
        <v>0</v>
      </c>
      <c r="E151" s="46">
        <f t="shared" si="26"/>
        <v>694.62405000000001</v>
      </c>
      <c r="F151" s="46">
        <f t="shared" si="26"/>
        <v>0</v>
      </c>
      <c r="G151" s="46">
        <f t="shared" si="26"/>
        <v>0</v>
      </c>
      <c r="H151" s="46">
        <f t="shared" si="26"/>
        <v>1052.9958412440444</v>
      </c>
      <c r="I151" s="46">
        <f t="shared" si="26"/>
        <v>0</v>
      </c>
      <c r="J151" s="46">
        <f t="shared" si="26"/>
        <v>0</v>
      </c>
      <c r="K151" s="46">
        <f t="shared" si="26"/>
        <v>0</v>
      </c>
      <c r="L151" s="46">
        <f t="shared" si="26"/>
        <v>22304.846609778426</v>
      </c>
      <c r="M151" s="46">
        <f t="shared" si="26"/>
        <v>0</v>
      </c>
      <c r="N151" s="46">
        <f t="shared" si="26"/>
        <v>1839.6725562424303</v>
      </c>
      <c r="O151" s="46">
        <f t="shared" si="26"/>
        <v>0</v>
      </c>
      <c r="P151" s="46">
        <f t="shared" si="26"/>
        <v>0</v>
      </c>
      <c r="Q151" s="46">
        <f t="shared" si="26"/>
        <v>0</v>
      </c>
      <c r="R151" s="46">
        <f t="shared" si="26"/>
        <v>0</v>
      </c>
      <c r="S151" s="46">
        <f t="shared" si="26"/>
        <v>0</v>
      </c>
      <c r="T151" s="46">
        <f t="shared" si="26"/>
        <v>93266.726624310395</v>
      </c>
      <c r="U151" s="46">
        <f t="shared" si="26"/>
        <v>253101.72645329678</v>
      </c>
    </row>
    <row r="152" spans="1:21" ht="10.5" x14ac:dyDescent="0.25">
      <c r="A152" s="40" t="s">
        <v>165</v>
      </c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</row>
    <row r="153" spans="1:21" x14ac:dyDescent="0.2">
      <c r="A153" s="41" t="s">
        <v>166</v>
      </c>
      <c r="B153" s="44">
        <v>-168309.36652873745</v>
      </c>
      <c r="C153" s="44">
        <v>0</v>
      </c>
      <c r="D153" s="44">
        <v>0</v>
      </c>
      <c r="E153" s="44">
        <v>0</v>
      </c>
      <c r="F153" s="44">
        <v>0</v>
      </c>
      <c r="G153" s="44">
        <v>0</v>
      </c>
      <c r="H153" s="44">
        <v>0</v>
      </c>
      <c r="I153" s="44">
        <v>0</v>
      </c>
      <c r="J153" s="44">
        <v>0</v>
      </c>
      <c r="K153" s="44">
        <v>0</v>
      </c>
      <c r="L153" s="44">
        <v>0</v>
      </c>
      <c r="M153" s="44">
        <v>0</v>
      </c>
      <c r="N153" s="44">
        <v>0</v>
      </c>
      <c r="O153" s="44">
        <v>0</v>
      </c>
      <c r="P153" s="44">
        <v>0</v>
      </c>
      <c r="Q153" s="44">
        <v>0</v>
      </c>
      <c r="R153" s="44">
        <v>0</v>
      </c>
      <c r="S153" s="44">
        <v>0</v>
      </c>
      <c r="T153" s="44">
        <v>0</v>
      </c>
      <c r="U153" s="44">
        <f>SUM(B153:T153)</f>
        <v>-168309.36652873745</v>
      </c>
    </row>
    <row r="154" spans="1:21" x14ac:dyDescent="0.2">
      <c r="A154" s="41" t="s">
        <v>167</v>
      </c>
      <c r="B154" s="44">
        <v>266035.17781891703</v>
      </c>
      <c r="C154" s="44">
        <v>0</v>
      </c>
      <c r="D154" s="44">
        <v>0</v>
      </c>
      <c r="E154" s="44">
        <v>5259.28261510828</v>
      </c>
      <c r="F154" s="44">
        <v>0</v>
      </c>
      <c r="G154" s="44">
        <v>68527.166309051725</v>
      </c>
      <c r="H154" s="44">
        <v>0</v>
      </c>
      <c r="I154" s="44">
        <v>0</v>
      </c>
      <c r="J154" s="44">
        <v>0</v>
      </c>
      <c r="K154" s="44">
        <v>0</v>
      </c>
      <c r="L154" s="44">
        <v>0</v>
      </c>
      <c r="M154" s="44">
        <v>0</v>
      </c>
      <c r="N154" s="44">
        <v>14979.817387851093</v>
      </c>
      <c r="O154" s="44">
        <v>0</v>
      </c>
      <c r="P154" s="44">
        <v>1579.3724187085279</v>
      </c>
      <c r="Q154" s="44">
        <v>0</v>
      </c>
      <c r="R154" s="44">
        <v>0</v>
      </c>
      <c r="S154" s="44">
        <v>0</v>
      </c>
      <c r="T154" s="44">
        <v>34994.918501360924</v>
      </c>
      <c r="U154" s="44">
        <f>SUM(B154:T154)</f>
        <v>391375.73505099758</v>
      </c>
    </row>
    <row r="155" spans="1:21" ht="10.5" x14ac:dyDescent="0.25">
      <c r="A155" s="45" t="s">
        <v>168</v>
      </c>
      <c r="B155" s="46">
        <f t="shared" ref="B155:U155" si="27">SUM(B153:B154)</f>
        <v>97725.811290179583</v>
      </c>
      <c r="C155" s="46">
        <f t="shared" si="27"/>
        <v>0</v>
      </c>
      <c r="D155" s="46">
        <f t="shared" si="27"/>
        <v>0</v>
      </c>
      <c r="E155" s="46">
        <f t="shared" si="27"/>
        <v>5259.28261510828</v>
      </c>
      <c r="F155" s="46">
        <f t="shared" si="27"/>
        <v>0</v>
      </c>
      <c r="G155" s="46">
        <f t="shared" si="27"/>
        <v>68527.166309051725</v>
      </c>
      <c r="H155" s="46">
        <f t="shared" si="27"/>
        <v>0</v>
      </c>
      <c r="I155" s="46">
        <f t="shared" si="27"/>
        <v>0</v>
      </c>
      <c r="J155" s="46">
        <f t="shared" si="27"/>
        <v>0</v>
      </c>
      <c r="K155" s="46">
        <f t="shared" si="27"/>
        <v>0</v>
      </c>
      <c r="L155" s="46">
        <f t="shared" si="27"/>
        <v>0</v>
      </c>
      <c r="M155" s="46">
        <f t="shared" si="27"/>
        <v>0</v>
      </c>
      <c r="N155" s="46">
        <f t="shared" si="27"/>
        <v>14979.817387851093</v>
      </c>
      <c r="O155" s="46">
        <f t="shared" si="27"/>
        <v>0</v>
      </c>
      <c r="P155" s="46">
        <f t="shared" si="27"/>
        <v>1579.3724187085279</v>
      </c>
      <c r="Q155" s="46">
        <f t="shared" si="27"/>
        <v>0</v>
      </c>
      <c r="R155" s="46">
        <f t="shared" si="27"/>
        <v>0</v>
      </c>
      <c r="S155" s="46">
        <f t="shared" si="27"/>
        <v>0</v>
      </c>
      <c r="T155" s="46">
        <f t="shared" si="27"/>
        <v>34994.918501360924</v>
      </c>
      <c r="U155" s="46">
        <f t="shared" si="27"/>
        <v>223066.36852226013</v>
      </c>
    </row>
    <row r="156" spans="1:21" ht="10.5" x14ac:dyDescent="0.25">
      <c r="A156" s="47" t="s">
        <v>169</v>
      </c>
      <c r="B156" s="46">
        <f t="shared" ref="B156:U156" si="28">SUM(B129:B146,B151,B155)</f>
        <v>645844.38736221124</v>
      </c>
      <c r="C156" s="46">
        <f t="shared" si="28"/>
        <v>0</v>
      </c>
      <c r="D156" s="46">
        <f t="shared" si="28"/>
        <v>197.42155233856599</v>
      </c>
      <c r="E156" s="46">
        <f t="shared" si="28"/>
        <v>61859.35020925857</v>
      </c>
      <c r="F156" s="46">
        <f t="shared" si="28"/>
        <v>3316.0176990727909</v>
      </c>
      <c r="G156" s="46">
        <f t="shared" si="28"/>
        <v>103139.28908231728</v>
      </c>
      <c r="H156" s="46">
        <f t="shared" si="28"/>
        <v>4847.0185632463817</v>
      </c>
      <c r="I156" s="46">
        <f t="shared" si="28"/>
        <v>0</v>
      </c>
      <c r="J156" s="46">
        <f t="shared" si="28"/>
        <v>0</v>
      </c>
      <c r="K156" s="46">
        <f t="shared" si="28"/>
        <v>0</v>
      </c>
      <c r="L156" s="46">
        <f t="shared" si="28"/>
        <v>64257.775975840159</v>
      </c>
      <c r="M156" s="46">
        <f t="shared" si="28"/>
        <v>0</v>
      </c>
      <c r="N156" s="46">
        <f t="shared" si="28"/>
        <v>104925.67004041004</v>
      </c>
      <c r="O156" s="46">
        <f t="shared" si="28"/>
        <v>0</v>
      </c>
      <c r="P156" s="46">
        <f t="shared" si="28"/>
        <v>2708.8424187085279</v>
      </c>
      <c r="Q156" s="46">
        <f t="shared" si="28"/>
        <v>0</v>
      </c>
      <c r="R156" s="46">
        <f t="shared" si="28"/>
        <v>0</v>
      </c>
      <c r="S156" s="46">
        <f t="shared" si="28"/>
        <v>0</v>
      </c>
      <c r="T156" s="46">
        <f t="shared" si="28"/>
        <v>275597.63472757023</v>
      </c>
      <c r="U156" s="46">
        <f t="shared" si="28"/>
        <v>1266693.4076309737</v>
      </c>
    </row>
    <row r="157" spans="1:21" ht="10.5" x14ac:dyDescent="0.25">
      <c r="A157" s="48" t="s">
        <v>171</v>
      </c>
      <c r="B157" s="46">
        <f t="shared" ref="B157:U157" si="29">SUM(B127,B156)</f>
        <v>3622167.0274556391</v>
      </c>
      <c r="C157" s="46">
        <f t="shared" si="29"/>
        <v>0</v>
      </c>
      <c r="D157" s="46">
        <f t="shared" si="29"/>
        <v>197.42155233856599</v>
      </c>
      <c r="E157" s="46">
        <f t="shared" si="29"/>
        <v>120275.30327935357</v>
      </c>
      <c r="F157" s="46">
        <f t="shared" si="29"/>
        <v>3316.0176990727909</v>
      </c>
      <c r="G157" s="46">
        <f t="shared" si="29"/>
        <v>114922.32903635476</v>
      </c>
      <c r="H157" s="46">
        <f t="shared" si="29"/>
        <v>6389.6556308917834</v>
      </c>
      <c r="I157" s="46">
        <f t="shared" si="29"/>
        <v>99.890326799999997</v>
      </c>
      <c r="J157" s="46">
        <f t="shared" si="29"/>
        <v>0</v>
      </c>
      <c r="K157" s="46">
        <f t="shared" si="29"/>
        <v>0</v>
      </c>
      <c r="L157" s="46">
        <f t="shared" si="29"/>
        <v>64257.775975840159</v>
      </c>
      <c r="M157" s="46">
        <f t="shared" si="29"/>
        <v>0</v>
      </c>
      <c r="N157" s="46">
        <f t="shared" si="29"/>
        <v>117649.66473516799</v>
      </c>
      <c r="O157" s="46">
        <f t="shared" si="29"/>
        <v>0</v>
      </c>
      <c r="P157" s="46">
        <f t="shared" si="29"/>
        <v>2708.8424187085279</v>
      </c>
      <c r="Q157" s="46">
        <f t="shared" si="29"/>
        <v>38249.265002839733</v>
      </c>
      <c r="R157" s="46">
        <f t="shared" si="29"/>
        <v>0</v>
      </c>
      <c r="S157" s="46">
        <f t="shared" si="29"/>
        <v>0</v>
      </c>
      <c r="T157" s="46">
        <f t="shared" si="29"/>
        <v>319903.25505258393</v>
      </c>
      <c r="U157" s="46">
        <f t="shared" si="29"/>
        <v>4410136.4481655899</v>
      </c>
    </row>
    <row r="158" spans="1:21" ht="10.5" x14ac:dyDescent="0.2">
      <c r="A158" s="50" t="s">
        <v>46</v>
      </c>
      <c r="B158" s="51">
        <f t="shared" ref="B158:U158" si="30">B34-B157</f>
        <v>-3705819.9092836855</v>
      </c>
      <c r="C158" s="51">
        <f t="shared" si="30"/>
        <v>4318.7375122081194</v>
      </c>
      <c r="D158" s="51">
        <f t="shared" si="30"/>
        <v>1538.34151891489</v>
      </c>
      <c r="E158" s="51">
        <f t="shared" si="30"/>
        <v>2829885.0397849237</v>
      </c>
      <c r="F158" s="51">
        <f t="shared" si="30"/>
        <v>18330.571902978809</v>
      </c>
      <c r="G158" s="51">
        <f t="shared" si="30"/>
        <v>116216.35128710631</v>
      </c>
      <c r="H158" s="51">
        <f t="shared" si="30"/>
        <v>-3176.1677658519884</v>
      </c>
      <c r="I158" s="51">
        <f t="shared" si="30"/>
        <v>4129.902394006941</v>
      </c>
      <c r="J158" s="51">
        <f t="shared" si="30"/>
        <v>21.035578110763026</v>
      </c>
      <c r="K158" s="51">
        <f t="shared" si="30"/>
        <v>5824.2792018158361</v>
      </c>
      <c r="L158" s="51">
        <f t="shared" si="30"/>
        <v>-58173.883933554062</v>
      </c>
      <c r="M158" s="51">
        <f t="shared" si="30"/>
        <v>12322.693916321514</v>
      </c>
      <c r="N158" s="51">
        <f t="shared" si="30"/>
        <v>-65237.686606012285</v>
      </c>
      <c r="O158" s="51">
        <f t="shared" si="30"/>
        <v>57.534818259577662</v>
      </c>
      <c r="P158" s="51">
        <f t="shared" si="30"/>
        <v>3255.9408214226255</v>
      </c>
      <c r="Q158" s="51">
        <f t="shared" si="30"/>
        <v>-48618.188636294093</v>
      </c>
      <c r="R158" s="51">
        <f t="shared" si="30"/>
        <v>33617.761567577552</v>
      </c>
      <c r="S158" s="51">
        <f t="shared" si="30"/>
        <v>53.248043354948095</v>
      </c>
      <c r="T158" s="51">
        <f t="shared" si="30"/>
        <v>-225871.94560123776</v>
      </c>
      <c r="U158" s="51">
        <f t="shared" si="30"/>
        <v>-1077326.3434796343</v>
      </c>
    </row>
    <row r="159" spans="1:21" ht="10.5" x14ac:dyDescent="0.2">
      <c r="A159" s="36" t="s">
        <v>172</v>
      </c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</row>
    <row r="160" spans="1:21" ht="10.5" x14ac:dyDescent="0.25">
      <c r="A160" s="38" t="s">
        <v>173</v>
      </c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</row>
    <row r="161" spans="1:21" ht="10.5" x14ac:dyDescent="0.25">
      <c r="A161" s="39" t="s">
        <v>174</v>
      </c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</row>
    <row r="162" spans="1:21" x14ac:dyDescent="0.2">
      <c r="A162" s="52" t="s">
        <v>297</v>
      </c>
      <c r="B162" s="44">
        <v>8.1369035582039995E-3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4">
        <v>0</v>
      </c>
      <c r="J162" s="44">
        <v>0</v>
      </c>
      <c r="K162" s="44">
        <v>0</v>
      </c>
      <c r="L162" s="44">
        <v>0</v>
      </c>
      <c r="M162" s="44">
        <v>0</v>
      </c>
      <c r="N162" s="44">
        <v>0</v>
      </c>
      <c r="O162" s="44">
        <v>0</v>
      </c>
      <c r="P162" s="44">
        <v>0</v>
      </c>
      <c r="Q162" s="44">
        <v>0</v>
      </c>
      <c r="R162" s="44">
        <v>0</v>
      </c>
      <c r="S162" s="44">
        <v>0</v>
      </c>
      <c r="T162" s="44">
        <v>0</v>
      </c>
      <c r="U162" s="44">
        <f>SUM(B162:T162)</f>
        <v>8.1369035582039995E-3</v>
      </c>
    </row>
    <row r="163" spans="1:21" x14ac:dyDescent="0.2">
      <c r="A163" s="52" t="s">
        <v>175</v>
      </c>
      <c r="B163" s="44">
        <v>34.199968209284606</v>
      </c>
      <c r="C163" s="44">
        <v>0</v>
      </c>
      <c r="D163" s="44">
        <v>0</v>
      </c>
      <c r="E163" s="44">
        <v>0</v>
      </c>
      <c r="F163" s="44">
        <v>0</v>
      </c>
      <c r="G163" s="44">
        <v>0</v>
      </c>
      <c r="H163" s="44">
        <v>0</v>
      </c>
      <c r="I163" s="44">
        <v>0</v>
      </c>
      <c r="J163" s="44">
        <v>0</v>
      </c>
      <c r="K163" s="44">
        <v>0</v>
      </c>
      <c r="L163" s="44">
        <v>0</v>
      </c>
      <c r="M163" s="44">
        <v>0</v>
      </c>
      <c r="N163" s="44">
        <v>0</v>
      </c>
      <c r="O163" s="44">
        <v>0</v>
      </c>
      <c r="P163" s="44">
        <v>0</v>
      </c>
      <c r="Q163" s="44">
        <v>0</v>
      </c>
      <c r="R163" s="44">
        <v>0</v>
      </c>
      <c r="S163" s="44">
        <v>0</v>
      </c>
      <c r="T163" s="44">
        <v>0</v>
      </c>
      <c r="U163" s="44">
        <f>SUM(B163:T163)</f>
        <v>34.199968209284606</v>
      </c>
    </row>
    <row r="164" spans="1:21" x14ac:dyDescent="0.2">
      <c r="A164" s="52" t="s">
        <v>176</v>
      </c>
      <c r="B164" s="44">
        <v>-166.48400114211884</v>
      </c>
      <c r="C164" s="44">
        <v>0</v>
      </c>
      <c r="D164" s="44">
        <v>0</v>
      </c>
      <c r="E164" s="44">
        <v>0</v>
      </c>
      <c r="F164" s="44">
        <v>0</v>
      </c>
      <c r="G164" s="44">
        <v>0</v>
      </c>
      <c r="H164" s="44">
        <v>0</v>
      </c>
      <c r="I164" s="44">
        <v>0</v>
      </c>
      <c r="J164" s="44">
        <v>0</v>
      </c>
      <c r="K164" s="44">
        <v>0</v>
      </c>
      <c r="L164" s="44">
        <v>0</v>
      </c>
      <c r="M164" s="44">
        <v>0</v>
      </c>
      <c r="N164" s="44">
        <v>0</v>
      </c>
      <c r="O164" s="44">
        <v>0</v>
      </c>
      <c r="P164" s="44">
        <v>0</v>
      </c>
      <c r="Q164" s="44">
        <v>0</v>
      </c>
      <c r="R164" s="44">
        <v>0</v>
      </c>
      <c r="S164" s="44">
        <v>0</v>
      </c>
      <c r="T164" s="44">
        <v>0</v>
      </c>
      <c r="U164" s="44">
        <f>SUM(B164:T164)</f>
        <v>-166.48400114211884</v>
      </c>
    </row>
    <row r="165" spans="1:21" ht="10.5" x14ac:dyDescent="0.25">
      <c r="A165" s="47" t="s">
        <v>177</v>
      </c>
      <c r="B165" s="46">
        <f t="shared" ref="B165:U165" si="31">SUM(B162:B164)</f>
        <v>-132.27589602927603</v>
      </c>
      <c r="C165" s="46">
        <f t="shared" si="31"/>
        <v>0</v>
      </c>
      <c r="D165" s="46">
        <f t="shared" si="31"/>
        <v>0</v>
      </c>
      <c r="E165" s="46">
        <f t="shared" si="31"/>
        <v>0</v>
      </c>
      <c r="F165" s="46">
        <f t="shared" si="31"/>
        <v>0</v>
      </c>
      <c r="G165" s="46">
        <f t="shared" si="31"/>
        <v>0</v>
      </c>
      <c r="H165" s="46">
        <f t="shared" si="31"/>
        <v>0</v>
      </c>
      <c r="I165" s="46">
        <f t="shared" si="31"/>
        <v>0</v>
      </c>
      <c r="J165" s="46">
        <f t="shared" si="31"/>
        <v>0</v>
      </c>
      <c r="K165" s="46">
        <f t="shared" si="31"/>
        <v>0</v>
      </c>
      <c r="L165" s="46">
        <f t="shared" si="31"/>
        <v>0</v>
      </c>
      <c r="M165" s="46">
        <f t="shared" si="31"/>
        <v>0</v>
      </c>
      <c r="N165" s="46">
        <f t="shared" si="31"/>
        <v>0</v>
      </c>
      <c r="O165" s="46">
        <f t="shared" si="31"/>
        <v>0</v>
      </c>
      <c r="P165" s="46">
        <f t="shared" si="31"/>
        <v>0</v>
      </c>
      <c r="Q165" s="46">
        <f t="shared" si="31"/>
        <v>0</v>
      </c>
      <c r="R165" s="46">
        <f t="shared" si="31"/>
        <v>0</v>
      </c>
      <c r="S165" s="46">
        <f t="shared" si="31"/>
        <v>0</v>
      </c>
      <c r="T165" s="46">
        <f t="shared" si="31"/>
        <v>0</v>
      </c>
      <c r="U165" s="46">
        <f t="shared" si="31"/>
        <v>-132.27589602927603</v>
      </c>
    </row>
    <row r="166" spans="1:21" ht="10.5" x14ac:dyDescent="0.25">
      <c r="A166" s="48" t="s">
        <v>178</v>
      </c>
      <c r="B166" s="46">
        <f t="shared" ref="B166:U166" si="32">SUM(B165)</f>
        <v>-132.27589602927603</v>
      </c>
      <c r="C166" s="46">
        <f t="shared" si="32"/>
        <v>0</v>
      </c>
      <c r="D166" s="46">
        <f t="shared" si="32"/>
        <v>0</v>
      </c>
      <c r="E166" s="46">
        <f t="shared" si="32"/>
        <v>0</v>
      </c>
      <c r="F166" s="46">
        <f t="shared" si="32"/>
        <v>0</v>
      </c>
      <c r="G166" s="46">
        <f t="shared" si="32"/>
        <v>0</v>
      </c>
      <c r="H166" s="46">
        <f t="shared" si="32"/>
        <v>0</v>
      </c>
      <c r="I166" s="46">
        <f t="shared" si="32"/>
        <v>0</v>
      </c>
      <c r="J166" s="46">
        <f t="shared" si="32"/>
        <v>0</v>
      </c>
      <c r="K166" s="46">
        <f t="shared" si="32"/>
        <v>0</v>
      </c>
      <c r="L166" s="46">
        <f t="shared" si="32"/>
        <v>0</v>
      </c>
      <c r="M166" s="46">
        <f t="shared" si="32"/>
        <v>0</v>
      </c>
      <c r="N166" s="46">
        <f t="shared" si="32"/>
        <v>0</v>
      </c>
      <c r="O166" s="46">
        <f t="shared" si="32"/>
        <v>0</v>
      </c>
      <c r="P166" s="46">
        <f t="shared" si="32"/>
        <v>0</v>
      </c>
      <c r="Q166" s="46">
        <f t="shared" si="32"/>
        <v>0</v>
      </c>
      <c r="R166" s="46">
        <f t="shared" si="32"/>
        <v>0</v>
      </c>
      <c r="S166" s="46">
        <f t="shared" si="32"/>
        <v>0</v>
      </c>
      <c r="T166" s="46">
        <f t="shared" si="32"/>
        <v>0</v>
      </c>
      <c r="U166" s="46">
        <f t="shared" si="32"/>
        <v>-132.27589602927603</v>
      </c>
    </row>
    <row r="167" spans="1:21" ht="10.5" x14ac:dyDescent="0.25">
      <c r="A167" s="38" t="s">
        <v>179</v>
      </c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</row>
    <row r="168" spans="1:21" x14ac:dyDescent="0.2">
      <c r="A168" s="56" t="s">
        <v>180</v>
      </c>
      <c r="B168" s="44">
        <v>-1711.517523259236</v>
      </c>
      <c r="C168" s="44">
        <v>0</v>
      </c>
      <c r="D168" s="44">
        <v>0</v>
      </c>
      <c r="E168" s="44">
        <v>0</v>
      </c>
      <c r="F168" s="44">
        <v>0</v>
      </c>
      <c r="G168" s="44">
        <v>0</v>
      </c>
      <c r="H168" s="44">
        <v>0</v>
      </c>
      <c r="I168" s="44">
        <v>0</v>
      </c>
      <c r="J168" s="44">
        <v>0</v>
      </c>
      <c r="K168" s="44">
        <v>0</v>
      </c>
      <c r="L168" s="44">
        <v>0</v>
      </c>
      <c r="M168" s="44">
        <v>0</v>
      </c>
      <c r="N168" s="44">
        <v>0</v>
      </c>
      <c r="O168" s="44">
        <v>0</v>
      </c>
      <c r="P168" s="44">
        <v>0</v>
      </c>
      <c r="Q168" s="44">
        <v>0</v>
      </c>
      <c r="R168" s="44">
        <v>0</v>
      </c>
      <c r="S168" s="44">
        <v>0</v>
      </c>
      <c r="T168" s="44">
        <v>0</v>
      </c>
      <c r="U168" s="44">
        <f>SUM(B168:T168)</f>
        <v>-1711.517523259236</v>
      </c>
    </row>
    <row r="169" spans="1:21" ht="10.5" x14ac:dyDescent="0.25">
      <c r="A169" s="39" t="s">
        <v>181</v>
      </c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</row>
    <row r="170" spans="1:21" x14ac:dyDescent="0.2">
      <c r="A170" s="52" t="s">
        <v>182</v>
      </c>
      <c r="B170" s="44">
        <v>5207.7309520479448</v>
      </c>
      <c r="C170" s="44">
        <v>0</v>
      </c>
      <c r="D170" s="44">
        <v>0</v>
      </c>
      <c r="E170" s="44">
        <v>0</v>
      </c>
      <c r="F170" s="44">
        <v>0</v>
      </c>
      <c r="G170" s="44">
        <v>0</v>
      </c>
      <c r="H170" s="44">
        <v>0</v>
      </c>
      <c r="I170" s="44">
        <v>0</v>
      </c>
      <c r="J170" s="44">
        <v>0</v>
      </c>
      <c r="K170" s="44">
        <v>0</v>
      </c>
      <c r="L170" s="44">
        <v>0</v>
      </c>
      <c r="M170" s="44">
        <v>0</v>
      </c>
      <c r="N170" s="44">
        <v>0</v>
      </c>
      <c r="O170" s="44">
        <v>0</v>
      </c>
      <c r="P170" s="44">
        <v>0</v>
      </c>
      <c r="Q170" s="44">
        <v>0</v>
      </c>
      <c r="R170" s="44">
        <v>0</v>
      </c>
      <c r="S170" s="44">
        <v>0</v>
      </c>
      <c r="T170" s="44">
        <v>0</v>
      </c>
      <c r="U170" s="44">
        <f>SUM(B170:T170)</f>
        <v>5207.7309520479448</v>
      </c>
    </row>
    <row r="171" spans="1:21" ht="10.5" x14ac:dyDescent="0.25">
      <c r="A171" s="47" t="s">
        <v>183</v>
      </c>
      <c r="B171" s="46">
        <f t="shared" ref="B171:U171" si="33">SUM(B170)</f>
        <v>5207.7309520479448</v>
      </c>
      <c r="C171" s="46">
        <f t="shared" si="33"/>
        <v>0</v>
      </c>
      <c r="D171" s="46">
        <f t="shared" si="33"/>
        <v>0</v>
      </c>
      <c r="E171" s="46">
        <f t="shared" si="33"/>
        <v>0</v>
      </c>
      <c r="F171" s="46">
        <f t="shared" si="33"/>
        <v>0</v>
      </c>
      <c r="G171" s="46">
        <f t="shared" si="33"/>
        <v>0</v>
      </c>
      <c r="H171" s="46">
        <f t="shared" si="33"/>
        <v>0</v>
      </c>
      <c r="I171" s="46">
        <f t="shared" si="33"/>
        <v>0</v>
      </c>
      <c r="J171" s="46">
        <f t="shared" si="33"/>
        <v>0</v>
      </c>
      <c r="K171" s="46">
        <f t="shared" si="33"/>
        <v>0</v>
      </c>
      <c r="L171" s="46">
        <f t="shared" si="33"/>
        <v>0</v>
      </c>
      <c r="M171" s="46">
        <f t="shared" si="33"/>
        <v>0</v>
      </c>
      <c r="N171" s="46">
        <f t="shared" si="33"/>
        <v>0</v>
      </c>
      <c r="O171" s="46">
        <f t="shared" si="33"/>
        <v>0</v>
      </c>
      <c r="P171" s="46">
        <f t="shared" si="33"/>
        <v>0</v>
      </c>
      <c r="Q171" s="46">
        <f t="shared" si="33"/>
        <v>0</v>
      </c>
      <c r="R171" s="46">
        <f t="shared" si="33"/>
        <v>0</v>
      </c>
      <c r="S171" s="46">
        <f t="shared" si="33"/>
        <v>0</v>
      </c>
      <c r="T171" s="46">
        <f t="shared" si="33"/>
        <v>0</v>
      </c>
      <c r="U171" s="46">
        <f t="shared" si="33"/>
        <v>5207.7309520479448</v>
      </c>
    </row>
    <row r="172" spans="1:21" x14ac:dyDescent="0.2">
      <c r="A172" s="56" t="s">
        <v>184</v>
      </c>
      <c r="B172" s="44">
        <v>7.1698748553657751E-2</v>
      </c>
      <c r="C172" s="44">
        <v>0</v>
      </c>
      <c r="D172" s="44">
        <v>0</v>
      </c>
      <c r="E172" s="44">
        <v>-1.0390165905676761E-2</v>
      </c>
      <c r="F172" s="44">
        <v>0</v>
      </c>
      <c r="G172" s="44">
        <v>0</v>
      </c>
      <c r="H172" s="44">
        <v>0</v>
      </c>
      <c r="I172" s="44">
        <v>0</v>
      </c>
      <c r="J172" s="44">
        <v>0</v>
      </c>
      <c r="K172" s="44">
        <v>0</v>
      </c>
      <c r="L172" s="44">
        <v>0</v>
      </c>
      <c r="M172" s="44">
        <v>0</v>
      </c>
      <c r="N172" s="44">
        <v>0</v>
      </c>
      <c r="O172" s="44">
        <v>0</v>
      </c>
      <c r="P172" s="44">
        <v>0</v>
      </c>
      <c r="Q172" s="44">
        <v>0</v>
      </c>
      <c r="R172" s="44">
        <v>0</v>
      </c>
      <c r="S172" s="44">
        <v>0</v>
      </c>
      <c r="T172" s="44">
        <v>5.6542170484244682E-2</v>
      </c>
      <c r="U172" s="44">
        <f>SUM(B172:T172)</f>
        <v>0.11785075313222568</v>
      </c>
    </row>
    <row r="173" spans="1:21" x14ac:dyDescent="0.2">
      <c r="A173" s="56" t="s">
        <v>185</v>
      </c>
      <c r="B173" s="44">
        <v>-9691.8853742340434</v>
      </c>
      <c r="C173" s="44">
        <v>0</v>
      </c>
      <c r="D173" s="44">
        <v>0</v>
      </c>
      <c r="E173" s="44">
        <v>0</v>
      </c>
      <c r="F173" s="44">
        <v>0</v>
      </c>
      <c r="G173" s="44">
        <v>0</v>
      </c>
      <c r="H173" s="44">
        <v>0</v>
      </c>
      <c r="I173" s="44">
        <v>0</v>
      </c>
      <c r="J173" s="44">
        <v>0</v>
      </c>
      <c r="K173" s="44">
        <v>0</v>
      </c>
      <c r="L173" s="44">
        <v>0</v>
      </c>
      <c r="M173" s="44">
        <v>0</v>
      </c>
      <c r="N173" s="44">
        <v>0</v>
      </c>
      <c r="O173" s="44">
        <v>0</v>
      </c>
      <c r="P173" s="44">
        <v>0</v>
      </c>
      <c r="Q173" s="44">
        <v>0</v>
      </c>
      <c r="R173" s="44">
        <v>0</v>
      </c>
      <c r="S173" s="44">
        <v>0</v>
      </c>
      <c r="T173" s="44">
        <v>1009.73</v>
      </c>
      <c r="U173" s="44">
        <f>SUM(B173:T173)</f>
        <v>-8682.1553742340438</v>
      </c>
    </row>
    <row r="174" spans="1:21" ht="10.5" x14ac:dyDescent="0.25">
      <c r="A174" s="48" t="s">
        <v>186</v>
      </c>
      <c r="B174" s="46">
        <f t="shared" ref="B174:U174" si="34">SUM(B168,B171:B173)</f>
        <v>-6195.6002466967811</v>
      </c>
      <c r="C174" s="46">
        <f t="shared" si="34"/>
        <v>0</v>
      </c>
      <c r="D174" s="46">
        <f t="shared" si="34"/>
        <v>0</v>
      </c>
      <c r="E174" s="46">
        <f t="shared" si="34"/>
        <v>-1.0390165905676761E-2</v>
      </c>
      <c r="F174" s="46">
        <f t="shared" si="34"/>
        <v>0</v>
      </c>
      <c r="G174" s="46">
        <f t="shared" si="34"/>
        <v>0</v>
      </c>
      <c r="H174" s="46">
        <f t="shared" si="34"/>
        <v>0</v>
      </c>
      <c r="I174" s="46">
        <f t="shared" si="34"/>
        <v>0</v>
      </c>
      <c r="J174" s="46">
        <f t="shared" si="34"/>
        <v>0</v>
      </c>
      <c r="K174" s="46">
        <f t="shared" si="34"/>
        <v>0</v>
      </c>
      <c r="L174" s="46">
        <f t="shared" si="34"/>
        <v>0</v>
      </c>
      <c r="M174" s="46">
        <f t="shared" si="34"/>
        <v>0</v>
      </c>
      <c r="N174" s="46">
        <f t="shared" si="34"/>
        <v>0</v>
      </c>
      <c r="O174" s="46">
        <f t="shared" si="34"/>
        <v>0</v>
      </c>
      <c r="P174" s="46">
        <f t="shared" si="34"/>
        <v>0</v>
      </c>
      <c r="Q174" s="46">
        <f t="shared" si="34"/>
        <v>0</v>
      </c>
      <c r="R174" s="46">
        <f t="shared" si="34"/>
        <v>0</v>
      </c>
      <c r="S174" s="46">
        <f t="shared" si="34"/>
        <v>0</v>
      </c>
      <c r="T174" s="46">
        <f t="shared" si="34"/>
        <v>1009.7865421704843</v>
      </c>
      <c r="U174" s="46">
        <f t="shared" si="34"/>
        <v>-5185.8240946922033</v>
      </c>
    </row>
    <row r="175" spans="1:21" ht="10.5" x14ac:dyDescent="0.2">
      <c r="A175" s="50" t="s">
        <v>187</v>
      </c>
      <c r="B175" s="51">
        <f t="shared" ref="B175:U175" si="35">B166-B174</f>
        <v>6063.3243506675053</v>
      </c>
      <c r="C175" s="51">
        <f t="shared" si="35"/>
        <v>0</v>
      </c>
      <c r="D175" s="51">
        <f t="shared" si="35"/>
        <v>0</v>
      </c>
      <c r="E175" s="51">
        <f t="shared" si="35"/>
        <v>1.0390165905676761E-2</v>
      </c>
      <c r="F175" s="51">
        <f t="shared" si="35"/>
        <v>0</v>
      </c>
      <c r="G175" s="51">
        <f t="shared" si="35"/>
        <v>0</v>
      </c>
      <c r="H175" s="51">
        <f t="shared" si="35"/>
        <v>0</v>
      </c>
      <c r="I175" s="51">
        <f t="shared" si="35"/>
        <v>0</v>
      </c>
      <c r="J175" s="51">
        <f t="shared" si="35"/>
        <v>0</v>
      </c>
      <c r="K175" s="51">
        <f t="shared" si="35"/>
        <v>0</v>
      </c>
      <c r="L175" s="51">
        <f t="shared" si="35"/>
        <v>0</v>
      </c>
      <c r="M175" s="51">
        <f t="shared" si="35"/>
        <v>0</v>
      </c>
      <c r="N175" s="51">
        <f t="shared" si="35"/>
        <v>0</v>
      </c>
      <c r="O175" s="51">
        <f t="shared" si="35"/>
        <v>0</v>
      </c>
      <c r="P175" s="51">
        <f t="shared" si="35"/>
        <v>0</v>
      </c>
      <c r="Q175" s="51">
        <f t="shared" si="35"/>
        <v>0</v>
      </c>
      <c r="R175" s="51">
        <f t="shared" si="35"/>
        <v>0</v>
      </c>
      <c r="S175" s="51">
        <f t="shared" si="35"/>
        <v>0</v>
      </c>
      <c r="T175" s="51">
        <f t="shared" si="35"/>
        <v>-1009.7865421704843</v>
      </c>
      <c r="U175" s="51">
        <f t="shared" si="35"/>
        <v>5053.5481986629275</v>
      </c>
    </row>
    <row r="176" spans="1:21" ht="10.5" x14ac:dyDescent="0.2">
      <c r="A176" s="50" t="s">
        <v>47</v>
      </c>
      <c r="B176" s="51">
        <f t="shared" ref="B176:U176" si="36">B158+B175</f>
        <v>-3699756.5849330178</v>
      </c>
      <c r="C176" s="51">
        <f t="shared" si="36"/>
        <v>4318.7375122081194</v>
      </c>
      <c r="D176" s="51">
        <f t="shared" si="36"/>
        <v>1538.34151891489</v>
      </c>
      <c r="E176" s="51">
        <f t="shared" si="36"/>
        <v>2829885.0501750894</v>
      </c>
      <c r="F176" s="51">
        <f t="shared" si="36"/>
        <v>18330.571902978809</v>
      </c>
      <c r="G176" s="51">
        <f t="shared" si="36"/>
        <v>116216.35128710631</v>
      </c>
      <c r="H176" s="51">
        <f t="shared" si="36"/>
        <v>-3176.1677658519884</v>
      </c>
      <c r="I176" s="51">
        <f t="shared" si="36"/>
        <v>4129.902394006941</v>
      </c>
      <c r="J176" s="51">
        <f t="shared" si="36"/>
        <v>21.035578110763026</v>
      </c>
      <c r="K176" s="51">
        <f t="shared" si="36"/>
        <v>5824.2792018158361</v>
      </c>
      <c r="L176" s="51">
        <f t="shared" si="36"/>
        <v>-58173.883933554062</v>
      </c>
      <c r="M176" s="51">
        <f t="shared" si="36"/>
        <v>12322.693916321514</v>
      </c>
      <c r="N176" s="51">
        <f t="shared" si="36"/>
        <v>-65237.686606012285</v>
      </c>
      <c r="O176" s="51">
        <f t="shared" si="36"/>
        <v>57.534818259577662</v>
      </c>
      <c r="P176" s="51">
        <f t="shared" si="36"/>
        <v>3255.9408214226255</v>
      </c>
      <c r="Q176" s="51">
        <f t="shared" si="36"/>
        <v>-48618.188636294093</v>
      </c>
      <c r="R176" s="51">
        <f t="shared" si="36"/>
        <v>33617.761567577552</v>
      </c>
      <c r="S176" s="51">
        <f t="shared" si="36"/>
        <v>53.248043354948095</v>
      </c>
      <c r="T176" s="51">
        <f t="shared" si="36"/>
        <v>-226881.73214340824</v>
      </c>
      <c r="U176" s="51">
        <f t="shared" si="36"/>
        <v>-1072272.7952809713</v>
      </c>
    </row>
  </sheetData>
  <mergeCells count="6">
    <mergeCell ref="A6:U6"/>
    <mergeCell ref="A1:U1"/>
    <mergeCell ref="A2:U2"/>
    <mergeCell ref="A3:U3"/>
    <mergeCell ref="A4:U4"/>
    <mergeCell ref="A5:U5"/>
  </mergeCell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66413-CAB8-4E74-8AC9-E218FB7C095C}">
  <sheetPr codeName="Sheet7"/>
  <dimension ref="A1:AC178"/>
  <sheetViews>
    <sheetView workbookViewId="0">
      <selection sqref="A1:AC1"/>
    </sheetView>
  </sheetViews>
  <sheetFormatPr defaultRowHeight="10" x14ac:dyDescent="0.2"/>
  <cols>
    <col min="1" max="1" width="41.1796875" style="1" bestFit="1" customWidth="1"/>
    <col min="2" max="2" width="10.54296875" style="1" bestFit="1" customWidth="1"/>
    <col min="3" max="3" width="9" style="1" bestFit="1" customWidth="1"/>
    <col min="4" max="5" width="9.81640625" style="1" bestFit="1" customWidth="1"/>
    <col min="6" max="6" width="8.1796875" style="1" bestFit="1" customWidth="1"/>
    <col min="7" max="7" width="7.7265625" style="1" bestFit="1" customWidth="1"/>
    <col min="8" max="8" width="10.54296875" style="1" bestFit="1" customWidth="1"/>
    <col min="9" max="9" width="7.7265625" style="1" bestFit="1" customWidth="1"/>
    <col min="10" max="10" width="10.54296875" style="1" bestFit="1" customWidth="1"/>
    <col min="11" max="11" width="9" style="1" bestFit="1" customWidth="1"/>
    <col min="12" max="12" width="8.54296875" style="1" bestFit="1" customWidth="1"/>
    <col min="13" max="13" width="8.1796875" style="1" bestFit="1" customWidth="1"/>
    <col min="14" max="15" width="11" style="1" bestFit="1" customWidth="1"/>
    <col min="16" max="16" width="9" style="1" bestFit="1" customWidth="1"/>
    <col min="17" max="17" width="8.1796875" style="1" bestFit="1" customWidth="1"/>
    <col min="18" max="18" width="9" style="1" bestFit="1" customWidth="1"/>
    <col min="19" max="19" width="8.36328125" style="1" bestFit="1" customWidth="1"/>
    <col min="20" max="20" width="9" style="1" bestFit="1" customWidth="1"/>
    <col min="21" max="21" width="9.36328125" style="1" bestFit="1" customWidth="1"/>
    <col min="22" max="22" width="8.54296875" style="1" bestFit="1" customWidth="1"/>
    <col min="23" max="23" width="9.81640625" style="1" bestFit="1" customWidth="1"/>
    <col min="24" max="24" width="11.1796875" style="1" bestFit="1" customWidth="1"/>
    <col min="25" max="25" width="10.81640625" style="1" bestFit="1" customWidth="1"/>
    <col min="26" max="27" width="10.54296875" style="1" bestFit="1" customWidth="1"/>
    <col min="28" max="28" width="14" style="1" bestFit="1" customWidth="1"/>
    <col min="29" max="29" width="11" style="1" bestFit="1" customWidth="1"/>
    <col min="30" max="16384" width="8.7265625" style="1"/>
  </cols>
  <sheetData>
    <row r="1" spans="1:29" ht="15.5" x14ac:dyDescent="0.35">
      <c r="A1" s="62" t="s">
        <v>0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</row>
    <row r="2" spans="1:29" ht="15.5" x14ac:dyDescent="0.35">
      <c r="A2" s="62" t="s">
        <v>1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</row>
    <row r="3" spans="1:29" ht="18" x14ac:dyDescent="0.4">
      <c r="A3" s="63" t="s">
        <v>48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</row>
    <row r="4" spans="1:29" ht="18" x14ac:dyDescent="0.4">
      <c r="A4" s="63" t="s">
        <v>199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</row>
    <row r="5" spans="1:29" ht="18" x14ac:dyDescent="0.4">
      <c r="A5" s="63" t="s">
        <v>2</v>
      </c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</row>
    <row r="6" spans="1:29" ht="18" x14ac:dyDescent="0.4">
      <c r="A6" s="63" t="s">
        <v>2</v>
      </c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</row>
    <row r="7" spans="1:29" x14ac:dyDescent="0.2">
      <c r="A7" s="27" t="s">
        <v>3</v>
      </c>
      <c r="B7" s="32" t="s">
        <v>188</v>
      </c>
      <c r="C7" s="67" t="s">
        <v>191</v>
      </c>
      <c r="D7" s="67"/>
      <c r="E7" s="67"/>
      <c r="F7" s="67"/>
      <c r="G7" s="67"/>
      <c r="H7" s="67"/>
      <c r="I7" s="67"/>
      <c r="J7" s="67"/>
      <c r="K7" s="67" t="s">
        <v>192</v>
      </c>
      <c r="L7" s="67"/>
      <c r="M7" s="67"/>
      <c r="N7" s="67"/>
      <c r="O7" s="67"/>
      <c r="P7" s="67" t="s">
        <v>193</v>
      </c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32" t="s">
        <v>21</v>
      </c>
      <c r="AC7" s="32" t="s">
        <v>51</v>
      </c>
    </row>
    <row r="8" spans="1:29" x14ac:dyDescent="0.2">
      <c r="A8" s="27" t="s">
        <v>49</v>
      </c>
      <c r="B8" s="66" t="s">
        <v>10</v>
      </c>
      <c r="C8" s="66" t="s">
        <v>10</v>
      </c>
      <c r="D8" s="32" t="s">
        <v>38</v>
      </c>
      <c r="E8" s="32" t="s">
        <v>194</v>
      </c>
      <c r="F8" s="32" t="s">
        <v>298</v>
      </c>
      <c r="G8" s="32" t="s">
        <v>209</v>
      </c>
      <c r="H8" s="32" t="s">
        <v>35</v>
      </c>
      <c r="I8" s="32" t="s">
        <v>205</v>
      </c>
      <c r="J8" s="32" t="s">
        <v>51</v>
      </c>
      <c r="K8" s="66" t="s">
        <v>10</v>
      </c>
      <c r="L8" s="32" t="s">
        <v>32</v>
      </c>
      <c r="M8" s="32" t="s">
        <v>34</v>
      </c>
      <c r="N8" s="32" t="s">
        <v>36</v>
      </c>
      <c r="O8" s="32" t="s">
        <v>51</v>
      </c>
      <c r="P8" s="66" t="s">
        <v>10</v>
      </c>
      <c r="Q8" s="67" t="s">
        <v>195</v>
      </c>
      <c r="R8" s="67"/>
      <c r="S8" s="67"/>
      <c r="T8" s="67"/>
      <c r="U8" s="67" t="s">
        <v>27</v>
      </c>
      <c r="V8" s="67"/>
      <c r="W8" s="67"/>
      <c r="X8" s="67"/>
      <c r="Y8" s="67"/>
      <c r="Z8" s="67"/>
      <c r="AA8" s="32" t="s">
        <v>51</v>
      </c>
      <c r="AB8" s="66" t="s">
        <v>10</v>
      </c>
      <c r="AC8" s="66" t="s">
        <v>10</v>
      </c>
    </row>
    <row r="9" spans="1:29" x14ac:dyDescent="0.2">
      <c r="A9" s="27" t="s">
        <v>49</v>
      </c>
      <c r="B9" s="66"/>
      <c r="C9" s="66"/>
      <c r="D9" s="66" t="s">
        <v>10</v>
      </c>
      <c r="E9" s="66" t="s">
        <v>10</v>
      </c>
      <c r="F9" s="66" t="s">
        <v>10</v>
      </c>
      <c r="G9" s="66" t="s">
        <v>10</v>
      </c>
      <c r="H9" s="66" t="s">
        <v>10</v>
      </c>
      <c r="I9" s="66" t="s">
        <v>10</v>
      </c>
      <c r="J9" s="66" t="s">
        <v>10</v>
      </c>
      <c r="K9" s="66"/>
      <c r="L9" s="66" t="s">
        <v>10</v>
      </c>
      <c r="M9" s="66" t="s">
        <v>10</v>
      </c>
      <c r="N9" s="66" t="s">
        <v>10</v>
      </c>
      <c r="O9" s="66" t="s">
        <v>10</v>
      </c>
      <c r="P9" s="66"/>
      <c r="Q9" s="66" t="s">
        <v>10</v>
      </c>
      <c r="R9" s="32" t="s">
        <v>42</v>
      </c>
      <c r="S9" s="32" t="s">
        <v>236</v>
      </c>
      <c r="T9" s="32" t="s">
        <v>51</v>
      </c>
      <c r="U9" s="66" t="s">
        <v>10</v>
      </c>
      <c r="V9" s="32" t="s">
        <v>39</v>
      </c>
      <c r="W9" s="32" t="s">
        <v>23</v>
      </c>
      <c r="X9" s="32" t="s">
        <v>299</v>
      </c>
      <c r="Y9" s="32" t="s">
        <v>19</v>
      </c>
      <c r="Z9" s="32" t="s">
        <v>51</v>
      </c>
      <c r="AA9" s="66" t="s">
        <v>10</v>
      </c>
      <c r="AB9" s="66"/>
      <c r="AC9" s="66"/>
    </row>
    <row r="10" spans="1:29" x14ac:dyDescent="0.2">
      <c r="A10" s="27" t="s">
        <v>49</v>
      </c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32" t="s">
        <v>10</v>
      </c>
      <c r="S10" s="32" t="s">
        <v>10</v>
      </c>
      <c r="T10" s="32" t="s">
        <v>10</v>
      </c>
      <c r="U10" s="66"/>
      <c r="V10" s="32" t="s">
        <v>10</v>
      </c>
      <c r="W10" s="32" t="s">
        <v>10</v>
      </c>
      <c r="X10" s="32" t="s">
        <v>10</v>
      </c>
      <c r="Y10" s="32" t="s">
        <v>10</v>
      </c>
      <c r="Z10" s="32" t="s">
        <v>10</v>
      </c>
      <c r="AA10" s="66"/>
      <c r="AB10" s="66"/>
      <c r="AC10" s="66"/>
    </row>
    <row r="11" spans="1:29" ht="10.5" x14ac:dyDescent="0.2">
      <c r="A11" s="4" t="s">
        <v>13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0.5" x14ac:dyDescent="0.25">
      <c r="A12" s="7" t="s">
        <v>56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10.5" x14ac:dyDescent="0.25">
      <c r="A13" s="8" t="s">
        <v>57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x14ac:dyDescent="0.2">
      <c r="A14" s="9" t="s">
        <v>58</v>
      </c>
      <c r="B14" s="10">
        <v>0</v>
      </c>
      <c r="C14" s="10">
        <v>69.749262425156232</v>
      </c>
      <c r="D14" s="11">
        <f>PLperRegion!D14-InternalSalesPerRegion!C2</f>
        <v>40202.517873949706</v>
      </c>
      <c r="E14" s="10">
        <v>39985.059787780381</v>
      </c>
      <c r="F14" s="10">
        <v>0</v>
      </c>
      <c r="G14" s="10">
        <v>4990.9728560789436</v>
      </c>
      <c r="H14" s="11">
        <f>PLperRegion!H14-InternalSalesPerRegion!E2</f>
        <v>3249761.2109150104</v>
      </c>
      <c r="I14" s="10">
        <v>8.1761705783597485</v>
      </c>
      <c r="J14" s="10">
        <f>SUM(C14:I14)</f>
        <v>3335017.6868658229</v>
      </c>
      <c r="K14" s="11">
        <f>PLperRegion!K14-InternalSalesPerRegion!H2</f>
        <v>-111.24265527133983</v>
      </c>
      <c r="L14" s="10">
        <v>36043.764518082608</v>
      </c>
      <c r="M14" s="10">
        <v>0</v>
      </c>
      <c r="N14" s="11">
        <f>PLperRegion!N14-InternalSalesPerRegion!D2</f>
        <v>271222.34732719872</v>
      </c>
      <c r="O14" s="10">
        <f>SUM(K14:N14)</f>
        <v>307154.86919001001</v>
      </c>
      <c r="P14" s="10">
        <v>-13826.359035649981</v>
      </c>
      <c r="Q14" s="10">
        <v>0</v>
      </c>
      <c r="R14" s="10">
        <v>0</v>
      </c>
      <c r="S14" s="10">
        <v>3816.1433465524046</v>
      </c>
      <c r="T14" s="10">
        <f>SUM(Q14:S14)</f>
        <v>3816.1433465524046</v>
      </c>
      <c r="U14" s="11">
        <f>PLperRegion!U14-InternalSalesPerRegion!F2</f>
        <v>650013.22714373167</v>
      </c>
      <c r="V14" s="10">
        <v>11556.87097955151</v>
      </c>
      <c r="W14" s="11">
        <f>PLperRegion!W14-InternalSalesPerRegion!G2</f>
        <v>463043.72993630887</v>
      </c>
      <c r="X14" s="10">
        <v>0</v>
      </c>
      <c r="Y14" s="10">
        <v>-11072.987997511231</v>
      </c>
      <c r="Z14" s="10">
        <f>SUM(U14:Y14)</f>
        <v>1113540.8400620809</v>
      </c>
      <c r="AA14" s="10">
        <f>SUM(P14,T14,Z14)</f>
        <v>1103530.6243729834</v>
      </c>
      <c r="AB14" s="11">
        <f>PLperRegion!AB14-InternalSalesPerRegion!B2</f>
        <v>-31987.634492807847</v>
      </c>
      <c r="AC14" s="10">
        <f>SUM(B14,J14,O14,AA14:AB14)</f>
        <v>4713715.545936008</v>
      </c>
    </row>
    <row r="15" spans="1:29" x14ac:dyDescent="0.2">
      <c r="A15" s="9" t="s">
        <v>59</v>
      </c>
      <c r="B15" s="10">
        <v>0</v>
      </c>
      <c r="C15" s="10">
        <v>0</v>
      </c>
      <c r="D15" s="10">
        <v>0</v>
      </c>
      <c r="E15" s="10">
        <v>34732.042741625788</v>
      </c>
      <c r="F15" s="10">
        <v>0</v>
      </c>
      <c r="G15" s="10">
        <v>0</v>
      </c>
      <c r="H15" s="10">
        <v>220203.26771896158</v>
      </c>
      <c r="I15" s="10">
        <v>5762.8052334454287</v>
      </c>
      <c r="J15" s="10">
        <f>SUM(C15:I15)</f>
        <v>260698.11569403281</v>
      </c>
      <c r="K15" s="10">
        <v>0</v>
      </c>
      <c r="L15" s="10">
        <v>0</v>
      </c>
      <c r="M15" s="10">
        <v>0</v>
      </c>
      <c r="N15" s="10">
        <v>4093.7333092925041</v>
      </c>
      <c r="O15" s="10">
        <f>SUM(K15:N15)</f>
        <v>4093.7333092925041</v>
      </c>
      <c r="P15" s="10">
        <v>0</v>
      </c>
      <c r="Q15" s="10">
        <v>0</v>
      </c>
      <c r="R15" s="10">
        <v>0</v>
      </c>
      <c r="S15" s="10">
        <v>0</v>
      </c>
      <c r="T15" s="10">
        <f>SUM(Q15:S15)</f>
        <v>0</v>
      </c>
      <c r="U15" s="10">
        <v>1922.5924012703185</v>
      </c>
      <c r="V15" s="10">
        <v>0</v>
      </c>
      <c r="W15" s="10">
        <v>21895.502315557653</v>
      </c>
      <c r="X15" s="10">
        <v>0</v>
      </c>
      <c r="Y15" s="10">
        <v>57.422436385242605</v>
      </c>
      <c r="Z15" s="10">
        <f>SUM(U15:Y15)</f>
        <v>23875.517153213212</v>
      </c>
      <c r="AA15" s="10">
        <f>SUM(P15,T15,Z15)</f>
        <v>23875.517153213212</v>
      </c>
      <c r="AB15" s="10">
        <v>-16892.002211741539</v>
      </c>
      <c r="AC15" s="10">
        <f>SUM(B15,J15,O15,AA15:AB15)</f>
        <v>271775.36394479702</v>
      </c>
    </row>
    <row r="16" spans="1:29" x14ac:dyDescent="0.2">
      <c r="A16" s="9" t="s">
        <v>61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f>SUM(C16:I16)</f>
        <v>0</v>
      </c>
      <c r="K16" s="10">
        <v>0</v>
      </c>
      <c r="L16" s="10">
        <v>0</v>
      </c>
      <c r="M16" s="10">
        <v>0</v>
      </c>
      <c r="N16" s="10">
        <v>242886.40635128049</v>
      </c>
      <c r="O16" s="10">
        <f>SUM(K16:N16)</f>
        <v>242886.40635128049</v>
      </c>
      <c r="P16" s="10">
        <v>0</v>
      </c>
      <c r="Q16" s="10">
        <v>0</v>
      </c>
      <c r="R16" s="10">
        <v>0</v>
      </c>
      <c r="S16" s="10">
        <v>0</v>
      </c>
      <c r="T16" s="10">
        <f>SUM(Q16:S16)</f>
        <v>0</v>
      </c>
      <c r="U16" s="10">
        <v>0</v>
      </c>
      <c r="V16" s="10">
        <v>0</v>
      </c>
      <c r="W16" s="10">
        <v>15610.40631209431</v>
      </c>
      <c r="X16" s="10">
        <v>0</v>
      </c>
      <c r="Y16" s="10">
        <v>0</v>
      </c>
      <c r="Z16" s="10">
        <f>SUM(U16:Y16)</f>
        <v>15610.40631209431</v>
      </c>
      <c r="AA16" s="10">
        <f>SUM(P16,T16,Z16)</f>
        <v>15610.40631209431</v>
      </c>
      <c r="AB16" s="10">
        <v>0</v>
      </c>
      <c r="AC16" s="10">
        <f>SUM(B16,J16,O16,AA16:AB16)</f>
        <v>258496.81266337479</v>
      </c>
    </row>
    <row r="17" spans="1:29" ht="10.5" x14ac:dyDescent="0.25">
      <c r="A17" s="12" t="s">
        <v>62</v>
      </c>
      <c r="B17" s="13">
        <f t="shared" ref="B17:AC17" si="0">SUM(B14:B16)</f>
        <v>0</v>
      </c>
      <c r="C17" s="13">
        <f t="shared" si="0"/>
        <v>69.749262425156232</v>
      </c>
      <c r="D17" s="13">
        <f t="shared" si="0"/>
        <v>40202.517873949706</v>
      </c>
      <c r="E17" s="13">
        <f t="shared" si="0"/>
        <v>74717.102529406169</v>
      </c>
      <c r="F17" s="13">
        <f t="shared" si="0"/>
        <v>0</v>
      </c>
      <c r="G17" s="13">
        <f t="shared" si="0"/>
        <v>4990.9728560789436</v>
      </c>
      <c r="H17" s="13">
        <f t="shared" si="0"/>
        <v>3469964.4786339719</v>
      </c>
      <c r="I17" s="13">
        <f t="shared" si="0"/>
        <v>5770.9814040237889</v>
      </c>
      <c r="J17" s="13">
        <f t="shared" si="0"/>
        <v>3595715.8025598559</v>
      </c>
      <c r="K17" s="13">
        <f t="shared" si="0"/>
        <v>-111.24265527133983</v>
      </c>
      <c r="L17" s="13">
        <f t="shared" si="0"/>
        <v>36043.764518082608</v>
      </c>
      <c r="M17" s="13">
        <f t="shared" si="0"/>
        <v>0</v>
      </c>
      <c r="N17" s="13">
        <f t="shared" si="0"/>
        <v>518202.4869877717</v>
      </c>
      <c r="O17" s="13">
        <f t="shared" si="0"/>
        <v>554135.00885058299</v>
      </c>
      <c r="P17" s="13">
        <f t="shared" si="0"/>
        <v>-13826.359035649981</v>
      </c>
      <c r="Q17" s="13">
        <f t="shared" si="0"/>
        <v>0</v>
      </c>
      <c r="R17" s="13">
        <f t="shared" si="0"/>
        <v>0</v>
      </c>
      <c r="S17" s="13">
        <f t="shared" si="0"/>
        <v>3816.1433465524046</v>
      </c>
      <c r="T17" s="13">
        <f t="shared" si="0"/>
        <v>3816.1433465524046</v>
      </c>
      <c r="U17" s="13">
        <f t="shared" si="0"/>
        <v>651935.81954500196</v>
      </c>
      <c r="V17" s="13">
        <f t="shared" si="0"/>
        <v>11556.87097955151</v>
      </c>
      <c r="W17" s="13">
        <f t="shared" si="0"/>
        <v>500549.63856396085</v>
      </c>
      <c r="X17" s="13">
        <f t="shared" si="0"/>
        <v>0</v>
      </c>
      <c r="Y17" s="13">
        <f t="shared" si="0"/>
        <v>-11015.565561125988</v>
      </c>
      <c r="Z17" s="13">
        <f t="shared" si="0"/>
        <v>1153026.7635273885</v>
      </c>
      <c r="AA17" s="13">
        <f t="shared" si="0"/>
        <v>1143016.5478382909</v>
      </c>
      <c r="AB17" s="13">
        <f t="shared" si="0"/>
        <v>-48879.636704549383</v>
      </c>
      <c r="AC17" s="13">
        <f t="shared" si="0"/>
        <v>5243987.7225441793</v>
      </c>
    </row>
    <row r="18" spans="1:29" ht="10.5" x14ac:dyDescent="0.25">
      <c r="A18" s="15" t="s">
        <v>63</v>
      </c>
      <c r="B18" s="13">
        <f t="shared" ref="B18:AC18" si="1">SUM(B17)</f>
        <v>0</v>
      </c>
      <c r="C18" s="13">
        <f t="shared" si="1"/>
        <v>69.749262425156232</v>
      </c>
      <c r="D18" s="13">
        <f t="shared" si="1"/>
        <v>40202.517873949706</v>
      </c>
      <c r="E18" s="13">
        <f t="shared" si="1"/>
        <v>74717.102529406169</v>
      </c>
      <c r="F18" s="13">
        <f t="shared" si="1"/>
        <v>0</v>
      </c>
      <c r="G18" s="13">
        <f t="shared" si="1"/>
        <v>4990.9728560789436</v>
      </c>
      <c r="H18" s="13">
        <f t="shared" si="1"/>
        <v>3469964.4786339719</v>
      </c>
      <c r="I18" s="13">
        <f t="shared" si="1"/>
        <v>5770.9814040237889</v>
      </c>
      <c r="J18" s="13">
        <f t="shared" si="1"/>
        <v>3595715.8025598559</v>
      </c>
      <c r="K18" s="13">
        <f t="shared" si="1"/>
        <v>-111.24265527133983</v>
      </c>
      <c r="L18" s="13">
        <f t="shared" si="1"/>
        <v>36043.764518082608</v>
      </c>
      <c r="M18" s="13">
        <f t="shared" si="1"/>
        <v>0</v>
      </c>
      <c r="N18" s="13">
        <f t="shared" si="1"/>
        <v>518202.4869877717</v>
      </c>
      <c r="O18" s="13">
        <f t="shared" si="1"/>
        <v>554135.00885058299</v>
      </c>
      <c r="P18" s="13">
        <f t="shared" si="1"/>
        <v>-13826.359035649981</v>
      </c>
      <c r="Q18" s="13">
        <f t="shared" si="1"/>
        <v>0</v>
      </c>
      <c r="R18" s="13">
        <f t="shared" si="1"/>
        <v>0</v>
      </c>
      <c r="S18" s="13">
        <f t="shared" si="1"/>
        <v>3816.1433465524046</v>
      </c>
      <c r="T18" s="13">
        <f t="shared" si="1"/>
        <v>3816.1433465524046</v>
      </c>
      <c r="U18" s="13">
        <f t="shared" si="1"/>
        <v>651935.81954500196</v>
      </c>
      <c r="V18" s="13">
        <f t="shared" si="1"/>
        <v>11556.87097955151</v>
      </c>
      <c r="W18" s="13">
        <f t="shared" si="1"/>
        <v>500549.63856396085</v>
      </c>
      <c r="X18" s="13">
        <f t="shared" si="1"/>
        <v>0</v>
      </c>
      <c r="Y18" s="13">
        <f t="shared" si="1"/>
        <v>-11015.565561125988</v>
      </c>
      <c r="Z18" s="13">
        <f t="shared" si="1"/>
        <v>1153026.7635273885</v>
      </c>
      <c r="AA18" s="13">
        <f t="shared" si="1"/>
        <v>1143016.5478382909</v>
      </c>
      <c r="AB18" s="13">
        <f t="shared" si="1"/>
        <v>-48879.636704549383</v>
      </c>
      <c r="AC18" s="13">
        <f t="shared" si="1"/>
        <v>5243987.7225441793</v>
      </c>
    </row>
    <row r="19" spans="1:29" ht="10.5" x14ac:dyDescent="0.25">
      <c r="A19" s="7" t="s">
        <v>14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10.5" x14ac:dyDescent="0.25">
      <c r="A20" s="8" t="s">
        <v>15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x14ac:dyDescent="0.2">
      <c r="A21" s="26" t="s">
        <v>60</v>
      </c>
      <c r="B21" s="10">
        <v>0</v>
      </c>
      <c r="C21" s="10">
        <v>0</v>
      </c>
      <c r="D21" s="10">
        <v>143.81909164218115</v>
      </c>
      <c r="E21" s="10">
        <v>1842.2807767321094</v>
      </c>
      <c r="F21" s="10">
        <v>0</v>
      </c>
      <c r="G21" s="10">
        <v>0</v>
      </c>
      <c r="H21" s="10">
        <v>198.30747977797208</v>
      </c>
      <c r="I21" s="10">
        <v>0</v>
      </c>
      <c r="J21" s="10">
        <v>2184.4073481522628</v>
      </c>
      <c r="K21" s="10">
        <v>0</v>
      </c>
      <c r="L21" s="10">
        <v>0</v>
      </c>
      <c r="M21" s="10">
        <v>0</v>
      </c>
      <c r="N21" s="10">
        <v>4631.1115663133605</v>
      </c>
      <c r="O21" s="10">
        <v>4631.1115663133605</v>
      </c>
      <c r="P21" s="10">
        <v>0</v>
      </c>
      <c r="Q21" s="10">
        <v>0</v>
      </c>
      <c r="R21" s="10">
        <v>0</v>
      </c>
      <c r="S21" s="10">
        <v>59.212497084012703</v>
      </c>
      <c r="T21" s="10">
        <v>59.212497084012703</v>
      </c>
      <c r="U21" s="10">
        <v>8851.8318019158305</v>
      </c>
      <c r="V21" s="10">
        <v>0</v>
      </c>
      <c r="W21" s="10">
        <v>13130.264693908095</v>
      </c>
      <c r="X21" s="10">
        <v>0</v>
      </c>
      <c r="Y21" s="10">
        <v>0</v>
      </c>
      <c r="Z21" s="10">
        <v>21982.096495823927</v>
      </c>
      <c r="AA21" s="10">
        <v>22041.30899290794</v>
      </c>
      <c r="AB21" s="10">
        <v>2386.3249558346188</v>
      </c>
      <c r="AC21" s="10">
        <v>31243.152863208179</v>
      </c>
    </row>
    <row r="22" spans="1:29" x14ac:dyDescent="0.2">
      <c r="A22" s="9" t="s">
        <v>16</v>
      </c>
      <c r="B22" s="10">
        <v>0</v>
      </c>
      <c r="C22" s="10">
        <v>0</v>
      </c>
      <c r="D22" s="11">
        <f>PLperRegion!D22-InternalSalesPerRegion!C3</f>
        <v>36139.780165413205</v>
      </c>
      <c r="E22" s="10">
        <v>19372.463444882746</v>
      </c>
      <c r="F22" s="10">
        <v>0</v>
      </c>
      <c r="G22" s="10">
        <v>3888.6270062460576</v>
      </c>
      <c r="H22" s="11">
        <f>PLperRegion!H22-InternalSalesPerRegion!E3</f>
        <v>675762.68492115149</v>
      </c>
      <c r="I22" s="10">
        <v>7.5836944494930991</v>
      </c>
      <c r="J22" s="10">
        <f>SUM(C22:I22)</f>
        <v>735171.13923214306</v>
      </c>
      <c r="K22" s="11">
        <f>PLperRegion!K22-InternalSalesPerRegion!H3</f>
        <v>0</v>
      </c>
      <c r="L22" s="10">
        <v>14390.6924524603</v>
      </c>
      <c r="M22" s="10">
        <v>0</v>
      </c>
      <c r="N22" s="11">
        <f>PLperRegion!N22-InternalSalesPerRegion!D3</f>
        <v>278481.37665887713</v>
      </c>
      <c r="O22" s="10">
        <f>SUM(K22:N22)</f>
        <v>292872.06911133742</v>
      </c>
      <c r="P22" s="10">
        <v>0</v>
      </c>
      <c r="Q22" s="10">
        <v>0</v>
      </c>
      <c r="R22" s="10">
        <v>0</v>
      </c>
      <c r="S22" s="10">
        <v>2015.2462929982653</v>
      </c>
      <c r="T22" s="10">
        <f>SUM(Q22:S22)</f>
        <v>2015.2462929982653</v>
      </c>
      <c r="U22" s="11">
        <f>PLperRegion!U22-InternalSalesPerRegion!F3</f>
        <v>201203.97214523813</v>
      </c>
      <c r="V22" s="10">
        <v>1437.8142246382783</v>
      </c>
      <c r="W22" s="11">
        <f>PLperRegion!W22-InternalSalesPerRegion!G3</f>
        <v>380357.53316756285</v>
      </c>
      <c r="X22" s="10">
        <v>0</v>
      </c>
      <c r="Y22" s="10">
        <v>-5516.1736551320319</v>
      </c>
      <c r="Z22" s="10">
        <f>SUM(U22:Y22)</f>
        <v>577483.1458823072</v>
      </c>
      <c r="AA22" s="10">
        <f>SUM(P22,T22,Z22)</f>
        <v>579498.39217530552</v>
      </c>
      <c r="AB22" s="11">
        <f>PLperRegion!AB22-InternalSalesPerRegion!B3</f>
        <v>2005.4121576464768</v>
      </c>
      <c r="AC22" s="10">
        <f>SUM(B22,J22,O22,AA22:AB22)</f>
        <v>1609547.0126764323</v>
      </c>
    </row>
    <row r="23" spans="1:29" x14ac:dyDescent="0.2">
      <c r="A23" s="9" t="s">
        <v>64</v>
      </c>
      <c r="B23" s="10">
        <v>12394.532638715993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f>SUM(C23:I23)</f>
        <v>0</v>
      </c>
      <c r="K23" s="10">
        <v>0</v>
      </c>
      <c r="L23" s="10">
        <v>0</v>
      </c>
      <c r="M23" s="10">
        <v>0</v>
      </c>
      <c r="N23" s="10">
        <v>0</v>
      </c>
      <c r="O23" s="10">
        <f>SUM(K23:N23)</f>
        <v>0</v>
      </c>
      <c r="P23" s="10">
        <v>0</v>
      </c>
      <c r="Q23" s="10">
        <v>0</v>
      </c>
      <c r="R23" s="10">
        <v>0</v>
      </c>
      <c r="S23" s="10">
        <v>0</v>
      </c>
      <c r="T23" s="10">
        <f>SUM(Q23:S23)</f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f>SUM(U23:Y23)</f>
        <v>0</v>
      </c>
      <c r="AA23" s="10">
        <f>SUM(P23,T23,Z23)</f>
        <v>0</v>
      </c>
      <c r="AB23" s="10">
        <v>0</v>
      </c>
      <c r="AC23" s="10">
        <f>SUM(B23,J23,O23,AA23:AB23)</f>
        <v>12394.532638715993</v>
      </c>
    </row>
    <row r="24" spans="1:29" x14ac:dyDescent="0.2">
      <c r="A24" s="9" t="s">
        <v>65</v>
      </c>
      <c r="B24" s="10">
        <v>0</v>
      </c>
      <c r="C24" s="10">
        <v>0</v>
      </c>
      <c r="D24" s="10">
        <v>0</v>
      </c>
      <c r="E24" s="10">
        <v>22193.802506836437</v>
      </c>
      <c r="F24" s="10">
        <v>0</v>
      </c>
      <c r="G24" s="10">
        <v>0</v>
      </c>
      <c r="H24" s="10">
        <v>173728.39668896922</v>
      </c>
      <c r="I24" s="10">
        <v>3212.4208935247884</v>
      </c>
      <c r="J24" s="10">
        <f>SUM(C24:I24)</f>
        <v>199134.62008933045</v>
      </c>
      <c r="K24" s="10">
        <v>0</v>
      </c>
      <c r="L24" s="10">
        <v>0</v>
      </c>
      <c r="M24" s="10">
        <v>0</v>
      </c>
      <c r="N24" s="10">
        <v>3313.3879596717447</v>
      </c>
      <c r="O24" s="10">
        <f>SUM(K24:N24)</f>
        <v>3313.3879596717447</v>
      </c>
      <c r="P24" s="10">
        <v>0</v>
      </c>
      <c r="Q24" s="10">
        <v>0</v>
      </c>
      <c r="R24" s="10">
        <v>0</v>
      </c>
      <c r="S24" s="10">
        <v>0</v>
      </c>
      <c r="T24" s="10">
        <f>SUM(Q24:S24)</f>
        <v>0</v>
      </c>
      <c r="U24" s="10">
        <v>7932.4734104147692</v>
      </c>
      <c r="V24" s="10">
        <v>253.47206022240431</v>
      </c>
      <c r="W24" s="10">
        <v>11773.500147176173</v>
      </c>
      <c r="X24" s="10">
        <v>0</v>
      </c>
      <c r="Y24" s="10">
        <v>41.704373647846914</v>
      </c>
      <c r="Z24" s="10">
        <f>SUM(U24:Y24)</f>
        <v>20001.149991461196</v>
      </c>
      <c r="AA24" s="10">
        <f>SUM(P24,T24,Z24)</f>
        <v>20001.149991461196</v>
      </c>
      <c r="AB24" s="10">
        <v>4069.9217256225365</v>
      </c>
      <c r="AC24" s="10">
        <f>SUM(B24,J24,O24,AA24:AB24)</f>
        <v>226519.0797660859</v>
      </c>
    </row>
    <row r="25" spans="1:29" x14ac:dyDescent="0.2">
      <c r="A25" s="9" t="s">
        <v>66</v>
      </c>
      <c r="B25" s="10">
        <v>-34156.477582344625</v>
      </c>
      <c r="C25" s="10">
        <v>0</v>
      </c>
      <c r="D25" s="10">
        <v>9406.1375833994935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f>SUM(C25:I25)</f>
        <v>9406.1375833994935</v>
      </c>
      <c r="K25" s="10">
        <v>0</v>
      </c>
      <c r="L25" s="10">
        <v>0</v>
      </c>
      <c r="M25" s="10">
        <v>0</v>
      </c>
      <c r="N25" s="10">
        <v>0</v>
      </c>
      <c r="O25" s="10">
        <f>SUM(K25:N25)</f>
        <v>0</v>
      </c>
      <c r="P25" s="10">
        <v>0</v>
      </c>
      <c r="Q25" s="10">
        <v>0</v>
      </c>
      <c r="R25" s="10">
        <v>0</v>
      </c>
      <c r="S25" s="10">
        <v>0</v>
      </c>
      <c r="T25" s="10">
        <f>SUM(Q25:S25)</f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f>SUM(U25:Y25)</f>
        <v>0</v>
      </c>
      <c r="AA25" s="10">
        <f>SUM(P25,T25,Z25)</f>
        <v>0</v>
      </c>
      <c r="AB25" s="10">
        <v>16190.627490418658</v>
      </c>
      <c r="AC25" s="10">
        <f>SUM(B25,J25,O25,AA25:AB25)</f>
        <v>-8559.7125085264743</v>
      </c>
    </row>
    <row r="26" spans="1:29" ht="10.5" x14ac:dyDescent="0.25">
      <c r="A26" s="16" t="s">
        <v>67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x14ac:dyDescent="0.2">
      <c r="A27" s="17" t="s">
        <v>270</v>
      </c>
      <c r="B27" s="10">
        <v>0</v>
      </c>
      <c r="C27" s="10">
        <v>0</v>
      </c>
      <c r="D27" s="10">
        <v>0</v>
      </c>
      <c r="E27" s="10">
        <v>0</v>
      </c>
      <c r="F27" s="10">
        <v>0</v>
      </c>
      <c r="G27" s="10">
        <v>0</v>
      </c>
      <c r="H27" s="10">
        <v>6510.3829175318142</v>
      </c>
      <c r="I27" s="10">
        <v>0</v>
      </c>
      <c r="J27" s="10">
        <f>SUM(C27:I27)</f>
        <v>6510.3829175318142</v>
      </c>
      <c r="K27" s="10">
        <v>0</v>
      </c>
      <c r="L27" s="10">
        <v>0</v>
      </c>
      <c r="M27" s="10">
        <v>0</v>
      </c>
      <c r="N27" s="10">
        <v>0</v>
      </c>
      <c r="O27" s="10">
        <f>SUM(K27:N27)</f>
        <v>0</v>
      </c>
      <c r="P27" s="10">
        <v>0</v>
      </c>
      <c r="Q27" s="10">
        <v>0</v>
      </c>
      <c r="R27" s="10">
        <v>0</v>
      </c>
      <c r="S27" s="10">
        <v>0</v>
      </c>
      <c r="T27" s="10">
        <f>SUM(Q27:S27)</f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f>SUM(U27:Y27)</f>
        <v>0</v>
      </c>
      <c r="AA27" s="10">
        <f>SUM(P27,T27,Z27)</f>
        <v>0</v>
      </c>
      <c r="AB27" s="10">
        <v>7539.4713556375036</v>
      </c>
      <c r="AC27" s="10">
        <f>SUM(B27,J27,O27,AA27:AB27)</f>
        <v>14049.854273169318</v>
      </c>
    </row>
    <row r="28" spans="1:29" x14ac:dyDescent="0.2">
      <c r="A28" s="17" t="s">
        <v>68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1011.302310503562</v>
      </c>
      <c r="I28" s="10">
        <v>0</v>
      </c>
      <c r="J28" s="10">
        <f>SUM(C28:I28)</f>
        <v>1011.302310503562</v>
      </c>
      <c r="K28" s="10">
        <v>0</v>
      </c>
      <c r="L28" s="10">
        <v>0</v>
      </c>
      <c r="M28" s="10">
        <v>0</v>
      </c>
      <c r="N28" s="10">
        <v>0</v>
      </c>
      <c r="O28" s="10">
        <f>SUM(K28:N28)</f>
        <v>0</v>
      </c>
      <c r="P28" s="10">
        <v>0</v>
      </c>
      <c r="Q28" s="10">
        <v>0</v>
      </c>
      <c r="R28" s="10">
        <v>0</v>
      </c>
      <c r="S28" s="10">
        <v>0</v>
      </c>
      <c r="T28" s="10">
        <f>SUM(Q28:S28)</f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f>SUM(U28:Y28)</f>
        <v>0</v>
      </c>
      <c r="AA28" s="10">
        <f>SUM(P28,T28,Z28)</f>
        <v>0</v>
      </c>
      <c r="AB28" s="10">
        <v>0</v>
      </c>
      <c r="AC28" s="10">
        <f>SUM(B28,J28,O28,AA28:AB28)</f>
        <v>1011.302310503562</v>
      </c>
    </row>
    <row r="29" spans="1:29" ht="10.5" x14ac:dyDescent="0.25">
      <c r="A29" s="18" t="s">
        <v>271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x14ac:dyDescent="0.2">
      <c r="A30" s="19" t="s">
        <v>272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17987.539677014658</v>
      </c>
      <c r="I30" s="10">
        <v>0</v>
      </c>
      <c r="J30" s="10">
        <f>SUM(C30:I30)</f>
        <v>17987.539677014658</v>
      </c>
      <c r="K30" s="10">
        <v>0</v>
      </c>
      <c r="L30" s="10">
        <v>0</v>
      </c>
      <c r="M30" s="10">
        <v>0</v>
      </c>
      <c r="N30" s="10">
        <v>0</v>
      </c>
      <c r="O30" s="10">
        <f>SUM(K30:N30)</f>
        <v>0</v>
      </c>
      <c r="P30" s="10">
        <v>0</v>
      </c>
      <c r="Q30" s="10">
        <v>0</v>
      </c>
      <c r="R30" s="10">
        <v>0</v>
      </c>
      <c r="S30" s="10">
        <v>0</v>
      </c>
      <c r="T30" s="10">
        <f>SUM(Q30:S30)</f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f>SUM(U30:Y30)</f>
        <v>0</v>
      </c>
      <c r="AA30" s="10">
        <f>SUM(P30,T30,Z30)</f>
        <v>0</v>
      </c>
      <c r="AB30" s="10">
        <v>0</v>
      </c>
      <c r="AC30" s="10">
        <f>SUM(B30,J30,O30,AA30:AB30)</f>
        <v>17987.539677014658</v>
      </c>
    </row>
    <row r="31" spans="1:29" x14ac:dyDescent="0.2">
      <c r="A31" s="19" t="s">
        <v>273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5070.6080123549273</v>
      </c>
      <c r="I31" s="10">
        <v>0</v>
      </c>
      <c r="J31" s="10">
        <f>SUM(C31:I31)</f>
        <v>5070.6080123549273</v>
      </c>
      <c r="K31" s="10">
        <v>0</v>
      </c>
      <c r="L31" s="10">
        <v>0</v>
      </c>
      <c r="M31" s="10">
        <v>0</v>
      </c>
      <c r="N31" s="10">
        <v>0</v>
      </c>
      <c r="O31" s="10">
        <f>SUM(K31:N31)</f>
        <v>0</v>
      </c>
      <c r="P31" s="10">
        <v>0</v>
      </c>
      <c r="Q31" s="10">
        <v>0</v>
      </c>
      <c r="R31" s="10">
        <v>0</v>
      </c>
      <c r="S31" s="10">
        <v>0</v>
      </c>
      <c r="T31" s="10">
        <f>SUM(Q31:S31)</f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f>SUM(U31:Y31)</f>
        <v>0</v>
      </c>
      <c r="AA31" s="10">
        <f>SUM(P31,T31,Z31)</f>
        <v>0</v>
      </c>
      <c r="AB31" s="10">
        <v>0</v>
      </c>
      <c r="AC31" s="10">
        <f>SUM(B31,J31,O31,AA31:AB31)</f>
        <v>5070.6080123549273</v>
      </c>
    </row>
    <row r="32" spans="1:29" ht="10.5" x14ac:dyDescent="0.25">
      <c r="A32" s="20" t="s">
        <v>274</v>
      </c>
      <c r="B32" s="13">
        <f t="shared" ref="B32:AC32" si="2">SUM(B30:B31)</f>
        <v>0</v>
      </c>
      <c r="C32" s="13">
        <f t="shared" si="2"/>
        <v>0</v>
      </c>
      <c r="D32" s="13">
        <f t="shared" si="2"/>
        <v>0</v>
      </c>
      <c r="E32" s="13">
        <f t="shared" si="2"/>
        <v>0</v>
      </c>
      <c r="F32" s="13">
        <f t="shared" si="2"/>
        <v>0</v>
      </c>
      <c r="G32" s="13">
        <f t="shared" si="2"/>
        <v>0</v>
      </c>
      <c r="H32" s="13">
        <f t="shared" si="2"/>
        <v>23058.147689369587</v>
      </c>
      <c r="I32" s="13">
        <f t="shared" si="2"/>
        <v>0</v>
      </c>
      <c r="J32" s="13">
        <f t="shared" si="2"/>
        <v>23058.147689369587</v>
      </c>
      <c r="K32" s="13">
        <f t="shared" si="2"/>
        <v>0</v>
      </c>
      <c r="L32" s="13">
        <f t="shared" si="2"/>
        <v>0</v>
      </c>
      <c r="M32" s="13">
        <f t="shared" si="2"/>
        <v>0</v>
      </c>
      <c r="N32" s="13">
        <f t="shared" si="2"/>
        <v>0</v>
      </c>
      <c r="O32" s="13">
        <f t="shared" si="2"/>
        <v>0</v>
      </c>
      <c r="P32" s="13">
        <f t="shared" si="2"/>
        <v>0</v>
      </c>
      <c r="Q32" s="13">
        <f t="shared" si="2"/>
        <v>0</v>
      </c>
      <c r="R32" s="13">
        <f t="shared" si="2"/>
        <v>0</v>
      </c>
      <c r="S32" s="13">
        <f t="shared" si="2"/>
        <v>0</v>
      </c>
      <c r="T32" s="13">
        <f t="shared" si="2"/>
        <v>0</v>
      </c>
      <c r="U32" s="13">
        <f t="shared" si="2"/>
        <v>0</v>
      </c>
      <c r="V32" s="13">
        <f t="shared" si="2"/>
        <v>0</v>
      </c>
      <c r="W32" s="13">
        <f t="shared" si="2"/>
        <v>0</v>
      </c>
      <c r="X32" s="13">
        <f t="shared" si="2"/>
        <v>0</v>
      </c>
      <c r="Y32" s="13">
        <f t="shared" si="2"/>
        <v>0</v>
      </c>
      <c r="Z32" s="13">
        <f t="shared" si="2"/>
        <v>0</v>
      </c>
      <c r="AA32" s="13">
        <f t="shared" si="2"/>
        <v>0</v>
      </c>
      <c r="AB32" s="13">
        <f t="shared" si="2"/>
        <v>0</v>
      </c>
      <c r="AC32" s="13">
        <f t="shared" si="2"/>
        <v>23058.147689369587</v>
      </c>
    </row>
    <row r="33" spans="1:29" ht="10.5" x14ac:dyDescent="0.25">
      <c r="A33" s="21" t="s">
        <v>69</v>
      </c>
      <c r="B33" s="13">
        <f t="shared" ref="B33:AC33" si="3">SUM(B27:B28,B32)</f>
        <v>0</v>
      </c>
      <c r="C33" s="13">
        <f t="shared" si="3"/>
        <v>0</v>
      </c>
      <c r="D33" s="13">
        <f t="shared" si="3"/>
        <v>0</v>
      </c>
      <c r="E33" s="13">
        <f t="shared" si="3"/>
        <v>0</v>
      </c>
      <c r="F33" s="13">
        <f t="shared" si="3"/>
        <v>0</v>
      </c>
      <c r="G33" s="13">
        <f t="shared" si="3"/>
        <v>0</v>
      </c>
      <c r="H33" s="13">
        <f t="shared" si="3"/>
        <v>30579.832917404965</v>
      </c>
      <c r="I33" s="13">
        <f t="shared" si="3"/>
        <v>0</v>
      </c>
      <c r="J33" s="13">
        <f t="shared" si="3"/>
        <v>30579.832917404965</v>
      </c>
      <c r="K33" s="13">
        <f t="shared" si="3"/>
        <v>0</v>
      </c>
      <c r="L33" s="13">
        <f t="shared" si="3"/>
        <v>0</v>
      </c>
      <c r="M33" s="13">
        <f t="shared" si="3"/>
        <v>0</v>
      </c>
      <c r="N33" s="13">
        <f t="shared" si="3"/>
        <v>0</v>
      </c>
      <c r="O33" s="13">
        <f t="shared" si="3"/>
        <v>0</v>
      </c>
      <c r="P33" s="13">
        <f t="shared" si="3"/>
        <v>0</v>
      </c>
      <c r="Q33" s="13">
        <f t="shared" si="3"/>
        <v>0</v>
      </c>
      <c r="R33" s="13">
        <f t="shared" si="3"/>
        <v>0</v>
      </c>
      <c r="S33" s="13">
        <f t="shared" si="3"/>
        <v>0</v>
      </c>
      <c r="T33" s="13">
        <f t="shared" si="3"/>
        <v>0</v>
      </c>
      <c r="U33" s="13">
        <f t="shared" si="3"/>
        <v>0</v>
      </c>
      <c r="V33" s="13">
        <f t="shared" si="3"/>
        <v>0</v>
      </c>
      <c r="W33" s="13">
        <f t="shared" si="3"/>
        <v>0</v>
      </c>
      <c r="X33" s="13">
        <f t="shared" si="3"/>
        <v>0</v>
      </c>
      <c r="Y33" s="13">
        <f t="shared" si="3"/>
        <v>0</v>
      </c>
      <c r="Z33" s="13">
        <f t="shared" si="3"/>
        <v>0</v>
      </c>
      <c r="AA33" s="13">
        <f t="shared" si="3"/>
        <v>0</v>
      </c>
      <c r="AB33" s="13">
        <f t="shared" si="3"/>
        <v>7539.4713556375036</v>
      </c>
      <c r="AC33" s="13">
        <f t="shared" si="3"/>
        <v>38119.304273042464</v>
      </c>
    </row>
    <row r="34" spans="1:29" ht="10.5" x14ac:dyDescent="0.25">
      <c r="A34" s="12" t="s">
        <v>43</v>
      </c>
      <c r="B34" s="13">
        <f t="shared" ref="B34:AC34" si="4">SUM(B22:B25,B33)+B21</f>
        <v>-21761.94494362863</v>
      </c>
      <c r="C34" s="13">
        <f t="shared" si="4"/>
        <v>0</v>
      </c>
      <c r="D34" s="13">
        <f t="shared" si="4"/>
        <v>45689.736840454883</v>
      </c>
      <c r="E34" s="13">
        <f t="shared" si="4"/>
        <v>43408.546728451285</v>
      </c>
      <c r="F34" s="13">
        <f t="shared" si="4"/>
        <v>0</v>
      </c>
      <c r="G34" s="13">
        <f t="shared" si="4"/>
        <v>3888.6270062460576</v>
      </c>
      <c r="H34" s="13">
        <f t="shared" si="4"/>
        <v>880269.22200730362</v>
      </c>
      <c r="I34" s="13">
        <f t="shared" si="4"/>
        <v>3220.0045879742815</v>
      </c>
      <c r="J34" s="13">
        <f t="shared" si="4"/>
        <v>976476.13717043027</v>
      </c>
      <c r="K34" s="13">
        <f t="shared" si="4"/>
        <v>0</v>
      </c>
      <c r="L34" s="13">
        <f t="shared" si="4"/>
        <v>14390.6924524603</v>
      </c>
      <c r="M34" s="13">
        <f t="shared" si="4"/>
        <v>0</v>
      </c>
      <c r="N34" s="13">
        <f t="shared" si="4"/>
        <v>286425.87618486222</v>
      </c>
      <c r="O34" s="13">
        <f t="shared" si="4"/>
        <v>300816.56863732252</v>
      </c>
      <c r="P34" s="13">
        <f t="shared" si="4"/>
        <v>0</v>
      </c>
      <c r="Q34" s="13">
        <f t="shared" si="4"/>
        <v>0</v>
      </c>
      <c r="R34" s="13">
        <f t="shared" si="4"/>
        <v>0</v>
      </c>
      <c r="S34" s="13">
        <f t="shared" si="4"/>
        <v>2074.458790082278</v>
      </c>
      <c r="T34" s="13">
        <f t="shared" si="4"/>
        <v>2074.458790082278</v>
      </c>
      <c r="U34" s="13">
        <f t="shared" si="4"/>
        <v>217988.27735756873</v>
      </c>
      <c r="V34" s="13">
        <f t="shared" si="4"/>
        <v>1691.2862848606826</v>
      </c>
      <c r="W34" s="13">
        <f t="shared" si="4"/>
        <v>405261.29800864711</v>
      </c>
      <c r="X34" s="13">
        <f t="shared" si="4"/>
        <v>0</v>
      </c>
      <c r="Y34" s="13">
        <f t="shared" si="4"/>
        <v>-5474.4692814841846</v>
      </c>
      <c r="Z34" s="13">
        <f t="shared" si="4"/>
        <v>619466.39236959233</v>
      </c>
      <c r="AA34" s="13">
        <f t="shared" si="4"/>
        <v>621540.8511596747</v>
      </c>
      <c r="AB34" s="13">
        <f t="shared" si="4"/>
        <v>32191.757685159791</v>
      </c>
      <c r="AC34" s="13">
        <f t="shared" si="4"/>
        <v>1909263.3697089583</v>
      </c>
    </row>
    <row r="35" spans="1:29" ht="10.5" x14ac:dyDescent="0.25">
      <c r="A35" s="15" t="s">
        <v>44</v>
      </c>
      <c r="B35" s="13">
        <f t="shared" ref="B35:AC35" si="5">SUM(B34)</f>
        <v>-21761.94494362863</v>
      </c>
      <c r="C35" s="13">
        <f t="shared" si="5"/>
        <v>0</v>
      </c>
      <c r="D35" s="13">
        <f t="shared" si="5"/>
        <v>45689.736840454883</v>
      </c>
      <c r="E35" s="13">
        <f t="shared" si="5"/>
        <v>43408.546728451285</v>
      </c>
      <c r="F35" s="13">
        <f t="shared" si="5"/>
        <v>0</v>
      </c>
      <c r="G35" s="13">
        <f t="shared" si="5"/>
        <v>3888.6270062460576</v>
      </c>
      <c r="H35" s="13">
        <f t="shared" si="5"/>
        <v>880269.22200730362</v>
      </c>
      <c r="I35" s="13">
        <f t="shared" si="5"/>
        <v>3220.0045879742815</v>
      </c>
      <c r="J35" s="13">
        <f t="shared" si="5"/>
        <v>976476.13717043027</v>
      </c>
      <c r="K35" s="13">
        <f t="shared" si="5"/>
        <v>0</v>
      </c>
      <c r="L35" s="13">
        <f t="shared" si="5"/>
        <v>14390.6924524603</v>
      </c>
      <c r="M35" s="13">
        <f t="shared" si="5"/>
        <v>0</v>
      </c>
      <c r="N35" s="13">
        <f t="shared" si="5"/>
        <v>286425.87618486222</v>
      </c>
      <c r="O35" s="13">
        <f t="shared" si="5"/>
        <v>300816.56863732252</v>
      </c>
      <c r="P35" s="13">
        <f t="shared" si="5"/>
        <v>0</v>
      </c>
      <c r="Q35" s="13">
        <f t="shared" si="5"/>
        <v>0</v>
      </c>
      <c r="R35" s="13">
        <f t="shared" si="5"/>
        <v>0</v>
      </c>
      <c r="S35" s="13">
        <f t="shared" si="5"/>
        <v>2074.458790082278</v>
      </c>
      <c r="T35" s="13">
        <f t="shared" si="5"/>
        <v>2074.458790082278</v>
      </c>
      <c r="U35" s="13">
        <f t="shared" si="5"/>
        <v>217988.27735756873</v>
      </c>
      <c r="V35" s="13">
        <f t="shared" si="5"/>
        <v>1691.2862848606826</v>
      </c>
      <c r="W35" s="13">
        <f t="shared" si="5"/>
        <v>405261.29800864711</v>
      </c>
      <c r="X35" s="13">
        <f t="shared" si="5"/>
        <v>0</v>
      </c>
      <c r="Y35" s="13">
        <f t="shared" si="5"/>
        <v>-5474.4692814841846</v>
      </c>
      <c r="Z35" s="13">
        <f t="shared" si="5"/>
        <v>619466.39236959233</v>
      </c>
      <c r="AA35" s="13">
        <f t="shared" si="5"/>
        <v>621540.8511596747</v>
      </c>
      <c r="AB35" s="13">
        <f t="shared" si="5"/>
        <v>32191.757685159791</v>
      </c>
      <c r="AC35" s="13">
        <f t="shared" si="5"/>
        <v>1909263.3697089583</v>
      </c>
    </row>
    <row r="36" spans="1:29" ht="10.5" x14ac:dyDescent="0.25">
      <c r="A36" s="22" t="s">
        <v>45</v>
      </c>
      <c r="B36" s="23">
        <f t="shared" ref="B36:AC36" si="6">B18-B35</f>
        <v>21761.94494362863</v>
      </c>
      <c r="C36" s="23">
        <f t="shared" si="6"/>
        <v>69.749262425156232</v>
      </c>
      <c r="D36" s="23">
        <f t="shared" si="6"/>
        <v>-5487.2189665051774</v>
      </c>
      <c r="E36" s="23">
        <f t="shared" si="6"/>
        <v>31308.555800954884</v>
      </c>
      <c r="F36" s="23">
        <f t="shared" si="6"/>
        <v>0</v>
      </c>
      <c r="G36" s="23">
        <f t="shared" si="6"/>
        <v>1102.345849832886</v>
      </c>
      <c r="H36" s="23">
        <f t="shared" si="6"/>
        <v>2589695.2566266684</v>
      </c>
      <c r="I36" s="23">
        <f t="shared" si="6"/>
        <v>2550.9768160495073</v>
      </c>
      <c r="J36" s="23">
        <f t="shared" si="6"/>
        <v>2619239.6653894256</v>
      </c>
      <c r="K36" s="23">
        <f t="shared" si="6"/>
        <v>-111.24265527133983</v>
      </c>
      <c r="L36" s="23">
        <f t="shared" si="6"/>
        <v>21653.072065622306</v>
      </c>
      <c r="M36" s="23">
        <f t="shared" si="6"/>
        <v>0</v>
      </c>
      <c r="N36" s="23">
        <f t="shared" si="6"/>
        <v>231776.61080290948</v>
      </c>
      <c r="O36" s="23">
        <f t="shared" si="6"/>
        <v>253318.44021326047</v>
      </c>
      <c r="P36" s="23">
        <f t="shared" si="6"/>
        <v>-13826.359035649981</v>
      </c>
      <c r="Q36" s="23">
        <f t="shared" si="6"/>
        <v>0</v>
      </c>
      <c r="R36" s="23">
        <f t="shared" si="6"/>
        <v>0</v>
      </c>
      <c r="S36" s="23">
        <f t="shared" si="6"/>
        <v>1741.6845564701266</v>
      </c>
      <c r="T36" s="23">
        <f t="shared" si="6"/>
        <v>1741.6845564701266</v>
      </c>
      <c r="U36" s="23">
        <f t="shared" si="6"/>
        <v>433947.54218743322</v>
      </c>
      <c r="V36" s="23">
        <f t="shared" si="6"/>
        <v>9865.5846946908277</v>
      </c>
      <c r="W36" s="23">
        <f t="shared" si="6"/>
        <v>95288.340555313742</v>
      </c>
      <c r="X36" s="23">
        <f t="shared" si="6"/>
        <v>0</v>
      </c>
      <c r="Y36" s="23">
        <f t="shared" si="6"/>
        <v>-5541.0962796418034</v>
      </c>
      <c r="Z36" s="23">
        <f t="shared" si="6"/>
        <v>533560.37115779612</v>
      </c>
      <c r="AA36" s="23">
        <f t="shared" si="6"/>
        <v>521475.69667861622</v>
      </c>
      <c r="AB36" s="23">
        <f t="shared" si="6"/>
        <v>-81071.394389709167</v>
      </c>
      <c r="AC36" s="23">
        <f t="shared" si="6"/>
        <v>3334724.3528352212</v>
      </c>
    </row>
    <row r="37" spans="1:29" ht="10.5" x14ac:dyDescent="0.25">
      <c r="A37" s="7" t="s">
        <v>70</v>
      </c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spans="1:29" ht="10.5" x14ac:dyDescent="0.25">
      <c r="A38" s="8" t="s">
        <v>71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spans="1:29" x14ac:dyDescent="0.2">
      <c r="A39" s="9" t="s">
        <v>72</v>
      </c>
      <c r="B39" s="10">
        <v>0</v>
      </c>
      <c r="C39" s="10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0">
        <f>SUM(C39:I39)</f>
        <v>0</v>
      </c>
      <c r="K39" s="10">
        <v>0</v>
      </c>
      <c r="L39" s="10">
        <v>0</v>
      </c>
      <c r="M39" s="10">
        <v>0</v>
      </c>
      <c r="N39" s="10">
        <v>0</v>
      </c>
      <c r="O39" s="10">
        <f>SUM(K39:N39)</f>
        <v>0</v>
      </c>
      <c r="P39" s="10">
        <v>0</v>
      </c>
      <c r="Q39" s="10">
        <v>0</v>
      </c>
      <c r="R39" s="10">
        <v>0</v>
      </c>
      <c r="S39" s="10">
        <v>0</v>
      </c>
      <c r="T39" s="10">
        <f>SUM(Q39:S39)</f>
        <v>0</v>
      </c>
      <c r="U39" s="10">
        <v>0</v>
      </c>
      <c r="V39" s="10">
        <v>0</v>
      </c>
      <c r="W39" s="10">
        <v>0</v>
      </c>
      <c r="X39" s="10">
        <v>0</v>
      </c>
      <c r="Y39" s="10">
        <v>0</v>
      </c>
      <c r="Z39" s="10">
        <f>SUM(U39:Y39)</f>
        <v>0</v>
      </c>
      <c r="AA39" s="10">
        <f>SUM(P39,T39,Z39)</f>
        <v>0</v>
      </c>
      <c r="AB39" s="10">
        <v>67.751521061645278</v>
      </c>
      <c r="AC39" s="10">
        <f>SUM(B39,J39,O39,AA39:AB39)</f>
        <v>67.751521061645278</v>
      </c>
    </row>
    <row r="40" spans="1:29" ht="10.5" x14ac:dyDescent="0.25">
      <c r="A40" s="16" t="s">
        <v>73</v>
      </c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</row>
    <row r="41" spans="1:29" x14ac:dyDescent="0.2">
      <c r="A41" s="17" t="s">
        <v>74</v>
      </c>
      <c r="B41" s="10">
        <v>445982.31381058774</v>
      </c>
      <c r="C41" s="10">
        <v>4083.6204885525999</v>
      </c>
      <c r="D41" s="10">
        <v>1099.8858614210978</v>
      </c>
      <c r="E41" s="10">
        <v>24193.353757069101</v>
      </c>
      <c r="F41" s="10">
        <v>0</v>
      </c>
      <c r="G41" s="10">
        <v>0</v>
      </c>
      <c r="H41" s="10">
        <v>0</v>
      </c>
      <c r="I41" s="10">
        <v>0</v>
      </c>
      <c r="J41" s="10">
        <f>SUM(C41:I41)</f>
        <v>29376.860107042798</v>
      </c>
      <c r="K41" s="10">
        <v>0</v>
      </c>
      <c r="L41" s="10">
        <v>0</v>
      </c>
      <c r="M41" s="10">
        <v>0</v>
      </c>
      <c r="N41" s="10">
        <v>0</v>
      </c>
      <c r="O41" s="10">
        <f>SUM(K41:N41)</f>
        <v>0</v>
      </c>
      <c r="P41" s="10">
        <v>0</v>
      </c>
      <c r="Q41" s="10">
        <v>0</v>
      </c>
      <c r="R41" s="10">
        <v>0</v>
      </c>
      <c r="S41" s="10">
        <v>0</v>
      </c>
      <c r="T41" s="10">
        <f>SUM(Q41:S41)</f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f>SUM(U41:Y41)</f>
        <v>0</v>
      </c>
      <c r="AA41" s="10">
        <f>SUM(P41,T41,Z41)</f>
        <v>0</v>
      </c>
      <c r="AB41" s="10">
        <v>0</v>
      </c>
      <c r="AC41" s="10">
        <f>SUM(B41,J41,O41,AA41:AB41)</f>
        <v>475359.17391763057</v>
      </c>
    </row>
    <row r="42" spans="1:29" x14ac:dyDescent="0.2">
      <c r="A42" s="17" t="s">
        <v>75</v>
      </c>
      <c r="B42" s="10">
        <v>643471.197891535</v>
      </c>
      <c r="C42" s="10">
        <v>10209.0512213815</v>
      </c>
      <c r="D42" s="10">
        <v>0</v>
      </c>
      <c r="E42" s="10">
        <v>76879.612523563672</v>
      </c>
      <c r="F42" s="10">
        <v>0</v>
      </c>
      <c r="G42" s="10">
        <v>0</v>
      </c>
      <c r="H42" s="10">
        <v>0</v>
      </c>
      <c r="I42" s="10">
        <v>0</v>
      </c>
      <c r="J42" s="10">
        <f>SUM(C42:I42)</f>
        <v>87088.663744945166</v>
      </c>
      <c r="K42" s="10">
        <v>0</v>
      </c>
      <c r="L42" s="10">
        <v>0</v>
      </c>
      <c r="M42" s="10">
        <v>0</v>
      </c>
      <c r="N42" s="10">
        <v>0</v>
      </c>
      <c r="O42" s="10">
        <f>SUM(K42:N42)</f>
        <v>0</v>
      </c>
      <c r="P42" s="10">
        <v>0</v>
      </c>
      <c r="Q42" s="10">
        <v>0</v>
      </c>
      <c r="R42" s="10">
        <v>0</v>
      </c>
      <c r="S42" s="10">
        <v>0</v>
      </c>
      <c r="T42" s="10">
        <f>SUM(Q42:S42)</f>
        <v>0</v>
      </c>
      <c r="U42" s="10">
        <v>0</v>
      </c>
      <c r="V42" s="10">
        <v>0</v>
      </c>
      <c r="W42" s="10">
        <v>0</v>
      </c>
      <c r="X42" s="10">
        <v>0</v>
      </c>
      <c r="Y42" s="10">
        <v>0</v>
      </c>
      <c r="Z42" s="10">
        <f>SUM(U42:Y42)</f>
        <v>0</v>
      </c>
      <c r="AA42" s="10">
        <f>SUM(P42,T42,Z42)</f>
        <v>0</v>
      </c>
      <c r="AB42" s="10">
        <v>16385.527210317308</v>
      </c>
      <c r="AC42" s="10">
        <f>SUM(B42,J42,O42,AA42:AB42)</f>
        <v>746945.38884679752</v>
      </c>
    </row>
    <row r="43" spans="1:29" x14ac:dyDescent="0.2">
      <c r="A43" s="17" t="s">
        <v>76</v>
      </c>
      <c r="B43" s="10">
        <v>110009.13845430505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f>SUM(C43:I43)</f>
        <v>0</v>
      </c>
      <c r="K43" s="10">
        <v>0</v>
      </c>
      <c r="L43" s="10">
        <v>0</v>
      </c>
      <c r="M43" s="10">
        <v>0</v>
      </c>
      <c r="N43" s="10">
        <v>0</v>
      </c>
      <c r="O43" s="10">
        <f>SUM(K43:N43)</f>
        <v>0</v>
      </c>
      <c r="P43" s="10">
        <v>0</v>
      </c>
      <c r="Q43" s="10">
        <v>0</v>
      </c>
      <c r="R43" s="10">
        <v>0</v>
      </c>
      <c r="S43" s="10">
        <v>0</v>
      </c>
      <c r="T43" s="10">
        <f>SUM(Q43:S43)</f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f>SUM(U43:Y43)</f>
        <v>0</v>
      </c>
      <c r="AA43" s="10">
        <f>SUM(P43,T43,Z43)</f>
        <v>0</v>
      </c>
      <c r="AB43" s="10">
        <v>0.44723486196264001</v>
      </c>
      <c r="AC43" s="10">
        <f>SUM(B43,J43,O43,AA43:AB43)</f>
        <v>110009.58568916701</v>
      </c>
    </row>
    <row r="44" spans="1:29" x14ac:dyDescent="0.2">
      <c r="A44" s="17" t="s">
        <v>77</v>
      </c>
      <c r="B44" s="10">
        <v>34947.519745029967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f>SUM(C44:I44)</f>
        <v>0</v>
      </c>
      <c r="K44" s="10">
        <v>0</v>
      </c>
      <c r="L44" s="10">
        <v>0</v>
      </c>
      <c r="M44" s="10">
        <v>0</v>
      </c>
      <c r="N44" s="10">
        <v>0</v>
      </c>
      <c r="O44" s="10">
        <f>SUM(K44:N44)</f>
        <v>0</v>
      </c>
      <c r="P44" s="10">
        <v>0</v>
      </c>
      <c r="Q44" s="10">
        <v>0</v>
      </c>
      <c r="R44" s="10">
        <v>0</v>
      </c>
      <c r="S44" s="10">
        <v>0</v>
      </c>
      <c r="T44" s="10">
        <f>SUM(Q44:S44)</f>
        <v>0</v>
      </c>
      <c r="U44" s="10">
        <v>0</v>
      </c>
      <c r="V44" s="10">
        <v>0</v>
      </c>
      <c r="W44" s="10">
        <v>0</v>
      </c>
      <c r="X44" s="10">
        <v>0</v>
      </c>
      <c r="Y44" s="10">
        <v>0</v>
      </c>
      <c r="Z44" s="10">
        <f>SUM(U44:Y44)</f>
        <v>0</v>
      </c>
      <c r="AA44" s="10">
        <f>SUM(P44,T44,Z44)</f>
        <v>0</v>
      </c>
      <c r="AB44" s="10">
        <v>0</v>
      </c>
      <c r="AC44" s="10">
        <f>SUM(B44,J44,O44,AA44:AB44)</f>
        <v>34947.519745029967</v>
      </c>
    </row>
    <row r="45" spans="1:29" ht="10.5" x14ac:dyDescent="0.25">
      <c r="A45" s="21" t="s">
        <v>78</v>
      </c>
      <c r="B45" s="13">
        <f t="shared" ref="B45:AC45" si="7">SUM(B41:B44)</f>
        <v>1234410.1699014576</v>
      </c>
      <c r="C45" s="13">
        <f t="shared" si="7"/>
        <v>14292.6717099341</v>
      </c>
      <c r="D45" s="13">
        <f t="shared" si="7"/>
        <v>1099.8858614210978</v>
      </c>
      <c r="E45" s="13">
        <f t="shared" si="7"/>
        <v>101072.96628063277</v>
      </c>
      <c r="F45" s="13">
        <f t="shared" si="7"/>
        <v>0</v>
      </c>
      <c r="G45" s="13">
        <f t="shared" si="7"/>
        <v>0</v>
      </c>
      <c r="H45" s="13">
        <f t="shared" si="7"/>
        <v>0</v>
      </c>
      <c r="I45" s="13">
        <f t="shared" si="7"/>
        <v>0</v>
      </c>
      <c r="J45" s="13">
        <f t="shared" si="7"/>
        <v>116465.52385198796</v>
      </c>
      <c r="K45" s="13">
        <f t="shared" si="7"/>
        <v>0</v>
      </c>
      <c r="L45" s="13">
        <f t="shared" si="7"/>
        <v>0</v>
      </c>
      <c r="M45" s="13">
        <f t="shared" si="7"/>
        <v>0</v>
      </c>
      <c r="N45" s="13">
        <f t="shared" si="7"/>
        <v>0</v>
      </c>
      <c r="O45" s="13">
        <f t="shared" si="7"/>
        <v>0</v>
      </c>
      <c r="P45" s="13">
        <f t="shared" si="7"/>
        <v>0</v>
      </c>
      <c r="Q45" s="13">
        <f t="shared" si="7"/>
        <v>0</v>
      </c>
      <c r="R45" s="13">
        <f t="shared" si="7"/>
        <v>0</v>
      </c>
      <c r="S45" s="13">
        <f t="shared" si="7"/>
        <v>0</v>
      </c>
      <c r="T45" s="13">
        <f t="shared" si="7"/>
        <v>0</v>
      </c>
      <c r="U45" s="13">
        <f t="shared" si="7"/>
        <v>0</v>
      </c>
      <c r="V45" s="13">
        <f t="shared" si="7"/>
        <v>0</v>
      </c>
      <c r="W45" s="13">
        <f t="shared" si="7"/>
        <v>0</v>
      </c>
      <c r="X45" s="13">
        <f t="shared" si="7"/>
        <v>0</v>
      </c>
      <c r="Y45" s="13">
        <f t="shared" si="7"/>
        <v>0</v>
      </c>
      <c r="Z45" s="13">
        <f t="shared" si="7"/>
        <v>0</v>
      </c>
      <c r="AA45" s="13">
        <f t="shared" si="7"/>
        <v>0</v>
      </c>
      <c r="AB45" s="13">
        <f t="shared" si="7"/>
        <v>16385.974445179272</v>
      </c>
      <c r="AC45" s="13">
        <f t="shared" si="7"/>
        <v>1367261.6681986251</v>
      </c>
    </row>
    <row r="46" spans="1:29" ht="10.5" x14ac:dyDescent="0.25">
      <c r="A46" s="16" t="s">
        <v>79</v>
      </c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29" x14ac:dyDescent="0.2">
      <c r="A47" s="17" t="s">
        <v>80</v>
      </c>
      <c r="B47" s="10">
        <v>0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2009.0001050855044</v>
      </c>
      <c r="I47" s="10">
        <v>0</v>
      </c>
      <c r="J47" s="10">
        <f>SUM(C47:I47)</f>
        <v>2009.0001050855044</v>
      </c>
      <c r="K47" s="10">
        <v>0</v>
      </c>
      <c r="L47" s="10">
        <v>0</v>
      </c>
      <c r="M47" s="10">
        <v>0</v>
      </c>
      <c r="N47" s="10">
        <v>289.27017074812284</v>
      </c>
      <c r="O47" s="10">
        <f>SUM(K47:N47)</f>
        <v>289.27017074812284</v>
      </c>
      <c r="P47" s="10">
        <v>0</v>
      </c>
      <c r="Q47" s="10">
        <v>0</v>
      </c>
      <c r="R47" s="10">
        <v>0</v>
      </c>
      <c r="S47" s="10">
        <v>0</v>
      </c>
      <c r="T47" s="10">
        <f>SUM(Q47:S47)</f>
        <v>0</v>
      </c>
      <c r="U47" s="10">
        <v>0</v>
      </c>
      <c r="V47" s="10">
        <v>0</v>
      </c>
      <c r="W47" s="10">
        <v>-142.2781942294551</v>
      </c>
      <c r="X47" s="10">
        <v>0</v>
      </c>
      <c r="Y47" s="10">
        <v>0</v>
      </c>
      <c r="Z47" s="10">
        <f>SUM(U47:Y47)</f>
        <v>-142.2781942294551</v>
      </c>
      <c r="AA47" s="10">
        <f>SUM(P47,T47,Z47)</f>
        <v>-142.2781942294551</v>
      </c>
      <c r="AB47" s="10">
        <v>373.21131965721918</v>
      </c>
      <c r="AC47" s="10">
        <f>SUM(B47,J47,O47,AA47:AB47)</f>
        <v>2529.2034012613913</v>
      </c>
    </row>
    <row r="48" spans="1:29" x14ac:dyDescent="0.2">
      <c r="A48" s="17" t="s">
        <v>81</v>
      </c>
      <c r="B48" s="10">
        <v>0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f>SUM(C48:I48)</f>
        <v>0</v>
      </c>
      <c r="K48" s="10">
        <v>0</v>
      </c>
      <c r="L48" s="10">
        <v>0</v>
      </c>
      <c r="M48" s="10">
        <v>0</v>
      </c>
      <c r="N48" s="10">
        <v>16224.495828653413</v>
      </c>
      <c r="O48" s="10">
        <f>SUM(K48:N48)</f>
        <v>16224.495828653413</v>
      </c>
      <c r="P48" s="10">
        <v>0</v>
      </c>
      <c r="Q48" s="10">
        <v>0</v>
      </c>
      <c r="R48" s="10">
        <v>0</v>
      </c>
      <c r="S48" s="10">
        <v>0</v>
      </c>
      <c r="T48" s="10">
        <f>SUM(Q48:S48)</f>
        <v>0</v>
      </c>
      <c r="U48" s="10">
        <v>0</v>
      </c>
      <c r="V48" s="10">
        <v>0</v>
      </c>
      <c r="W48" s="10">
        <v>243.69089515342154</v>
      </c>
      <c r="X48" s="10">
        <v>0</v>
      </c>
      <c r="Y48" s="10">
        <v>0</v>
      </c>
      <c r="Z48" s="10">
        <f>SUM(U48:Y48)</f>
        <v>243.69089515342154</v>
      </c>
      <c r="AA48" s="10">
        <f>SUM(P48,T48,Z48)</f>
        <v>243.69089515342154</v>
      </c>
      <c r="AB48" s="10">
        <v>97.047464564808251</v>
      </c>
      <c r="AC48" s="10">
        <f>SUM(B48,J48,O48,AA48:AB48)</f>
        <v>16565.234188371644</v>
      </c>
    </row>
    <row r="49" spans="1:29" x14ac:dyDescent="0.2">
      <c r="A49" s="17" t="s">
        <v>82</v>
      </c>
      <c r="B49" s="10">
        <v>-1217.0124254748944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f>SUM(C49:I49)</f>
        <v>0</v>
      </c>
      <c r="K49" s="10">
        <v>0</v>
      </c>
      <c r="L49" s="10">
        <v>0</v>
      </c>
      <c r="M49" s="10">
        <v>0</v>
      </c>
      <c r="N49" s="10">
        <v>0</v>
      </c>
      <c r="O49" s="10">
        <f>SUM(K49:N49)</f>
        <v>0</v>
      </c>
      <c r="P49" s="10">
        <v>0</v>
      </c>
      <c r="Q49" s="10">
        <v>0</v>
      </c>
      <c r="R49" s="10">
        <v>0</v>
      </c>
      <c r="S49" s="10">
        <v>0</v>
      </c>
      <c r="T49" s="10">
        <f>SUM(Q49:S49)</f>
        <v>0</v>
      </c>
      <c r="U49" s="10">
        <v>0</v>
      </c>
      <c r="V49" s="10">
        <v>0</v>
      </c>
      <c r="W49" s="10">
        <v>2600.7002116571148</v>
      </c>
      <c r="X49" s="10">
        <v>0</v>
      </c>
      <c r="Y49" s="10">
        <v>0</v>
      </c>
      <c r="Z49" s="10">
        <f>SUM(U49:Y49)</f>
        <v>2600.7002116571148</v>
      </c>
      <c r="AA49" s="10">
        <f>SUM(P49,T49,Z49)</f>
        <v>2600.7002116571148</v>
      </c>
      <c r="AB49" s="10">
        <v>0</v>
      </c>
      <c r="AC49" s="10">
        <f>SUM(B49,J49,O49,AA49:AB49)</f>
        <v>1383.6877861822204</v>
      </c>
    </row>
    <row r="50" spans="1:29" x14ac:dyDescent="0.2">
      <c r="A50" s="17" t="s">
        <v>275</v>
      </c>
      <c r="B50" s="10">
        <v>0</v>
      </c>
      <c r="C50" s="10">
        <v>0</v>
      </c>
      <c r="D50" s="10">
        <v>0</v>
      </c>
      <c r="E50" s="10">
        <v>0</v>
      </c>
      <c r="F50" s="10">
        <v>0</v>
      </c>
      <c r="G50" s="10">
        <v>0</v>
      </c>
      <c r="H50" s="10">
        <v>0</v>
      </c>
      <c r="I50" s="10">
        <v>0</v>
      </c>
      <c r="J50" s="10">
        <f>SUM(C50:I50)</f>
        <v>0</v>
      </c>
      <c r="K50" s="10">
        <v>0</v>
      </c>
      <c r="L50" s="10">
        <v>0</v>
      </c>
      <c r="M50" s="10">
        <v>0</v>
      </c>
      <c r="N50" s="10">
        <v>0</v>
      </c>
      <c r="O50" s="10">
        <f>SUM(K50:N50)</f>
        <v>0</v>
      </c>
      <c r="P50" s="10">
        <v>0</v>
      </c>
      <c r="Q50" s="10">
        <v>0</v>
      </c>
      <c r="R50" s="10">
        <v>0</v>
      </c>
      <c r="S50" s="10">
        <v>0</v>
      </c>
      <c r="T50" s="10">
        <f>SUM(Q50:S50)</f>
        <v>0</v>
      </c>
      <c r="U50" s="10">
        <v>0</v>
      </c>
      <c r="V50" s="10">
        <v>0</v>
      </c>
      <c r="W50" s="10">
        <v>11338.529475725181</v>
      </c>
      <c r="X50" s="10">
        <v>0</v>
      </c>
      <c r="Y50" s="10">
        <v>0</v>
      </c>
      <c r="Z50" s="10">
        <f>SUM(U50:Y50)</f>
        <v>11338.529475725181</v>
      </c>
      <c r="AA50" s="10">
        <f>SUM(P50,T50,Z50)</f>
        <v>11338.529475725181</v>
      </c>
      <c r="AB50" s="10">
        <v>-11338.741366497126</v>
      </c>
      <c r="AC50" s="10">
        <f>SUM(B50,J50,O50,AA50:AB50)</f>
        <v>-0.21189077194503625</v>
      </c>
    </row>
    <row r="51" spans="1:29" x14ac:dyDescent="0.2">
      <c r="A51" s="17" t="s">
        <v>276</v>
      </c>
      <c r="B51" s="10">
        <v>0</v>
      </c>
      <c r="C51" s="10">
        <v>0</v>
      </c>
      <c r="D51" s="10">
        <v>0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0">
        <f>SUM(C51:I51)</f>
        <v>0</v>
      </c>
      <c r="K51" s="10">
        <v>0</v>
      </c>
      <c r="L51" s="10">
        <v>0</v>
      </c>
      <c r="M51" s="10">
        <v>0</v>
      </c>
      <c r="N51" s="10">
        <v>0</v>
      </c>
      <c r="O51" s="10">
        <f>SUM(K51:N51)</f>
        <v>0</v>
      </c>
      <c r="P51" s="10">
        <v>0</v>
      </c>
      <c r="Q51" s="10">
        <v>0</v>
      </c>
      <c r="R51" s="10">
        <v>0</v>
      </c>
      <c r="S51" s="10">
        <v>0</v>
      </c>
      <c r="T51" s="10">
        <f>SUM(Q51:S51)</f>
        <v>0</v>
      </c>
      <c r="U51" s="10">
        <v>0</v>
      </c>
      <c r="V51" s="10">
        <v>0</v>
      </c>
      <c r="W51" s="10">
        <v>1760.7079721381499</v>
      </c>
      <c r="X51" s="10">
        <v>0</v>
      </c>
      <c r="Y51" s="10">
        <v>0</v>
      </c>
      <c r="Z51" s="10">
        <f>SUM(U51:Y51)</f>
        <v>1760.7079721381499</v>
      </c>
      <c r="AA51" s="10">
        <f>SUM(P51,T51,Z51)</f>
        <v>1760.7079721381499</v>
      </c>
      <c r="AB51" s="10">
        <v>0</v>
      </c>
      <c r="AC51" s="10">
        <f>SUM(B51,J51,O51,AA51:AB51)</f>
        <v>1760.7079721381499</v>
      </c>
    </row>
    <row r="52" spans="1:29" ht="10.5" x14ac:dyDescent="0.25">
      <c r="A52" s="21" t="s">
        <v>83</v>
      </c>
      <c r="B52" s="13">
        <f t="shared" ref="B52:AC52" si="8">SUM(B47:B51)</f>
        <v>-1217.0124254748944</v>
      </c>
      <c r="C52" s="13">
        <f t="shared" si="8"/>
        <v>0</v>
      </c>
      <c r="D52" s="13">
        <f t="shared" si="8"/>
        <v>0</v>
      </c>
      <c r="E52" s="13">
        <f t="shared" si="8"/>
        <v>0</v>
      </c>
      <c r="F52" s="13">
        <f t="shared" si="8"/>
        <v>0</v>
      </c>
      <c r="G52" s="13">
        <f t="shared" si="8"/>
        <v>0</v>
      </c>
      <c r="H52" s="13">
        <f t="shared" si="8"/>
        <v>2009.0001050855044</v>
      </c>
      <c r="I52" s="13">
        <f t="shared" si="8"/>
        <v>0</v>
      </c>
      <c r="J52" s="13">
        <f t="shared" si="8"/>
        <v>2009.0001050855044</v>
      </c>
      <c r="K52" s="13">
        <f t="shared" si="8"/>
        <v>0</v>
      </c>
      <c r="L52" s="13">
        <f t="shared" si="8"/>
        <v>0</v>
      </c>
      <c r="M52" s="13">
        <f t="shared" si="8"/>
        <v>0</v>
      </c>
      <c r="N52" s="13">
        <f t="shared" si="8"/>
        <v>16513.765999401534</v>
      </c>
      <c r="O52" s="13">
        <f t="shared" si="8"/>
        <v>16513.765999401534</v>
      </c>
      <c r="P52" s="13">
        <f t="shared" si="8"/>
        <v>0</v>
      </c>
      <c r="Q52" s="13">
        <f t="shared" si="8"/>
        <v>0</v>
      </c>
      <c r="R52" s="13">
        <f t="shared" si="8"/>
        <v>0</v>
      </c>
      <c r="S52" s="13">
        <f t="shared" si="8"/>
        <v>0</v>
      </c>
      <c r="T52" s="13">
        <f t="shared" si="8"/>
        <v>0</v>
      </c>
      <c r="U52" s="13">
        <f t="shared" si="8"/>
        <v>0</v>
      </c>
      <c r="V52" s="13">
        <f t="shared" si="8"/>
        <v>0</v>
      </c>
      <c r="W52" s="13">
        <f t="shared" si="8"/>
        <v>15801.350360444414</v>
      </c>
      <c r="X52" s="13">
        <f t="shared" si="8"/>
        <v>0</v>
      </c>
      <c r="Y52" s="13">
        <f t="shared" si="8"/>
        <v>0</v>
      </c>
      <c r="Z52" s="13">
        <f t="shared" si="8"/>
        <v>15801.350360444414</v>
      </c>
      <c r="AA52" s="13">
        <f t="shared" si="8"/>
        <v>15801.350360444414</v>
      </c>
      <c r="AB52" s="13">
        <f t="shared" si="8"/>
        <v>-10868.482582275099</v>
      </c>
      <c r="AC52" s="13">
        <f t="shared" si="8"/>
        <v>22238.62145718146</v>
      </c>
    </row>
    <row r="53" spans="1:29" ht="10.5" x14ac:dyDescent="0.25">
      <c r="A53" s="16" t="s">
        <v>84</v>
      </c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x14ac:dyDescent="0.2">
      <c r="A54" s="17" t="s">
        <v>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2842.429110643056</v>
      </c>
      <c r="I54" s="10">
        <v>0</v>
      </c>
      <c r="J54" s="10">
        <f>SUM(C54:I54)</f>
        <v>2842.429110643056</v>
      </c>
      <c r="K54" s="10">
        <v>3187.6228666472398</v>
      </c>
      <c r="L54" s="10">
        <v>0</v>
      </c>
      <c r="M54" s="10">
        <v>0</v>
      </c>
      <c r="N54" s="10">
        <v>24294.590264317107</v>
      </c>
      <c r="O54" s="10">
        <f>SUM(K54:N54)</f>
        <v>27482.213130964345</v>
      </c>
      <c r="P54" s="10">
        <v>0</v>
      </c>
      <c r="Q54" s="10">
        <v>0</v>
      </c>
      <c r="R54" s="10">
        <v>0</v>
      </c>
      <c r="S54" s="10">
        <v>0</v>
      </c>
      <c r="T54" s="10">
        <f>SUM(Q54:S54)</f>
        <v>0</v>
      </c>
      <c r="U54" s="10">
        <v>0</v>
      </c>
      <c r="V54" s="10">
        <v>0</v>
      </c>
      <c r="W54" s="10">
        <v>42041.519597128754</v>
      </c>
      <c r="X54" s="10">
        <v>0</v>
      </c>
      <c r="Y54" s="10">
        <v>0</v>
      </c>
      <c r="Z54" s="10">
        <f>SUM(U54:Y54)</f>
        <v>42041.519597128754</v>
      </c>
      <c r="AA54" s="10">
        <f>SUM(P54,T54,Z54)</f>
        <v>42041.519597128754</v>
      </c>
      <c r="AB54" s="10">
        <v>10156.634007313194</v>
      </c>
      <c r="AC54" s="10">
        <f>SUM(B54,J54,O54,AA54:AB54)</f>
        <v>82522.795846049354</v>
      </c>
    </row>
    <row r="55" spans="1:29" x14ac:dyDescent="0.2">
      <c r="A55" s="17" t="s">
        <v>86</v>
      </c>
      <c r="B55" s="10">
        <v>0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f>SUM(C55:I55)</f>
        <v>0</v>
      </c>
      <c r="K55" s="10">
        <v>0</v>
      </c>
      <c r="L55" s="10">
        <v>0</v>
      </c>
      <c r="M55" s="10">
        <v>0</v>
      </c>
      <c r="N55" s="10">
        <v>0</v>
      </c>
      <c r="O55" s="10">
        <f>SUM(K55:N55)</f>
        <v>0</v>
      </c>
      <c r="P55" s="10">
        <v>0</v>
      </c>
      <c r="Q55" s="10">
        <v>0</v>
      </c>
      <c r="R55" s="10">
        <v>0</v>
      </c>
      <c r="S55" s="10">
        <v>0</v>
      </c>
      <c r="T55" s="10">
        <f>SUM(Q55:S55)</f>
        <v>0</v>
      </c>
      <c r="U55" s="10">
        <v>0</v>
      </c>
      <c r="V55" s="10">
        <v>0</v>
      </c>
      <c r="W55" s="10">
        <v>17575.411101155736</v>
      </c>
      <c r="X55" s="10">
        <v>0</v>
      </c>
      <c r="Y55" s="10">
        <v>0</v>
      </c>
      <c r="Z55" s="10">
        <f>SUM(U55:Y55)</f>
        <v>17575.411101155736</v>
      </c>
      <c r="AA55" s="10">
        <f>SUM(P55,T55,Z55)</f>
        <v>17575.411101155736</v>
      </c>
      <c r="AB55" s="10">
        <v>-11805.388953875876</v>
      </c>
      <c r="AC55" s="10">
        <f>SUM(B55,J55,O55,AA55:AB55)</f>
        <v>5770.0221472798603</v>
      </c>
    </row>
    <row r="56" spans="1:29" x14ac:dyDescent="0.2">
      <c r="A56" s="17" t="s">
        <v>87</v>
      </c>
      <c r="B56" s="10">
        <v>0</v>
      </c>
      <c r="C56" s="10">
        <v>0</v>
      </c>
      <c r="D56" s="10">
        <v>5725.8000718839248</v>
      </c>
      <c r="E56" s="10">
        <v>8704.774964258344</v>
      </c>
      <c r="F56" s="10">
        <v>4625.5721565656286</v>
      </c>
      <c r="G56" s="10">
        <v>0</v>
      </c>
      <c r="H56" s="10">
        <v>791.35810466766895</v>
      </c>
      <c r="I56" s="10">
        <v>0</v>
      </c>
      <c r="J56" s="10">
        <f>SUM(C56:I56)</f>
        <v>19847.505297375566</v>
      </c>
      <c r="K56" s="10">
        <v>0</v>
      </c>
      <c r="L56" s="10">
        <v>272.95411490178503</v>
      </c>
      <c r="M56" s="10">
        <v>0</v>
      </c>
      <c r="N56" s="10">
        <v>81489.879819432957</v>
      </c>
      <c r="O56" s="10">
        <f>SUM(K56:N56)</f>
        <v>81762.833934334747</v>
      </c>
      <c r="P56" s="10">
        <v>0</v>
      </c>
      <c r="Q56" s="10">
        <v>0</v>
      </c>
      <c r="R56" s="10">
        <v>0</v>
      </c>
      <c r="S56" s="10">
        <v>1356.7776164973238</v>
      </c>
      <c r="T56" s="10">
        <f>SUM(Q56:S56)</f>
        <v>1356.7776164973238</v>
      </c>
      <c r="U56" s="10">
        <v>31756.415056746879</v>
      </c>
      <c r="V56" s="10">
        <v>0</v>
      </c>
      <c r="W56" s="10">
        <v>106853.41338801281</v>
      </c>
      <c r="X56" s="10">
        <v>0</v>
      </c>
      <c r="Y56" s="10">
        <v>0</v>
      </c>
      <c r="Z56" s="10">
        <f>SUM(U56:Y56)</f>
        <v>138609.82844475968</v>
      </c>
      <c r="AA56" s="10">
        <f>SUM(P56,T56,Z56)</f>
        <v>139966.60606125701</v>
      </c>
      <c r="AB56" s="10">
        <v>5031.3296219908889</v>
      </c>
      <c r="AC56" s="10">
        <f>SUM(B56,J56,O56,AA56:AB56)</f>
        <v>246608.27491495819</v>
      </c>
    </row>
    <row r="57" spans="1:29" ht="10.5" x14ac:dyDescent="0.25">
      <c r="A57" s="21" t="s">
        <v>88</v>
      </c>
      <c r="B57" s="13">
        <f t="shared" ref="B57:AC57" si="9">SUM(B54:B56)</f>
        <v>0</v>
      </c>
      <c r="C57" s="13">
        <f t="shared" si="9"/>
        <v>0</v>
      </c>
      <c r="D57" s="13">
        <f t="shared" si="9"/>
        <v>5725.8000718839248</v>
      </c>
      <c r="E57" s="13">
        <f t="shared" si="9"/>
        <v>8704.774964258344</v>
      </c>
      <c r="F57" s="13">
        <f t="shared" si="9"/>
        <v>4625.5721565656286</v>
      </c>
      <c r="G57" s="13">
        <f t="shared" si="9"/>
        <v>0</v>
      </c>
      <c r="H57" s="13">
        <f t="shared" si="9"/>
        <v>3633.7872153107251</v>
      </c>
      <c r="I57" s="13">
        <f t="shared" si="9"/>
        <v>0</v>
      </c>
      <c r="J57" s="13">
        <f t="shared" si="9"/>
        <v>22689.934408018624</v>
      </c>
      <c r="K57" s="13">
        <f t="shared" si="9"/>
        <v>3187.6228666472398</v>
      </c>
      <c r="L57" s="13">
        <f t="shared" si="9"/>
        <v>272.95411490178503</v>
      </c>
      <c r="M57" s="13">
        <f t="shared" si="9"/>
        <v>0</v>
      </c>
      <c r="N57" s="13">
        <f t="shared" si="9"/>
        <v>105784.47008375006</v>
      </c>
      <c r="O57" s="13">
        <f t="shared" si="9"/>
        <v>109245.04706529909</v>
      </c>
      <c r="P57" s="13">
        <f t="shared" si="9"/>
        <v>0</v>
      </c>
      <c r="Q57" s="13">
        <f t="shared" si="9"/>
        <v>0</v>
      </c>
      <c r="R57" s="13">
        <f t="shared" si="9"/>
        <v>0</v>
      </c>
      <c r="S57" s="13">
        <f t="shared" si="9"/>
        <v>1356.7776164973238</v>
      </c>
      <c r="T57" s="13">
        <f t="shared" si="9"/>
        <v>1356.7776164973238</v>
      </c>
      <c r="U57" s="13">
        <f t="shared" si="9"/>
        <v>31756.415056746879</v>
      </c>
      <c r="V57" s="13">
        <f t="shared" si="9"/>
        <v>0</v>
      </c>
      <c r="W57" s="13">
        <f t="shared" si="9"/>
        <v>166470.34408629729</v>
      </c>
      <c r="X57" s="13">
        <f t="shared" si="9"/>
        <v>0</v>
      </c>
      <c r="Y57" s="13">
        <f t="shared" si="9"/>
        <v>0</v>
      </c>
      <c r="Z57" s="13">
        <f t="shared" si="9"/>
        <v>198226.75914304418</v>
      </c>
      <c r="AA57" s="13">
        <f t="shared" si="9"/>
        <v>199583.53675954149</v>
      </c>
      <c r="AB57" s="13">
        <f t="shared" si="9"/>
        <v>3382.5746754282072</v>
      </c>
      <c r="AC57" s="13">
        <f t="shared" si="9"/>
        <v>334901.09290828742</v>
      </c>
    </row>
    <row r="58" spans="1:29" ht="10.5" x14ac:dyDescent="0.25">
      <c r="A58" s="16" t="s">
        <v>89</v>
      </c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x14ac:dyDescent="0.2">
      <c r="A59" s="17" t="s">
        <v>277</v>
      </c>
      <c r="B59" s="10">
        <v>0</v>
      </c>
      <c r="C59" s="10">
        <v>0</v>
      </c>
      <c r="D59" s="10">
        <v>0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10">
        <f>SUM(C59:I59)</f>
        <v>0</v>
      </c>
      <c r="K59" s="10">
        <v>0</v>
      </c>
      <c r="L59" s="10">
        <v>0</v>
      </c>
      <c r="M59" s="10">
        <v>0</v>
      </c>
      <c r="N59" s="10">
        <v>0</v>
      </c>
      <c r="O59" s="10">
        <f>SUM(K59:N59)</f>
        <v>0</v>
      </c>
      <c r="P59" s="10">
        <v>0</v>
      </c>
      <c r="Q59" s="10">
        <v>0</v>
      </c>
      <c r="R59" s="10">
        <v>0</v>
      </c>
      <c r="S59" s="10">
        <v>0</v>
      </c>
      <c r="T59" s="10">
        <f>SUM(Q59:S59)</f>
        <v>0</v>
      </c>
      <c r="U59" s="10">
        <v>0</v>
      </c>
      <c r="V59" s="10">
        <v>0</v>
      </c>
      <c r="W59" s="10">
        <v>3185.88026950828</v>
      </c>
      <c r="X59" s="10">
        <v>0</v>
      </c>
      <c r="Y59" s="10">
        <v>0</v>
      </c>
      <c r="Z59" s="10">
        <f>SUM(U59:Y59)</f>
        <v>3185.88026950828</v>
      </c>
      <c r="AA59" s="10">
        <f>SUM(P59,T59,Z59)</f>
        <v>3185.88026950828</v>
      </c>
      <c r="AB59" s="10">
        <v>0</v>
      </c>
      <c r="AC59" s="10">
        <f>SUM(B59,J59,O59,AA59:AB59)</f>
        <v>3185.88026950828</v>
      </c>
    </row>
    <row r="60" spans="1:29" x14ac:dyDescent="0.2">
      <c r="A60" s="17" t="s">
        <v>90</v>
      </c>
      <c r="B60" s="10">
        <v>0</v>
      </c>
      <c r="C60" s="10">
        <v>0</v>
      </c>
      <c r="D60" s="10">
        <v>0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10">
        <f>SUM(C60:I60)</f>
        <v>0</v>
      </c>
      <c r="K60" s="10">
        <v>0</v>
      </c>
      <c r="L60" s="10">
        <v>0</v>
      </c>
      <c r="M60" s="10">
        <v>0</v>
      </c>
      <c r="N60" s="10">
        <v>0</v>
      </c>
      <c r="O60" s="10">
        <f>SUM(K60:N60)</f>
        <v>0</v>
      </c>
      <c r="P60" s="10">
        <v>0</v>
      </c>
      <c r="Q60" s="10">
        <v>0</v>
      </c>
      <c r="R60" s="10">
        <v>0</v>
      </c>
      <c r="S60" s="10">
        <v>0</v>
      </c>
      <c r="T60" s="10">
        <f>SUM(Q60:S60)</f>
        <v>0</v>
      </c>
      <c r="U60" s="10">
        <v>0</v>
      </c>
      <c r="V60" s="10">
        <v>0</v>
      </c>
      <c r="W60" s="10">
        <v>3532.8210630406602</v>
      </c>
      <c r="X60" s="10">
        <v>0</v>
      </c>
      <c r="Y60" s="10">
        <v>0</v>
      </c>
      <c r="Z60" s="10">
        <f>SUM(U60:Y60)</f>
        <v>3532.8210630406602</v>
      </c>
      <c r="AA60" s="10">
        <f>SUM(P60,T60,Z60)</f>
        <v>3532.8210630406602</v>
      </c>
      <c r="AB60" s="10">
        <v>0</v>
      </c>
      <c r="AC60" s="10">
        <f>SUM(B60,J60,O60,AA60:AB60)</f>
        <v>3532.8210630406602</v>
      </c>
    </row>
    <row r="61" spans="1:29" ht="10.5" x14ac:dyDescent="0.25">
      <c r="A61" s="21" t="s">
        <v>91</v>
      </c>
      <c r="B61" s="13">
        <f t="shared" ref="B61:AC61" si="10">SUM(B59:B60)</f>
        <v>0</v>
      </c>
      <c r="C61" s="13">
        <f t="shared" si="10"/>
        <v>0</v>
      </c>
      <c r="D61" s="13">
        <f t="shared" si="10"/>
        <v>0</v>
      </c>
      <c r="E61" s="13">
        <f t="shared" si="10"/>
        <v>0</v>
      </c>
      <c r="F61" s="13">
        <f t="shared" si="10"/>
        <v>0</v>
      </c>
      <c r="G61" s="13">
        <f t="shared" si="10"/>
        <v>0</v>
      </c>
      <c r="H61" s="13">
        <f t="shared" si="10"/>
        <v>0</v>
      </c>
      <c r="I61" s="13">
        <f t="shared" si="10"/>
        <v>0</v>
      </c>
      <c r="J61" s="13">
        <f t="shared" si="10"/>
        <v>0</v>
      </c>
      <c r="K61" s="13">
        <f t="shared" si="10"/>
        <v>0</v>
      </c>
      <c r="L61" s="13">
        <f t="shared" si="10"/>
        <v>0</v>
      </c>
      <c r="M61" s="13">
        <f t="shared" si="10"/>
        <v>0</v>
      </c>
      <c r="N61" s="13">
        <f t="shared" si="10"/>
        <v>0</v>
      </c>
      <c r="O61" s="13">
        <f t="shared" si="10"/>
        <v>0</v>
      </c>
      <c r="P61" s="13">
        <f t="shared" si="10"/>
        <v>0</v>
      </c>
      <c r="Q61" s="13">
        <f t="shared" si="10"/>
        <v>0</v>
      </c>
      <c r="R61" s="13">
        <f t="shared" si="10"/>
        <v>0</v>
      </c>
      <c r="S61" s="13">
        <f t="shared" si="10"/>
        <v>0</v>
      </c>
      <c r="T61" s="13">
        <f t="shared" si="10"/>
        <v>0</v>
      </c>
      <c r="U61" s="13">
        <f t="shared" si="10"/>
        <v>0</v>
      </c>
      <c r="V61" s="13">
        <f t="shared" si="10"/>
        <v>0</v>
      </c>
      <c r="W61" s="13">
        <f t="shared" si="10"/>
        <v>6718.7013325489406</v>
      </c>
      <c r="X61" s="13">
        <f t="shared" si="10"/>
        <v>0</v>
      </c>
      <c r="Y61" s="13">
        <f t="shared" si="10"/>
        <v>0</v>
      </c>
      <c r="Z61" s="13">
        <f t="shared" si="10"/>
        <v>6718.7013325489406</v>
      </c>
      <c r="AA61" s="13">
        <f t="shared" si="10"/>
        <v>6718.7013325489406</v>
      </c>
      <c r="AB61" s="13">
        <f t="shared" si="10"/>
        <v>0</v>
      </c>
      <c r="AC61" s="13">
        <f t="shared" si="10"/>
        <v>6718.7013325489406</v>
      </c>
    </row>
    <row r="62" spans="1:29" ht="10.5" x14ac:dyDescent="0.25">
      <c r="A62" s="16" t="s">
        <v>92</v>
      </c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x14ac:dyDescent="0.2">
      <c r="A63" s="17" t="s">
        <v>93</v>
      </c>
      <c r="B63" s="10">
        <v>0</v>
      </c>
      <c r="C63" s="10">
        <v>0</v>
      </c>
      <c r="D63" s="10">
        <v>1684.2148385180378</v>
      </c>
      <c r="E63" s="10">
        <v>0</v>
      </c>
      <c r="F63" s="10">
        <v>0</v>
      </c>
      <c r="G63" s="10">
        <v>0</v>
      </c>
      <c r="H63" s="10">
        <v>6800.1312990383294</v>
      </c>
      <c r="I63" s="10">
        <v>0</v>
      </c>
      <c r="J63" s="10">
        <f t="shared" ref="J63:J71" si="11">SUM(C63:I63)</f>
        <v>8484.3461375563675</v>
      </c>
      <c r="K63" s="10">
        <v>0</v>
      </c>
      <c r="L63" s="10">
        <v>0</v>
      </c>
      <c r="M63" s="10">
        <v>0</v>
      </c>
      <c r="N63" s="10">
        <v>6503.3248209119083</v>
      </c>
      <c r="O63" s="10">
        <f t="shared" ref="O63:O71" si="12">SUM(K63:N63)</f>
        <v>6503.3248209119083</v>
      </c>
      <c r="P63" s="10">
        <v>0</v>
      </c>
      <c r="Q63" s="10">
        <v>0</v>
      </c>
      <c r="R63" s="10">
        <v>0</v>
      </c>
      <c r="S63" s="10">
        <v>0</v>
      </c>
      <c r="T63" s="10">
        <f t="shared" ref="T63:T71" si="13">SUM(Q63:S63)</f>
        <v>0</v>
      </c>
      <c r="U63" s="10">
        <v>795.59696455593541</v>
      </c>
      <c r="V63" s="10">
        <v>0</v>
      </c>
      <c r="W63" s="10">
        <v>4073.9247548056637</v>
      </c>
      <c r="X63" s="10">
        <v>0</v>
      </c>
      <c r="Y63" s="10">
        <v>470.92548715309738</v>
      </c>
      <c r="Z63" s="10">
        <f t="shared" ref="Z63:Z71" si="14">SUM(U63:Y63)</f>
        <v>5340.4472065146965</v>
      </c>
      <c r="AA63" s="10">
        <f t="shared" ref="AA63:AA71" si="15">SUM(P63,T63,Z63)</f>
        <v>5340.4472065146965</v>
      </c>
      <c r="AB63" s="10">
        <v>6142.9402859292986</v>
      </c>
      <c r="AC63" s="10">
        <f t="shared" ref="AC63:AC71" si="16">SUM(B63,J63,O63,AA63:AB63)</f>
        <v>26471.058450912271</v>
      </c>
    </row>
    <row r="64" spans="1:29" x14ac:dyDescent="0.2">
      <c r="A64" s="17" t="s">
        <v>94</v>
      </c>
      <c r="B64" s="10">
        <v>0</v>
      </c>
      <c r="C64" s="10">
        <v>0</v>
      </c>
      <c r="D64" s="10">
        <v>9218.2758989711401</v>
      </c>
      <c r="E64" s="10">
        <v>0</v>
      </c>
      <c r="F64" s="10">
        <v>0</v>
      </c>
      <c r="G64" s="10">
        <v>0</v>
      </c>
      <c r="H64" s="10">
        <v>1803.2134061385784</v>
      </c>
      <c r="I64" s="10">
        <v>0</v>
      </c>
      <c r="J64" s="10">
        <f t="shared" si="11"/>
        <v>11021.489305109719</v>
      </c>
      <c r="K64" s="10">
        <v>0</v>
      </c>
      <c r="L64" s="10">
        <v>0</v>
      </c>
      <c r="M64" s="10">
        <v>0</v>
      </c>
      <c r="N64" s="10">
        <v>32225.105823434817</v>
      </c>
      <c r="O64" s="10">
        <f t="shared" si="12"/>
        <v>32225.105823434817</v>
      </c>
      <c r="P64" s="10">
        <v>0</v>
      </c>
      <c r="Q64" s="10">
        <v>0</v>
      </c>
      <c r="R64" s="10">
        <v>0</v>
      </c>
      <c r="S64" s="10">
        <v>0</v>
      </c>
      <c r="T64" s="10">
        <f t="shared" si="13"/>
        <v>0</v>
      </c>
      <c r="U64" s="10">
        <v>1939.205809885912</v>
      </c>
      <c r="V64" s="10">
        <v>0</v>
      </c>
      <c r="W64" s="10">
        <v>10418.173479109197</v>
      </c>
      <c r="X64" s="10">
        <v>0</v>
      </c>
      <c r="Y64" s="10">
        <v>1088.6848382999999</v>
      </c>
      <c r="Z64" s="10">
        <f t="shared" si="14"/>
        <v>13446.064127295109</v>
      </c>
      <c r="AA64" s="10">
        <f t="shared" si="15"/>
        <v>13446.064127295109</v>
      </c>
      <c r="AB64" s="10">
        <v>718.6311681773152</v>
      </c>
      <c r="AC64" s="10">
        <f t="shared" si="16"/>
        <v>57411.290424016959</v>
      </c>
    </row>
    <row r="65" spans="1:29" x14ac:dyDescent="0.2">
      <c r="A65" s="17" t="s">
        <v>95</v>
      </c>
      <c r="B65" s="10">
        <v>0</v>
      </c>
      <c r="C65" s="10">
        <v>0</v>
      </c>
      <c r="D65" s="10">
        <v>6980.2376307697859</v>
      </c>
      <c r="E65" s="10">
        <v>0</v>
      </c>
      <c r="F65" s="10">
        <v>0</v>
      </c>
      <c r="G65" s="10">
        <v>0</v>
      </c>
      <c r="H65" s="10">
        <v>4819.07828679667</v>
      </c>
      <c r="I65" s="10">
        <v>0</v>
      </c>
      <c r="J65" s="10">
        <f t="shared" si="11"/>
        <v>11799.315917566455</v>
      </c>
      <c r="K65" s="10">
        <v>0</v>
      </c>
      <c r="L65" s="10">
        <v>0</v>
      </c>
      <c r="M65" s="10">
        <v>0</v>
      </c>
      <c r="N65" s="10">
        <v>36654.520769643277</v>
      </c>
      <c r="O65" s="10">
        <f t="shared" si="12"/>
        <v>36654.520769643277</v>
      </c>
      <c r="P65" s="10">
        <v>0</v>
      </c>
      <c r="Q65" s="10">
        <v>0</v>
      </c>
      <c r="R65" s="10">
        <v>0</v>
      </c>
      <c r="S65" s="10">
        <v>0</v>
      </c>
      <c r="T65" s="10">
        <f t="shared" si="13"/>
        <v>0</v>
      </c>
      <c r="U65" s="10">
        <v>11014.859878534173</v>
      </c>
      <c r="V65" s="10">
        <v>0</v>
      </c>
      <c r="W65" s="10">
        <v>6291.9342921947782</v>
      </c>
      <c r="X65" s="10">
        <v>0</v>
      </c>
      <c r="Y65" s="10">
        <v>103.3089209144058</v>
      </c>
      <c r="Z65" s="10">
        <f t="shared" si="14"/>
        <v>17410.103091643356</v>
      </c>
      <c r="AA65" s="10">
        <f t="shared" si="15"/>
        <v>17410.103091643356</v>
      </c>
      <c r="AB65" s="10">
        <v>174.8098868549626</v>
      </c>
      <c r="AC65" s="10">
        <f t="shared" si="16"/>
        <v>66038.749665708048</v>
      </c>
    </row>
    <row r="66" spans="1:29" x14ac:dyDescent="0.2">
      <c r="A66" s="17" t="s">
        <v>96</v>
      </c>
      <c r="B66" s="10">
        <v>0</v>
      </c>
      <c r="C66" s="10">
        <v>0</v>
      </c>
      <c r="D66" s="10">
        <v>659.46478252908946</v>
      </c>
      <c r="E66" s="10">
        <v>0</v>
      </c>
      <c r="F66" s="10">
        <v>0</v>
      </c>
      <c r="G66" s="10">
        <v>0</v>
      </c>
      <c r="H66" s="10">
        <v>149.97148228415031</v>
      </c>
      <c r="I66" s="10">
        <v>0</v>
      </c>
      <c r="J66" s="10">
        <f t="shared" si="11"/>
        <v>809.43626481323975</v>
      </c>
      <c r="K66" s="10">
        <v>0</v>
      </c>
      <c r="L66" s="10">
        <v>0</v>
      </c>
      <c r="M66" s="10">
        <v>0</v>
      </c>
      <c r="N66" s="10">
        <v>3852.3887615687872</v>
      </c>
      <c r="O66" s="10">
        <f t="shared" si="12"/>
        <v>3852.3887615687872</v>
      </c>
      <c r="P66" s="10">
        <v>0</v>
      </c>
      <c r="Q66" s="10">
        <v>87.917028856032132</v>
      </c>
      <c r="R66" s="10">
        <v>0</v>
      </c>
      <c r="S66" s="10">
        <v>0</v>
      </c>
      <c r="T66" s="10">
        <f t="shared" si="13"/>
        <v>87.917028856032132</v>
      </c>
      <c r="U66" s="10">
        <v>2861.0091578442721</v>
      </c>
      <c r="V66" s="10">
        <v>0</v>
      </c>
      <c r="W66" s="10">
        <v>2968.6960305115581</v>
      </c>
      <c r="X66" s="10">
        <v>0</v>
      </c>
      <c r="Y66" s="10">
        <v>334.32312000000002</v>
      </c>
      <c r="Z66" s="10">
        <f t="shared" si="14"/>
        <v>6164.0283083558306</v>
      </c>
      <c r="AA66" s="10">
        <f t="shared" si="15"/>
        <v>6251.9453372118624</v>
      </c>
      <c r="AB66" s="10">
        <v>4019.5344095760947</v>
      </c>
      <c r="AC66" s="10">
        <f t="shared" si="16"/>
        <v>14933.304773169984</v>
      </c>
    </row>
    <row r="67" spans="1:29" x14ac:dyDescent="0.2">
      <c r="A67" s="17" t="s">
        <v>97</v>
      </c>
      <c r="B67" s="10">
        <v>0</v>
      </c>
      <c r="C67" s="10">
        <v>0</v>
      </c>
      <c r="D67" s="10">
        <v>1242.2604992655827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f t="shared" si="11"/>
        <v>1242.2604992655827</v>
      </c>
      <c r="K67" s="10">
        <v>0</v>
      </c>
      <c r="L67" s="10">
        <v>0</v>
      </c>
      <c r="M67" s="10">
        <v>0</v>
      </c>
      <c r="N67" s="10">
        <v>1346.1625062848045</v>
      </c>
      <c r="O67" s="10">
        <f t="shared" si="12"/>
        <v>1346.1625062848045</v>
      </c>
      <c r="P67" s="10">
        <v>0</v>
      </c>
      <c r="Q67" s="10">
        <v>0</v>
      </c>
      <c r="R67" s="10">
        <v>0</v>
      </c>
      <c r="S67" s="10">
        <v>0</v>
      </c>
      <c r="T67" s="10">
        <f t="shared" si="13"/>
        <v>0</v>
      </c>
      <c r="U67" s="10">
        <v>0</v>
      </c>
      <c r="V67" s="10">
        <v>0</v>
      </c>
      <c r="W67" s="10">
        <v>569.30935350000004</v>
      </c>
      <c r="X67" s="10">
        <v>0</v>
      </c>
      <c r="Y67" s="10">
        <v>0</v>
      </c>
      <c r="Z67" s="10">
        <f t="shared" si="14"/>
        <v>569.30935350000004</v>
      </c>
      <c r="AA67" s="10">
        <f t="shared" si="15"/>
        <v>569.30935350000004</v>
      </c>
      <c r="AB67" s="10">
        <v>0</v>
      </c>
      <c r="AC67" s="10">
        <f t="shared" si="16"/>
        <v>3157.7323590503875</v>
      </c>
    </row>
    <row r="68" spans="1:29" x14ac:dyDescent="0.2">
      <c r="A68" s="17" t="s">
        <v>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f t="shared" si="11"/>
        <v>0</v>
      </c>
      <c r="K68" s="10">
        <v>0</v>
      </c>
      <c r="L68" s="10">
        <v>0</v>
      </c>
      <c r="M68" s="10">
        <v>0</v>
      </c>
      <c r="N68" s="10">
        <v>0</v>
      </c>
      <c r="O68" s="10">
        <f t="shared" si="12"/>
        <v>0</v>
      </c>
      <c r="P68" s="10">
        <v>0</v>
      </c>
      <c r="Q68" s="10">
        <v>0</v>
      </c>
      <c r="R68" s="10">
        <v>0</v>
      </c>
      <c r="S68" s="10">
        <v>0</v>
      </c>
      <c r="T68" s="10">
        <f t="shared" si="13"/>
        <v>0</v>
      </c>
      <c r="U68" s="10">
        <v>0</v>
      </c>
      <c r="V68" s="10">
        <v>0</v>
      </c>
      <c r="W68" s="10">
        <v>6079.161315320569</v>
      </c>
      <c r="X68" s="10">
        <v>0</v>
      </c>
      <c r="Y68" s="10">
        <v>0</v>
      </c>
      <c r="Z68" s="10">
        <f t="shared" si="14"/>
        <v>6079.161315320569</v>
      </c>
      <c r="AA68" s="10">
        <f t="shared" si="15"/>
        <v>6079.161315320569</v>
      </c>
      <c r="AB68" s="10">
        <v>1687.3428991868961</v>
      </c>
      <c r="AC68" s="10">
        <f t="shared" si="16"/>
        <v>7766.5042145074649</v>
      </c>
    </row>
    <row r="69" spans="1:29" x14ac:dyDescent="0.2">
      <c r="A69" s="17" t="s">
        <v>99</v>
      </c>
      <c r="B69" s="10">
        <v>0</v>
      </c>
      <c r="C69" s="10">
        <v>0</v>
      </c>
      <c r="D69" s="10">
        <v>0</v>
      </c>
      <c r="E69" s="10">
        <v>0</v>
      </c>
      <c r="F69" s="10">
        <v>0</v>
      </c>
      <c r="G69" s="10">
        <v>0</v>
      </c>
      <c r="H69" s="10">
        <v>546.53299215961442</v>
      </c>
      <c r="I69" s="10">
        <v>0</v>
      </c>
      <c r="J69" s="10">
        <f t="shared" si="11"/>
        <v>546.53299215961442</v>
      </c>
      <c r="K69" s="10">
        <v>0</v>
      </c>
      <c r="L69" s="10">
        <v>0</v>
      </c>
      <c r="M69" s="10">
        <v>0</v>
      </c>
      <c r="N69" s="10">
        <v>1772.7123462162174</v>
      </c>
      <c r="O69" s="10">
        <f t="shared" si="12"/>
        <v>1772.7123462162174</v>
      </c>
      <c r="P69" s="10">
        <v>0</v>
      </c>
      <c r="Q69" s="10">
        <v>0</v>
      </c>
      <c r="R69" s="10">
        <v>0</v>
      </c>
      <c r="S69" s="10">
        <v>0</v>
      </c>
      <c r="T69" s="10">
        <f t="shared" si="13"/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f t="shared" si="14"/>
        <v>0</v>
      </c>
      <c r="AA69" s="10">
        <f t="shared" si="15"/>
        <v>0</v>
      </c>
      <c r="AB69" s="10">
        <v>85.535504198850958</v>
      </c>
      <c r="AC69" s="10">
        <f t="shared" si="16"/>
        <v>2404.780842574683</v>
      </c>
    </row>
    <row r="70" spans="1:29" x14ac:dyDescent="0.2">
      <c r="A70" s="17" t="s">
        <v>278</v>
      </c>
      <c r="B70" s="10">
        <v>0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f t="shared" si="11"/>
        <v>0</v>
      </c>
      <c r="K70" s="10">
        <v>0</v>
      </c>
      <c r="L70" s="10">
        <v>0</v>
      </c>
      <c r="M70" s="10">
        <v>0</v>
      </c>
      <c r="N70" s="10">
        <v>8043.8152270687851</v>
      </c>
      <c r="O70" s="10">
        <f t="shared" si="12"/>
        <v>8043.8152270687851</v>
      </c>
      <c r="P70" s="10">
        <v>0</v>
      </c>
      <c r="Q70" s="10">
        <v>0</v>
      </c>
      <c r="R70" s="10">
        <v>0</v>
      </c>
      <c r="S70" s="10">
        <v>0</v>
      </c>
      <c r="T70" s="10">
        <f t="shared" si="13"/>
        <v>0</v>
      </c>
      <c r="U70" s="10">
        <v>933.85543982146919</v>
      </c>
      <c r="V70" s="10">
        <v>0</v>
      </c>
      <c r="W70" s="10">
        <v>5446.6601935679673</v>
      </c>
      <c r="X70" s="10">
        <v>0</v>
      </c>
      <c r="Y70" s="10">
        <v>0</v>
      </c>
      <c r="Z70" s="10">
        <f t="shared" si="14"/>
        <v>6380.5156333894365</v>
      </c>
      <c r="AA70" s="10">
        <f t="shared" si="15"/>
        <v>6380.5156333894365</v>
      </c>
      <c r="AB70" s="10">
        <v>0</v>
      </c>
      <c r="AC70" s="10">
        <f t="shared" si="16"/>
        <v>14424.330860458222</v>
      </c>
    </row>
    <row r="71" spans="1:29" x14ac:dyDescent="0.2">
      <c r="A71" s="17" t="s">
        <v>100</v>
      </c>
      <c r="B71" s="10">
        <v>0</v>
      </c>
      <c r="C71" s="10">
        <v>0</v>
      </c>
      <c r="D71" s="10">
        <v>321.76479333253491</v>
      </c>
      <c r="E71" s="10">
        <v>0</v>
      </c>
      <c r="F71" s="10">
        <v>0</v>
      </c>
      <c r="G71" s="10">
        <v>0</v>
      </c>
      <c r="H71" s="10">
        <v>1598.8563677538739</v>
      </c>
      <c r="I71" s="10">
        <v>0</v>
      </c>
      <c r="J71" s="10">
        <f t="shared" si="11"/>
        <v>1920.6211610864088</v>
      </c>
      <c r="K71" s="10">
        <v>0</v>
      </c>
      <c r="L71" s="10">
        <v>0</v>
      </c>
      <c r="M71" s="10">
        <v>0</v>
      </c>
      <c r="N71" s="10">
        <v>5085.8588516205946</v>
      </c>
      <c r="O71" s="10">
        <f t="shared" si="12"/>
        <v>5085.8588516205946</v>
      </c>
      <c r="P71" s="10">
        <v>0</v>
      </c>
      <c r="Q71" s="10">
        <v>0</v>
      </c>
      <c r="R71" s="10">
        <v>0</v>
      </c>
      <c r="S71" s="10">
        <v>0</v>
      </c>
      <c r="T71" s="10">
        <f t="shared" si="13"/>
        <v>0</v>
      </c>
      <c r="U71" s="10">
        <v>573.22861439999997</v>
      </c>
      <c r="V71" s="10">
        <v>0</v>
      </c>
      <c r="W71" s="10">
        <v>8889.7260243109667</v>
      </c>
      <c r="X71" s="10">
        <v>0</v>
      </c>
      <c r="Y71" s="10">
        <v>51.989504099999998</v>
      </c>
      <c r="Z71" s="10">
        <f t="shared" si="14"/>
        <v>9514.9441428109658</v>
      </c>
      <c r="AA71" s="10">
        <f t="shared" si="15"/>
        <v>9514.9441428109658</v>
      </c>
      <c r="AB71" s="10">
        <v>802.94208906300742</v>
      </c>
      <c r="AC71" s="10">
        <f t="shared" si="16"/>
        <v>17324.366244580975</v>
      </c>
    </row>
    <row r="72" spans="1:29" ht="10.5" x14ac:dyDescent="0.25">
      <c r="A72" s="21" t="s">
        <v>101</v>
      </c>
      <c r="B72" s="13">
        <f t="shared" ref="B72:AC72" si="17">SUM(B63:B71)</f>
        <v>0</v>
      </c>
      <c r="C72" s="13">
        <f t="shared" si="17"/>
        <v>0</v>
      </c>
      <c r="D72" s="13">
        <f t="shared" si="17"/>
        <v>20106.218443386169</v>
      </c>
      <c r="E72" s="13">
        <f t="shared" si="17"/>
        <v>0</v>
      </c>
      <c r="F72" s="13">
        <f t="shared" si="17"/>
        <v>0</v>
      </c>
      <c r="G72" s="13">
        <f t="shared" si="17"/>
        <v>0</v>
      </c>
      <c r="H72" s="13">
        <f t="shared" si="17"/>
        <v>15717.783834171216</v>
      </c>
      <c r="I72" s="13">
        <f t="shared" si="17"/>
        <v>0</v>
      </c>
      <c r="J72" s="13">
        <f t="shared" si="17"/>
        <v>35824.002277557389</v>
      </c>
      <c r="K72" s="13">
        <f t="shared" si="17"/>
        <v>0</v>
      </c>
      <c r="L72" s="13">
        <f t="shared" si="17"/>
        <v>0</v>
      </c>
      <c r="M72" s="13">
        <f t="shared" si="17"/>
        <v>0</v>
      </c>
      <c r="N72" s="13">
        <f t="shared" si="17"/>
        <v>95483.889106749179</v>
      </c>
      <c r="O72" s="13">
        <f t="shared" si="17"/>
        <v>95483.889106749179</v>
      </c>
      <c r="P72" s="13">
        <f t="shared" si="17"/>
        <v>0</v>
      </c>
      <c r="Q72" s="13">
        <f t="shared" si="17"/>
        <v>87.917028856032132</v>
      </c>
      <c r="R72" s="13">
        <f t="shared" si="17"/>
        <v>0</v>
      </c>
      <c r="S72" s="13">
        <f t="shared" si="17"/>
        <v>0</v>
      </c>
      <c r="T72" s="13">
        <f t="shared" si="17"/>
        <v>87.917028856032132</v>
      </c>
      <c r="U72" s="13">
        <f t="shared" si="17"/>
        <v>18117.75586504176</v>
      </c>
      <c r="V72" s="13">
        <f t="shared" si="17"/>
        <v>0</v>
      </c>
      <c r="W72" s="13">
        <f t="shared" si="17"/>
        <v>44737.585443320699</v>
      </c>
      <c r="X72" s="13">
        <f t="shared" si="17"/>
        <v>0</v>
      </c>
      <c r="Y72" s="13">
        <f t="shared" si="17"/>
        <v>2049.2318704675031</v>
      </c>
      <c r="Z72" s="13">
        <f t="shared" si="17"/>
        <v>64904.57317882996</v>
      </c>
      <c r="AA72" s="13">
        <f t="shared" si="17"/>
        <v>64992.490207685994</v>
      </c>
      <c r="AB72" s="13">
        <f t="shared" si="17"/>
        <v>13631.736242986428</v>
      </c>
      <c r="AC72" s="13">
        <f t="shared" si="17"/>
        <v>209932.11783497903</v>
      </c>
    </row>
    <row r="73" spans="1:29" ht="10.5" x14ac:dyDescent="0.25">
      <c r="A73" s="16" t="s">
        <v>102</v>
      </c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</row>
    <row r="74" spans="1:29" x14ac:dyDescent="0.2">
      <c r="A74" s="17" t="s">
        <v>103</v>
      </c>
      <c r="B74" s="10">
        <v>0</v>
      </c>
      <c r="C74" s="10">
        <v>0</v>
      </c>
      <c r="D74" s="10">
        <v>2247.5046951378599</v>
      </c>
      <c r="E74" s="10">
        <v>0</v>
      </c>
      <c r="F74" s="10">
        <v>0</v>
      </c>
      <c r="G74" s="10">
        <v>0</v>
      </c>
      <c r="H74" s="10">
        <v>4504.9413003391301</v>
      </c>
      <c r="I74" s="10">
        <v>0</v>
      </c>
      <c r="J74" s="10">
        <f t="shared" ref="J74:J79" si="18">SUM(C74:I74)</f>
        <v>6752.44599547699</v>
      </c>
      <c r="K74" s="10">
        <v>0</v>
      </c>
      <c r="L74" s="10">
        <v>0</v>
      </c>
      <c r="M74" s="10">
        <v>0</v>
      </c>
      <c r="N74" s="10">
        <v>16969.5</v>
      </c>
      <c r="O74" s="10">
        <f t="shared" ref="O74:O79" si="19">SUM(K74:N74)</f>
        <v>16969.5</v>
      </c>
      <c r="P74" s="10">
        <v>0</v>
      </c>
      <c r="Q74" s="10">
        <v>812.18265064664979</v>
      </c>
      <c r="R74" s="10">
        <v>25907.68480948537</v>
      </c>
      <c r="S74" s="10">
        <v>0</v>
      </c>
      <c r="T74" s="10">
        <f t="shared" ref="T74:T79" si="20">SUM(Q74:S74)</f>
        <v>26719.86746013202</v>
      </c>
      <c r="U74" s="10">
        <v>1311.31467</v>
      </c>
      <c r="V74" s="10">
        <v>0</v>
      </c>
      <c r="W74" s="10">
        <v>45930.41782993987</v>
      </c>
      <c r="X74" s="10">
        <v>0</v>
      </c>
      <c r="Y74" s="10">
        <v>0</v>
      </c>
      <c r="Z74" s="10">
        <f t="shared" ref="Z74:Z79" si="21">SUM(U74:Y74)</f>
        <v>47241.73249993987</v>
      </c>
      <c r="AA74" s="10">
        <f t="shared" ref="AA74:AA79" si="22">SUM(P74,T74,Z74)</f>
        <v>73961.599960071893</v>
      </c>
      <c r="AB74" s="10">
        <v>-16527.998619941962</v>
      </c>
      <c r="AC74" s="10">
        <f t="shared" ref="AC74:AC79" si="23">SUM(B74,J74,O74,AA74:AB74)</f>
        <v>81155.547335606912</v>
      </c>
    </row>
    <row r="75" spans="1:29" x14ac:dyDescent="0.2">
      <c r="A75" s="17" t="s">
        <v>104</v>
      </c>
      <c r="B75" s="10">
        <v>0</v>
      </c>
      <c r="C75" s="10">
        <v>0</v>
      </c>
      <c r="D75" s="10">
        <v>2959.0546302176394</v>
      </c>
      <c r="E75" s="10">
        <v>5156.5973678647069</v>
      </c>
      <c r="F75" s="10">
        <v>0</v>
      </c>
      <c r="G75" s="10">
        <v>0</v>
      </c>
      <c r="H75" s="10">
        <v>6156.9273668602982</v>
      </c>
      <c r="I75" s="10">
        <v>1399.9623302433185</v>
      </c>
      <c r="J75" s="10">
        <f t="shared" si="18"/>
        <v>15672.541695185964</v>
      </c>
      <c r="K75" s="10">
        <v>0</v>
      </c>
      <c r="L75" s="10">
        <v>609.63143249999996</v>
      </c>
      <c r="M75" s="10">
        <v>1467.9528834982448</v>
      </c>
      <c r="N75" s="10">
        <v>4665.2029998010839</v>
      </c>
      <c r="O75" s="10">
        <f t="shared" si="19"/>
        <v>6742.787315799329</v>
      </c>
      <c r="P75" s="10">
        <v>0</v>
      </c>
      <c r="Q75" s="10">
        <v>0</v>
      </c>
      <c r="R75" s="10">
        <v>2140.8173312888403</v>
      </c>
      <c r="S75" s="10">
        <v>0</v>
      </c>
      <c r="T75" s="10">
        <f t="shared" si="20"/>
        <v>2140.8173312888403</v>
      </c>
      <c r="U75" s="10">
        <v>780.10844375795295</v>
      </c>
      <c r="V75" s="10">
        <v>0</v>
      </c>
      <c r="W75" s="10">
        <v>3316.6850312040278</v>
      </c>
      <c r="X75" s="10">
        <v>0</v>
      </c>
      <c r="Y75" s="10">
        <v>984.72220053236845</v>
      </c>
      <c r="Z75" s="10">
        <f t="shared" si="21"/>
        <v>5081.5156754943491</v>
      </c>
      <c r="AA75" s="10">
        <f t="shared" si="22"/>
        <v>7222.3330067831894</v>
      </c>
      <c r="AB75" s="10">
        <v>9099.056204462564</v>
      </c>
      <c r="AC75" s="10">
        <f t="shared" si="23"/>
        <v>38736.718222231044</v>
      </c>
    </row>
    <row r="76" spans="1:29" x14ac:dyDescent="0.2">
      <c r="A76" s="17" t="s">
        <v>105</v>
      </c>
      <c r="B76" s="10">
        <v>0</v>
      </c>
      <c r="C76" s="10">
        <v>0</v>
      </c>
      <c r="D76" s="10">
        <v>0</v>
      </c>
      <c r="E76" s="10">
        <v>41409.719725570591</v>
      </c>
      <c r="F76" s="10">
        <v>0</v>
      </c>
      <c r="G76" s="10">
        <v>0</v>
      </c>
      <c r="H76" s="10">
        <v>68360.628937930524</v>
      </c>
      <c r="I76" s="10">
        <v>0</v>
      </c>
      <c r="J76" s="10">
        <f t="shared" si="18"/>
        <v>109770.34866350112</v>
      </c>
      <c r="K76" s="10">
        <v>0</v>
      </c>
      <c r="L76" s="10">
        <v>0</v>
      </c>
      <c r="M76" s="10">
        <v>0</v>
      </c>
      <c r="N76" s="10">
        <v>47621.826406150998</v>
      </c>
      <c r="O76" s="10">
        <f t="shared" si="19"/>
        <v>47621.826406150998</v>
      </c>
      <c r="P76" s="10">
        <v>0</v>
      </c>
      <c r="Q76" s="10">
        <v>0</v>
      </c>
      <c r="R76" s="10">
        <v>0</v>
      </c>
      <c r="S76" s="10">
        <v>0</v>
      </c>
      <c r="T76" s="10">
        <f t="shared" si="20"/>
        <v>0</v>
      </c>
      <c r="U76" s="10">
        <v>0</v>
      </c>
      <c r="V76" s="10">
        <v>0</v>
      </c>
      <c r="W76" s="10">
        <v>1037.7005624999999</v>
      </c>
      <c r="X76" s="10">
        <v>0</v>
      </c>
      <c r="Y76" s="10">
        <v>3272.089606582736</v>
      </c>
      <c r="Z76" s="10">
        <f t="shared" si="21"/>
        <v>4309.7901690827357</v>
      </c>
      <c r="AA76" s="10">
        <f t="shared" si="22"/>
        <v>4309.7901690827357</v>
      </c>
      <c r="AB76" s="10">
        <v>28966.030892368359</v>
      </c>
      <c r="AC76" s="10">
        <f t="shared" si="23"/>
        <v>190667.99613110319</v>
      </c>
    </row>
    <row r="77" spans="1:29" x14ac:dyDescent="0.2">
      <c r="A77" s="17" t="s">
        <v>279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f t="shared" si="18"/>
        <v>0</v>
      </c>
      <c r="K77" s="10">
        <v>0</v>
      </c>
      <c r="L77" s="10">
        <v>0</v>
      </c>
      <c r="M77" s="10">
        <v>0</v>
      </c>
      <c r="N77" s="10">
        <v>0</v>
      </c>
      <c r="O77" s="10">
        <f t="shared" si="19"/>
        <v>0</v>
      </c>
      <c r="P77" s="10">
        <v>0</v>
      </c>
      <c r="Q77" s="10">
        <v>0</v>
      </c>
      <c r="R77" s="10">
        <v>0</v>
      </c>
      <c r="S77" s="10">
        <v>0</v>
      </c>
      <c r="T77" s="10">
        <f t="shared" si="20"/>
        <v>0</v>
      </c>
      <c r="U77" s="10">
        <v>0</v>
      </c>
      <c r="V77" s="10">
        <v>0</v>
      </c>
      <c r="W77" s="10">
        <v>1526.2233957886494</v>
      </c>
      <c r="X77" s="10">
        <v>0</v>
      </c>
      <c r="Y77" s="10">
        <v>0</v>
      </c>
      <c r="Z77" s="10">
        <f t="shared" si="21"/>
        <v>1526.2233957886494</v>
      </c>
      <c r="AA77" s="10">
        <f t="shared" si="22"/>
        <v>1526.2233957886494</v>
      </c>
      <c r="AB77" s="10">
        <v>0</v>
      </c>
      <c r="AC77" s="10">
        <f t="shared" si="23"/>
        <v>1526.2233957886494</v>
      </c>
    </row>
    <row r="78" spans="1:29" x14ac:dyDescent="0.2">
      <c r="A78" s="17" t="s">
        <v>106</v>
      </c>
      <c r="B78" s="10">
        <v>0</v>
      </c>
      <c r="C78" s="10">
        <v>0</v>
      </c>
      <c r="D78" s="10">
        <v>4765.636775416373</v>
      </c>
      <c r="E78" s="10">
        <v>0</v>
      </c>
      <c r="F78" s="10">
        <v>1558.85715</v>
      </c>
      <c r="G78" s="10">
        <v>0</v>
      </c>
      <c r="H78" s="10">
        <v>24749.169012897528</v>
      </c>
      <c r="I78" s="10">
        <v>0</v>
      </c>
      <c r="J78" s="10">
        <f t="shared" si="18"/>
        <v>31073.662938313901</v>
      </c>
      <c r="K78" s="10">
        <v>0</v>
      </c>
      <c r="L78" s="10">
        <v>0</v>
      </c>
      <c r="M78" s="10">
        <v>0</v>
      </c>
      <c r="N78" s="10">
        <v>47311.363293263705</v>
      </c>
      <c r="O78" s="10">
        <f t="shared" si="19"/>
        <v>47311.363293263705</v>
      </c>
      <c r="P78" s="10">
        <v>0</v>
      </c>
      <c r="Q78" s="10">
        <v>0</v>
      </c>
      <c r="R78" s="10">
        <v>0</v>
      </c>
      <c r="S78" s="10">
        <v>0</v>
      </c>
      <c r="T78" s="10">
        <f t="shared" si="20"/>
        <v>0</v>
      </c>
      <c r="U78" s="10">
        <v>0</v>
      </c>
      <c r="V78" s="10">
        <v>0</v>
      </c>
      <c r="W78" s="10">
        <v>293.66219999999998</v>
      </c>
      <c r="X78" s="10">
        <v>0</v>
      </c>
      <c r="Y78" s="10">
        <v>1192.6321800354908</v>
      </c>
      <c r="Z78" s="10">
        <f t="shared" si="21"/>
        <v>1486.2943800354908</v>
      </c>
      <c r="AA78" s="10">
        <f t="shared" si="22"/>
        <v>1486.2943800354908</v>
      </c>
      <c r="AB78" s="10">
        <v>-10217.036294179703</v>
      </c>
      <c r="AC78" s="10">
        <f t="shared" si="23"/>
        <v>69654.284317433383</v>
      </c>
    </row>
    <row r="79" spans="1:29" x14ac:dyDescent="0.2">
      <c r="A79" s="17" t="s">
        <v>107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f t="shared" si="18"/>
        <v>0</v>
      </c>
      <c r="K79" s="10">
        <v>0</v>
      </c>
      <c r="L79" s="10">
        <v>0</v>
      </c>
      <c r="M79" s="10">
        <v>0</v>
      </c>
      <c r="N79" s="10">
        <v>0</v>
      </c>
      <c r="O79" s="10">
        <f t="shared" si="19"/>
        <v>0</v>
      </c>
      <c r="P79" s="10">
        <v>0</v>
      </c>
      <c r="Q79" s="10">
        <v>0</v>
      </c>
      <c r="R79" s="10">
        <v>0</v>
      </c>
      <c r="S79" s="10">
        <v>0</v>
      </c>
      <c r="T79" s="10">
        <f t="shared" si="20"/>
        <v>0</v>
      </c>
      <c r="U79" s="10">
        <v>0</v>
      </c>
      <c r="V79" s="10">
        <v>0</v>
      </c>
      <c r="W79" s="10">
        <v>0</v>
      </c>
      <c r="X79" s="10">
        <v>0</v>
      </c>
      <c r="Y79" s="10">
        <v>0</v>
      </c>
      <c r="Z79" s="10">
        <f t="shared" si="21"/>
        <v>0</v>
      </c>
      <c r="AA79" s="10">
        <f t="shared" si="22"/>
        <v>0</v>
      </c>
      <c r="AB79" s="10">
        <v>65000</v>
      </c>
      <c r="AC79" s="10">
        <f t="shared" si="23"/>
        <v>65000</v>
      </c>
    </row>
    <row r="80" spans="1:29" ht="10.5" x14ac:dyDescent="0.25">
      <c r="A80" s="21" t="s">
        <v>108</v>
      </c>
      <c r="B80" s="13">
        <f t="shared" ref="B80:AC80" si="24">SUM(B74:B79)</f>
        <v>0</v>
      </c>
      <c r="C80" s="13">
        <f t="shared" si="24"/>
        <v>0</v>
      </c>
      <c r="D80" s="13">
        <f t="shared" si="24"/>
        <v>9972.1961007718728</v>
      </c>
      <c r="E80" s="13">
        <f t="shared" si="24"/>
        <v>46566.317093435297</v>
      </c>
      <c r="F80" s="13">
        <f t="shared" si="24"/>
        <v>1558.85715</v>
      </c>
      <c r="G80" s="13">
        <f t="shared" si="24"/>
        <v>0</v>
      </c>
      <c r="H80" s="13">
        <f t="shared" si="24"/>
        <v>103771.66661802749</v>
      </c>
      <c r="I80" s="13">
        <f t="shared" si="24"/>
        <v>1399.9623302433185</v>
      </c>
      <c r="J80" s="13">
        <f t="shared" si="24"/>
        <v>163268.99929247799</v>
      </c>
      <c r="K80" s="13">
        <f t="shared" si="24"/>
        <v>0</v>
      </c>
      <c r="L80" s="13">
        <f t="shared" si="24"/>
        <v>609.63143249999996</v>
      </c>
      <c r="M80" s="13">
        <f t="shared" si="24"/>
        <v>1467.9528834982448</v>
      </c>
      <c r="N80" s="13">
        <f t="shared" si="24"/>
        <v>116567.89269921579</v>
      </c>
      <c r="O80" s="13">
        <f t="shared" si="24"/>
        <v>118645.47701521404</v>
      </c>
      <c r="P80" s="13">
        <f t="shared" si="24"/>
        <v>0</v>
      </c>
      <c r="Q80" s="13">
        <f t="shared" si="24"/>
        <v>812.18265064664979</v>
      </c>
      <c r="R80" s="13">
        <f t="shared" si="24"/>
        <v>28048.50214077421</v>
      </c>
      <c r="S80" s="13">
        <f t="shared" si="24"/>
        <v>0</v>
      </c>
      <c r="T80" s="13">
        <f t="shared" si="24"/>
        <v>28860.684791420859</v>
      </c>
      <c r="U80" s="13">
        <f t="shared" si="24"/>
        <v>2091.4231137579527</v>
      </c>
      <c r="V80" s="13">
        <f t="shared" si="24"/>
        <v>0</v>
      </c>
      <c r="W80" s="13">
        <f t="shared" si="24"/>
        <v>52104.689019432546</v>
      </c>
      <c r="X80" s="13">
        <f t="shared" si="24"/>
        <v>0</v>
      </c>
      <c r="Y80" s="13">
        <f t="shared" si="24"/>
        <v>5449.4439871505956</v>
      </c>
      <c r="Z80" s="13">
        <f t="shared" si="24"/>
        <v>59645.556120341091</v>
      </c>
      <c r="AA80" s="13">
        <f t="shared" si="24"/>
        <v>88506.240911761954</v>
      </c>
      <c r="AB80" s="13">
        <f t="shared" si="24"/>
        <v>76320.05218270926</v>
      </c>
      <c r="AC80" s="13">
        <f t="shared" si="24"/>
        <v>446740.76940216316</v>
      </c>
    </row>
    <row r="81" spans="1:29" ht="10.5" x14ac:dyDescent="0.25">
      <c r="A81" s="16" t="s">
        <v>109</v>
      </c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</row>
    <row r="82" spans="1:29" x14ac:dyDescent="0.2">
      <c r="A82" s="17" t="s">
        <v>110</v>
      </c>
      <c r="B82" s="10">
        <v>0</v>
      </c>
      <c r="C82" s="10">
        <v>0</v>
      </c>
      <c r="D82" s="10">
        <v>0</v>
      </c>
      <c r="E82" s="10">
        <v>0</v>
      </c>
      <c r="F82" s="10">
        <v>0</v>
      </c>
      <c r="G82" s="10">
        <v>0</v>
      </c>
      <c r="H82" s="10">
        <v>2928.8803118448031</v>
      </c>
      <c r="I82" s="10">
        <v>0</v>
      </c>
      <c r="J82" s="10">
        <f t="shared" ref="J82:J87" si="25">SUM(C82:I82)</f>
        <v>2928.8803118448031</v>
      </c>
      <c r="K82" s="10">
        <v>0</v>
      </c>
      <c r="L82" s="10">
        <v>0</v>
      </c>
      <c r="M82" s="10">
        <v>0</v>
      </c>
      <c r="N82" s="10">
        <v>12057.019168549878</v>
      </c>
      <c r="O82" s="10">
        <f t="shared" ref="O82:O87" si="26">SUM(K82:N82)</f>
        <v>12057.019168549878</v>
      </c>
      <c r="P82" s="10">
        <v>0</v>
      </c>
      <c r="Q82" s="10">
        <v>0</v>
      </c>
      <c r="R82" s="10">
        <v>0</v>
      </c>
      <c r="S82" s="10">
        <v>0</v>
      </c>
      <c r="T82" s="10">
        <f t="shared" ref="T82:T87" si="27">SUM(Q82:S82)</f>
        <v>0</v>
      </c>
      <c r="U82" s="10">
        <v>39.53145</v>
      </c>
      <c r="V82" s="10">
        <v>0</v>
      </c>
      <c r="W82" s="10">
        <v>2671.5096637973897</v>
      </c>
      <c r="X82" s="10">
        <v>0</v>
      </c>
      <c r="Y82" s="10">
        <v>0</v>
      </c>
      <c r="Z82" s="10">
        <f t="shared" ref="Z82:Z87" si="28">SUM(U82:Y82)</f>
        <v>2711.0411137973897</v>
      </c>
      <c r="AA82" s="10">
        <f t="shared" ref="AA82:AA87" si="29">SUM(P82,T82,Z82)</f>
        <v>2711.0411137973897</v>
      </c>
      <c r="AB82" s="10">
        <v>1464.4609900522419</v>
      </c>
      <c r="AC82" s="10">
        <f t="shared" ref="AC82:AC87" si="30">SUM(B82,J82,O82,AA82:AB82)</f>
        <v>19161.401584244311</v>
      </c>
    </row>
    <row r="83" spans="1:29" x14ac:dyDescent="0.2">
      <c r="A83" s="17" t="s">
        <v>111</v>
      </c>
      <c r="B83" s="10">
        <v>0</v>
      </c>
      <c r="C83" s="10">
        <v>0</v>
      </c>
      <c r="D83" s="10">
        <v>0</v>
      </c>
      <c r="E83" s="10">
        <v>0</v>
      </c>
      <c r="F83" s="10">
        <v>0</v>
      </c>
      <c r="G83" s="10">
        <v>0</v>
      </c>
      <c r="H83" s="10">
        <v>4187.3091092793193</v>
      </c>
      <c r="I83" s="10">
        <v>0</v>
      </c>
      <c r="J83" s="10">
        <f t="shared" si="25"/>
        <v>4187.3091092793193</v>
      </c>
      <c r="K83" s="10">
        <v>0</v>
      </c>
      <c r="L83" s="10">
        <v>0</v>
      </c>
      <c r="M83" s="10">
        <v>0</v>
      </c>
      <c r="N83" s="10">
        <v>655.07619310034681</v>
      </c>
      <c r="O83" s="10">
        <f t="shared" si="26"/>
        <v>655.07619310034681</v>
      </c>
      <c r="P83" s="10">
        <v>0</v>
      </c>
      <c r="Q83" s="10">
        <v>0</v>
      </c>
      <c r="R83" s="10">
        <v>0</v>
      </c>
      <c r="S83" s="10">
        <v>0</v>
      </c>
      <c r="T83" s="10">
        <f t="shared" si="27"/>
        <v>0</v>
      </c>
      <c r="U83" s="10">
        <v>2852.3070644999998</v>
      </c>
      <c r="V83" s="10">
        <v>0</v>
      </c>
      <c r="W83" s="10">
        <v>662.58369260722486</v>
      </c>
      <c r="X83" s="10">
        <v>0</v>
      </c>
      <c r="Y83" s="10">
        <v>1432.0255757639413</v>
      </c>
      <c r="Z83" s="10">
        <f t="shared" si="28"/>
        <v>4946.9163328711657</v>
      </c>
      <c r="AA83" s="10">
        <f t="shared" si="29"/>
        <v>4946.9163328711657</v>
      </c>
      <c r="AB83" s="10">
        <v>118.18734863834516</v>
      </c>
      <c r="AC83" s="10">
        <f t="shared" si="30"/>
        <v>9907.4889838891759</v>
      </c>
    </row>
    <row r="84" spans="1:29" x14ac:dyDescent="0.2">
      <c r="A84" s="17" t="s">
        <v>112</v>
      </c>
      <c r="B84" s="10">
        <v>0</v>
      </c>
      <c r="C84" s="10">
        <v>0</v>
      </c>
      <c r="D84" s="10">
        <v>115.70571416588663</v>
      </c>
      <c r="E84" s="10">
        <v>0</v>
      </c>
      <c r="F84" s="10">
        <v>0</v>
      </c>
      <c r="G84" s="10">
        <v>0</v>
      </c>
      <c r="H84" s="10">
        <v>269.44592294191426</v>
      </c>
      <c r="I84" s="10">
        <v>0</v>
      </c>
      <c r="J84" s="10">
        <f t="shared" si="25"/>
        <v>385.15163710780087</v>
      </c>
      <c r="K84" s="10">
        <v>0</v>
      </c>
      <c r="L84" s="10">
        <v>0</v>
      </c>
      <c r="M84" s="10">
        <v>0</v>
      </c>
      <c r="N84" s="10">
        <v>5693.9895357428122</v>
      </c>
      <c r="O84" s="10">
        <f t="shared" si="26"/>
        <v>5693.9895357428122</v>
      </c>
      <c r="P84" s="10">
        <v>0</v>
      </c>
      <c r="Q84" s="10">
        <v>0</v>
      </c>
      <c r="R84" s="10">
        <v>0</v>
      </c>
      <c r="S84" s="10">
        <v>0</v>
      </c>
      <c r="T84" s="10">
        <f t="shared" si="27"/>
        <v>0</v>
      </c>
      <c r="U84" s="10">
        <v>0</v>
      </c>
      <c r="V84" s="10">
        <v>0</v>
      </c>
      <c r="W84" s="10">
        <v>293.27027684502332</v>
      </c>
      <c r="X84" s="10">
        <v>0</v>
      </c>
      <c r="Y84" s="10">
        <v>0</v>
      </c>
      <c r="Z84" s="10">
        <f t="shared" si="28"/>
        <v>293.27027684502332</v>
      </c>
      <c r="AA84" s="10">
        <f t="shared" si="29"/>
        <v>293.27027684502332</v>
      </c>
      <c r="AB84" s="10">
        <v>0</v>
      </c>
      <c r="AC84" s="10">
        <f t="shared" si="30"/>
        <v>6372.4114496956363</v>
      </c>
    </row>
    <row r="85" spans="1:29" x14ac:dyDescent="0.2">
      <c r="A85" s="17" t="s">
        <v>113</v>
      </c>
      <c r="B85" s="10">
        <v>0</v>
      </c>
      <c r="C85" s="10">
        <v>0</v>
      </c>
      <c r="D85" s="10">
        <v>934.77611461226832</v>
      </c>
      <c r="E85" s="10">
        <v>0</v>
      </c>
      <c r="F85" s="10">
        <v>0</v>
      </c>
      <c r="G85" s="10">
        <v>0</v>
      </c>
      <c r="H85" s="10">
        <v>0</v>
      </c>
      <c r="I85" s="10">
        <v>0</v>
      </c>
      <c r="J85" s="10">
        <f t="shared" si="25"/>
        <v>934.77611461226832</v>
      </c>
      <c r="K85" s="10">
        <v>0</v>
      </c>
      <c r="L85" s="10">
        <v>0</v>
      </c>
      <c r="M85" s="10">
        <v>0</v>
      </c>
      <c r="N85" s="10">
        <v>36571.391608054379</v>
      </c>
      <c r="O85" s="10">
        <f t="shared" si="26"/>
        <v>36571.391608054379</v>
      </c>
      <c r="P85" s="10">
        <v>0</v>
      </c>
      <c r="Q85" s="10">
        <v>0</v>
      </c>
      <c r="R85" s="10">
        <v>64.184305028825491</v>
      </c>
      <c r="S85" s="10">
        <v>0</v>
      </c>
      <c r="T85" s="10">
        <f t="shared" si="27"/>
        <v>64.184305028825491</v>
      </c>
      <c r="U85" s="10">
        <v>3267.619047754763</v>
      </c>
      <c r="V85" s="10">
        <v>0</v>
      </c>
      <c r="W85" s="10">
        <v>84292.40085056104</v>
      </c>
      <c r="X85" s="10">
        <v>0</v>
      </c>
      <c r="Y85" s="10">
        <v>2080.1371734562281</v>
      </c>
      <c r="Z85" s="10">
        <f t="shared" si="28"/>
        <v>89640.157071772031</v>
      </c>
      <c r="AA85" s="10">
        <f t="shared" si="29"/>
        <v>89704.341376800861</v>
      </c>
      <c r="AB85" s="10">
        <v>35484.259391968415</v>
      </c>
      <c r="AC85" s="10">
        <f t="shared" si="30"/>
        <v>162694.76849143591</v>
      </c>
    </row>
    <row r="86" spans="1:29" x14ac:dyDescent="0.2">
      <c r="A86" s="17" t="s">
        <v>114</v>
      </c>
      <c r="B86" s="10">
        <v>0</v>
      </c>
      <c r="C86" s="10">
        <v>0</v>
      </c>
      <c r="D86" s="10">
        <v>0</v>
      </c>
      <c r="E86" s="10">
        <v>0</v>
      </c>
      <c r="F86" s="10">
        <v>0</v>
      </c>
      <c r="G86" s="10">
        <v>0</v>
      </c>
      <c r="H86" s="10">
        <v>344.92836125887209</v>
      </c>
      <c r="I86" s="10">
        <v>0</v>
      </c>
      <c r="J86" s="10">
        <f t="shared" si="25"/>
        <v>344.92836125887209</v>
      </c>
      <c r="K86" s="10">
        <v>0</v>
      </c>
      <c r="L86" s="10">
        <v>0</v>
      </c>
      <c r="M86" s="10">
        <v>0</v>
      </c>
      <c r="N86" s="10">
        <v>0</v>
      </c>
      <c r="O86" s="10">
        <f t="shared" si="26"/>
        <v>0</v>
      </c>
      <c r="P86" s="10">
        <v>0</v>
      </c>
      <c r="Q86" s="10">
        <v>0</v>
      </c>
      <c r="R86" s="10">
        <v>0</v>
      </c>
      <c r="S86" s="10">
        <v>0</v>
      </c>
      <c r="T86" s="10">
        <f t="shared" si="27"/>
        <v>0</v>
      </c>
      <c r="U86" s="10">
        <v>0</v>
      </c>
      <c r="V86" s="10">
        <v>0</v>
      </c>
      <c r="W86" s="10">
        <v>0</v>
      </c>
      <c r="X86" s="10">
        <v>0</v>
      </c>
      <c r="Y86" s="10">
        <v>0</v>
      </c>
      <c r="Z86" s="10">
        <f t="shared" si="28"/>
        <v>0</v>
      </c>
      <c r="AA86" s="10">
        <f t="shared" si="29"/>
        <v>0</v>
      </c>
      <c r="AB86" s="10">
        <v>0</v>
      </c>
      <c r="AC86" s="10">
        <f t="shared" si="30"/>
        <v>344.92836125887209</v>
      </c>
    </row>
    <row r="87" spans="1:29" x14ac:dyDescent="0.2">
      <c r="A87" s="17" t="s">
        <v>280</v>
      </c>
      <c r="B87" s="10">
        <v>0</v>
      </c>
      <c r="C87" s="10">
        <v>0</v>
      </c>
      <c r="D87" s="10">
        <v>0</v>
      </c>
      <c r="E87" s="10">
        <v>0</v>
      </c>
      <c r="F87" s="10">
        <v>0</v>
      </c>
      <c r="G87" s="10">
        <v>0</v>
      </c>
      <c r="H87" s="10">
        <v>0</v>
      </c>
      <c r="I87" s="10">
        <v>0</v>
      </c>
      <c r="J87" s="10">
        <f t="shared" si="25"/>
        <v>0</v>
      </c>
      <c r="K87" s="10">
        <v>0</v>
      </c>
      <c r="L87" s="10">
        <v>0</v>
      </c>
      <c r="M87" s="10">
        <v>0</v>
      </c>
      <c r="N87" s="10">
        <v>0</v>
      </c>
      <c r="O87" s="10">
        <f t="shared" si="26"/>
        <v>0</v>
      </c>
      <c r="P87" s="10">
        <v>0</v>
      </c>
      <c r="Q87" s="10">
        <v>0</v>
      </c>
      <c r="R87" s="10">
        <v>0</v>
      </c>
      <c r="S87" s="10">
        <v>0</v>
      </c>
      <c r="T87" s="10">
        <f t="shared" si="27"/>
        <v>0</v>
      </c>
      <c r="U87" s="10">
        <v>0</v>
      </c>
      <c r="V87" s="10">
        <v>0</v>
      </c>
      <c r="W87" s="10">
        <v>1698.5526819315389</v>
      </c>
      <c r="X87" s="10">
        <v>0</v>
      </c>
      <c r="Y87" s="10">
        <v>0</v>
      </c>
      <c r="Z87" s="10">
        <f t="shared" si="28"/>
        <v>1698.5526819315389</v>
      </c>
      <c r="AA87" s="10">
        <f t="shared" si="29"/>
        <v>1698.5526819315389</v>
      </c>
      <c r="AB87" s="10">
        <v>0</v>
      </c>
      <c r="AC87" s="10">
        <f t="shared" si="30"/>
        <v>1698.5526819315389</v>
      </c>
    </row>
    <row r="88" spans="1:29" ht="10.5" x14ac:dyDescent="0.25">
      <c r="A88" s="21" t="s">
        <v>115</v>
      </c>
      <c r="B88" s="13">
        <f t="shared" ref="B88:AC88" si="31">SUM(B82:B87)</f>
        <v>0</v>
      </c>
      <c r="C88" s="13">
        <f t="shared" si="31"/>
        <v>0</v>
      </c>
      <c r="D88" s="13">
        <f t="shared" si="31"/>
        <v>1050.481828778155</v>
      </c>
      <c r="E88" s="13">
        <f t="shared" si="31"/>
        <v>0</v>
      </c>
      <c r="F88" s="13">
        <f t="shared" si="31"/>
        <v>0</v>
      </c>
      <c r="G88" s="13">
        <f t="shared" si="31"/>
        <v>0</v>
      </c>
      <c r="H88" s="13">
        <f t="shared" si="31"/>
        <v>7730.5637053249093</v>
      </c>
      <c r="I88" s="13">
        <f t="shared" si="31"/>
        <v>0</v>
      </c>
      <c r="J88" s="13">
        <f t="shared" si="31"/>
        <v>8781.0455341030629</v>
      </c>
      <c r="K88" s="13">
        <f t="shared" si="31"/>
        <v>0</v>
      </c>
      <c r="L88" s="13">
        <f t="shared" si="31"/>
        <v>0</v>
      </c>
      <c r="M88" s="13">
        <f t="shared" si="31"/>
        <v>0</v>
      </c>
      <c r="N88" s="13">
        <f t="shared" si="31"/>
        <v>54977.476505447412</v>
      </c>
      <c r="O88" s="13">
        <f t="shared" si="31"/>
        <v>54977.476505447412</v>
      </c>
      <c r="P88" s="13">
        <f t="shared" si="31"/>
        <v>0</v>
      </c>
      <c r="Q88" s="13">
        <f t="shared" si="31"/>
        <v>0</v>
      </c>
      <c r="R88" s="13">
        <f t="shared" si="31"/>
        <v>64.184305028825491</v>
      </c>
      <c r="S88" s="13">
        <f t="shared" si="31"/>
        <v>0</v>
      </c>
      <c r="T88" s="13">
        <f t="shared" si="31"/>
        <v>64.184305028825491</v>
      </c>
      <c r="U88" s="13">
        <f t="shared" si="31"/>
        <v>6159.4575622547627</v>
      </c>
      <c r="V88" s="13">
        <f t="shared" si="31"/>
        <v>0</v>
      </c>
      <c r="W88" s="13">
        <f t="shared" si="31"/>
        <v>89618.317165742221</v>
      </c>
      <c r="X88" s="13">
        <f t="shared" si="31"/>
        <v>0</v>
      </c>
      <c r="Y88" s="13">
        <f t="shared" si="31"/>
        <v>3512.1627492201696</v>
      </c>
      <c r="Z88" s="13">
        <f t="shared" si="31"/>
        <v>99289.937477217158</v>
      </c>
      <c r="AA88" s="13">
        <f t="shared" si="31"/>
        <v>99354.121782245988</v>
      </c>
      <c r="AB88" s="13">
        <f t="shared" si="31"/>
        <v>37066.907730659004</v>
      </c>
      <c r="AC88" s="13">
        <f t="shared" si="31"/>
        <v>200179.55155245544</v>
      </c>
    </row>
    <row r="89" spans="1:29" ht="10.5" x14ac:dyDescent="0.25">
      <c r="A89" s="16" t="s">
        <v>116</v>
      </c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</row>
    <row r="90" spans="1:29" x14ac:dyDescent="0.2">
      <c r="A90" s="17" t="s">
        <v>117</v>
      </c>
      <c r="B90" s="10">
        <v>0</v>
      </c>
      <c r="C90" s="10">
        <v>0</v>
      </c>
      <c r="D90" s="10">
        <v>0</v>
      </c>
      <c r="E90" s="10">
        <v>0</v>
      </c>
      <c r="F90" s="10">
        <v>0</v>
      </c>
      <c r="G90" s="10">
        <v>0</v>
      </c>
      <c r="H90" s="10">
        <v>1754.136788031434</v>
      </c>
      <c r="I90" s="10">
        <v>0</v>
      </c>
      <c r="J90" s="10">
        <f t="shared" ref="J90:J100" si="32">SUM(C90:I90)</f>
        <v>1754.136788031434</v>
      </c>
      <c r="K90" s="10">
        <v>0</v>
      </c>
      <c r="L90" s="10">
        <v>0</v>
      </c>
      <c r="M90" s="10">
        <v>0</v>
      </c>
      <c r="N90" s="10">
        <v>3327.0624860318776</v>
      </c>
      <c r="O90" s="10">
        <f t="shared" ref="O90:O100" si="33">SUM(K90:N90)</f>
        <v>3327.0624860318776</v>
      </c>
      <c r="P90" s="10">
        <v>0</v>
      </c>
      <c r="Q90" s="10">
        <v>0</v>
      </c>
      <c r="R90" s="10">
        <v>0</v>
      </c>
      <c r="S90" s="10">
        <v>0</v>
      </c>
      <c r="T90" s="10">
        <f t="shared" ref="T90:T100" si="34">SUM(Q90:S90)</f>
        <v>0</v>
      </c>
      <c r="U90" s="10">
        <v>0</v>
      </c>
      <c r="V90" s="10">
        <v>0</v>
      </c>
      <c r="W90" s="10">
        <v>103080.56732683429</v>
      </c>
      <c r="X90" s="10">
        <v>0</v>
      </c>
      <c r="Y90" s="10">
        <v>0</v>
      </c>
      <c r="Z90" s="10">
        <f t="shared" ref="Z90:Z100" si="35">SUM(U90:Y90)</f>
        <v>103080.56732683429</v>
      </c>
      <c r="AA90" s="10">
        <f t="shared" ref="AA90:AA100" si="36">SUM(P90,T90,Z90)</f>
        <v>103080.56732683429</v>
      </c>
      <c r="AB90" s="10">
        <v>-40087.795366591949</v>
      </c>
      <c r="AC90" s="10">
        <f t="shared" ref="AC90:AC100" si="37">SUM(B90,J90,O90,AA90:AB90)</f>
        <v>68073.97123430566</v>
      </c>
    </row>
    <row r="91" spans="1:29" x14ac:dyDescent="0.2">
      <c r="A91" s="17" t="s">
        <v>118</v>
      </c>
      <c r="B91" s="10">
        <v>0</v>
      </c>
      <c r="C91" s="10">
        <v>0</v>
      </c>
      <c r="D91" s="10">
        <v>0</v>
      </c>
      <c r="E91" s="10">
        <v>0</v>
      </c>
      <c r="F91" s="10">
        <v>0</v>
      </c>
      <c r="G91" s="10">
        <v>0</v>
      </c>
      <c r="H91" s="10">
        <v>0</v>
      </c>
      <c r="I91" s="10">
        <v>0</v>
      </c>
      <c r="J91" s="10">
        <f t="shared" si="32"/>
        <v>0</v>
      </c>
      <c r="K91" s="10">
        <v>0</v>
      </c>
      <c r="L91" s="10">
        <v>0</v>
      </c>
      <c r="M91" s="10">
        <v>0</v>
      </c>
      <c r="N91" s="10">
        <v>0</v>
      </c>
      <c r="O91" s="10">
        <f t="shared" si="33"/>
        <v>0</v>
      </c>
      <c r="P91" s="10">
        <v>0</v>
      </c>
      <c r="Q91" s="10">
        <v>0</v>
      </c>
      <c r="R91" s="10">
        <v>0</v>
      </c>
      <c r="S91" s="10">
        <v>0</v>
      </c>
      <c r="T91" s="10">
        <f t="shared" si="34"/>
        <v>0</v>
      </c>
      <c r="U91" s="10">
        <v>0</v>
      </c>
      <c r="V91" s="10">
        <v>0</v>
      </c>
      <c r="W91" s="10">
        <v>0</v>
      </c>
      <c r="X91" s="10">
        <v>0</v>
      </c>
      <c r="Y91" s="10">
        <v>0</v>
      </c>
      <c r="Z91" s="10">
        <f t="shared" si="35"/>
        <v>0</v>
      </c>
      <c r="AA91" s="10">
        <f t="shared" si="36"/>
        <v>0</v>
      </c>
      <c r="AB91" s="10">
        <v>15305.946703310326</v>
      </c>
      <c r="AC91" s="10">
        <f t="shared" si="37"/>
        <v>15305.946703310326</v>
      </c>
    </row>
    <row r="92" spans="1:29" x14ac:dyDescent="0.2">
      <c r="A92" s="17" t="s">
        <v>119</v>
      </c>
      <c r="B92" s="10">
        <v>0</v>
      </c>
      <c r="C92" s="10">
        <v>0</v>
      </c>
      <c r="D92" s="10">
        <v>0</v>
      </c>
      <c r="E92" s="10">
        <v>0</v>
      </c>
      <c r="F92" s="10">
        <v>0</v>
      </c>
      <c r="G92" s="10">
        <v>0</v>
      </c>
      <c r="H92" s="10">
        <v>0</v>
      </c>
      <c r="I92" s="10">
        <v>0</v>
      </c>
      <c r="J92" s="10">
        <f t="shared" si="32"/>
        <v>0</v>
      </c>
      <c r="K92" s="10">
        <v>0</v>
      </c>
      <c r="L92" s="10">
        <v>0</v>
      </c>
      <c r="M92" s="10">
        <v>0</v>
      </c>
      <c r="N92" s="10">
        <v>0</v>
      </c>
      <c r="O92" s="10">
        <f t="shared" si="33"/>
        <v>0</v>
      </c>
      <c r="P92" s="10">
        <v>0</v>
      </c>
      <c r="Q92" s="10">
        <v>0</v>
      </c>
      <c r="R92" s="10">
        <v>0</v>
      </c>
      <c r="S92" s="10">
        <v>0</v>
      </c>
      <c r="T92" s="10">
        <f t="shared" si="34"/>
        <v>0</v>
      </c>
      <c r="U92" s="10">
        <v>0</v>
      </c>
      <c r="V92" s="10">
        <v>0</v>
      </c>
      <c r="W92" s="10">
        <v>0</v>
      </c>
      <c r="X92" s="10">
        <v>0</v>
      </c>
      <c r="Y92" s="10">
        <v>0</v>
      </c>
      <c r="Z92" s="10">
        <f t="shared" si="35"/>
        <v>0</v>
      </c>
      <c r="AA92" s="10">
        <f t="shared" si="36"/>
        <v>0</v>
      </c>
      <c r="AB92" s="10">
        <v>1362.27</v>
      </c>
      <c r="AC92" s="10">
        <f t="shared" si="37"/>
        <v>1362.27</v>
      </c>
    </row>
    <row r="93" spans="1:29" x14ac:dyDescent="0.2">
      <c r="A93" s="17" t="s">
        <v>120</v>
      </c>
      <c r="B93" s="10">
        <v>0</v>
      </c>
      <c r="C93" s="10">
        <v>0</v>
      </c>
      <c r="D93" s="10">
        <v>0</v>
      </c>
      <c r="E93" s="10">
        <v>0</v>
      </c>
      <c r="F93" s="10">
        <v>0</v>
      </c>
      <c r="G93" s="10">
        <v>0</v>
      </c>
      <c r="H93" s="10">
        <v>117.11826209533091</v>
      </c>
      <c r="I93" s="10">
        <v>0</v>
      </c>
      <c r="J93" s="10">
        <f t="shared" si="32"/>
        <v>117.11826209533091</v>
      </c>
      <c r="K93" s="10">
        <v>0</v>
      </c>
      <c r="L93" s="10">
        <v>0</v>
      </c>
      <c r="M93" s="10">
        <v>0</v>
      </c>
      <c r="N93" s="10">
        <v>274.22147041995379</v>
      </c>
      <c r="O93" s="10">
        <f t="shared" si="33"/>
        <v>274.22147041995379</v>
      </c>
      <c r="P93" s="10">
        <v>0</v>
      </c>
      <c r="Q93" s="10">
        <v>0</v>
      </c>
      <c r="R93" s="10">
        <v>0</v>
      </c>
      <c r="S93" s="10">
        <v>0</v>
      </c>
      <c r="T93" s="10">
        <f t="shared" si="34"/>
        <v>0</v>
      </c>
      <c r="U93" s="10">
        <v>0</v>
      </c>
      <c r="V93" s="10">
        <v>0</v>
      </c>
      <c r="W93" s="10">
        <v>5114.2633270447759</v>
      </c>
      <c r="X93" s="10">
        <v>0</v>
      </c>
      <c r="Y93" s="10">
        <v>0</v>
      </c>
      <c r="Z93" s="10">
        <f t="shared" si="35"/>
        <v>5114.2633270447759</v>
      </c>
      <c r="AA93" s="10">
        <f t="shared" si="36"/>
        <v>5114.2633270447759</v>
      </c>
      <c r="AB93" s="10">
        <v>1112.1318336415816</v>
      </c>
      <c r="AC93" s="10">
        <f t="shared" si="37"/>
        <v>6617.7348932016421</v>
      </c>
    </row>
    <row r="94" spans="1:29" x14ac:dyDescent="0.2">
      <c r="A94" s="17" t="s">
        <v>121</v>
      </c>
      <c r="B94" s="10">
        <v>0</v>
      </c>
      <c r="C94" s="10">
        <v>0</v>
      </c>
      <c r="D94" s="10">
        <v>0</v>
      </c>
      <c r="E94" s="10">
        <v>0</v>
      </c>
      <c r="F94" s="10">
        <v>0</v>
      </c>
      <c r="G94" s="10">
        <v>0</v>
      </c>
      <c r="H94" s="10">
        <v>6133.413515475524</v>
      </c>
      <c r="I94" s="10">
        <v>0</v>
      </c>
      <c r="J94" s="10">
        <f t="shared" si="32"/>
        <v>6133.413515475524</v>
      </c>
      <c r="K94" s="10">
        <v>0</v>
      </c>
      <c r="L94" s="10">
        <v>0</v>
      </c>
      <c r="M94" s="10">
        <v>0</v>
      </c>
      <c r="N94" s="10">
        <v>0</v>
      </c>
      <c r="O94" s="10">
        <f t="shared" si="33"/>
        <v>0</v>
      </c>
      <c r="P94" s="10">
        <v>0</v>
      </c>
      <c r="Q94" s="10">
        <v>0</v>
      </c>
      <c r="R94" s="10">
        <v>0</v>
      </c>
      <c r="S94" s="10">
        <v>0</v>
      </c>
      <c r="T94" s="10">
        <f t="shared" si="34"/>
        <v>0</v>
      </c>
      <c r="U94" s="10">
        <v>0</v>
      </c>
      <c r="V94" s="10">
        <v>0</v>
      </c>
      <c r="W94" s="10">
        <v>0</v>
      </c>
      <c r="X94" s="10">
        <v>0</v>
      </c>
      <c r="Y94" s="10">
        <v>0</v>
      </c>
      <c r="Z94" s="10">
        <f t="shared" si="35"/>
        <v>0</v>
      </c>
      <c r="AA94" s="10">
        <f t="shared" si="36"/>
        <v>0</v>
      </c>
      <c r="AB94" s="10">
        <v>0</v>
      </c>
      <c r="AC94" s="10">
        <f t="shared" si="37"/>
        <v>6133.413515475524</v>
      </c>
    </row>
    <row r="95" spans="1:29" x14ac:dyDescent="0.2">
      <c r="A95" s="17" t="s">
        <v>122</v>
      </c>
      <c r="B95" s="10">
        <v>0</v>
      </c>
      <c r="C95" s="10">
        <v>0</v>
      </c>
      <c r="D95" s="10">
        <v>0</v>
      </c>
      <c r="E95" s="10">
        <v>0</v>
      </c>
      <c r="F95" s="10">
        <v>0</v>
      </c>
      <c r="G95" s="10">
        <v>0</v>
      </c>
      <c r="H95" s="10">
        <v>0</v>
      </c>
      <c r="I95" s="10">
        <v>0</v>
      </c>
      <c r="J95" s="10">
        <f t="shared" si="32"/>
        <v>0</v>
      </c>
      <c r="K95" s="10">
        <v>0</v>
      </c>
      <c r="L95" s="10">
        <v>0</v>
      </c>
      <c r="M95" s="10">
        <v>0</v>
      </c>
      <c r="N95" s="10">
        <v>0</v>
      </c>
      <c r="O95" s="10">
        <f t="shared" si="33"/>
        <v>0</v>
      </c>
      <c r="P95" s="10">
        <v>0</v>
      </c>
      <c r="Q95" s="10">
        <v>0</v>
      </c>
      <c r="R95" s="10">
        <v>0</v>
      </c>
      <c r="S95" s="10">
        <v>0</v>
      </c>
      <c r="T95" s="10">
        <f t="shared" si="34"/>
        <v>0</v>
      </c>
      <c r="U95" s="10">
        <v>0</v>
      </c>
      <c r="V95" s="10">
        <v>0</v>
      </c>
      <c r="W95" s="10">
        <v>166.47899826706811</v>
      </c>
      <c r="X95" s="10">
        <v>0</v>
      </c>
      <c r="Y95" s="10">
        <v>0</v>
      </c>
      <c r="Z95" s="10">
        <f t="shared" si="35"/>
        <v>166.47899826706811</v>
      </c>
      <c r="AA95" s="10">
        <f t="shared" si="36"/>
        <v>166.47899826706811</v>
      </c>
      <c r="AB95" s="10">
        <v>1342.5</v>
      </c>
      <c r="AC95" s="10">
        <f t="shared" si="37"/>
        <v>1508.9789982670682</v>
      </c>
    </row>
    <row r="96" spans="1:29" x14ac:dyDescent="0.2">
      <c r="A96" s="17" t="s">
        <v>281</v>
      </c>
      <c r="B96" s="10">
        <v>0</v>
      </c>
      <c r="C96" s="10">
        <v>0</v>
      </c>
      <c r="D96" s="10">
        <v>0</v>
      </c>
      <c r="E96" s="10">
        <v>0</v>
      </c>
      <c r="F96" s="10">
        <v>0</v>
      </c>
      <c r="G96" s="10">
        <v>0</v>
      </c>
      <c r="H96" s="10">
        <v>238.13843007132749</v>
      </c>
      <c r="I96" s="10">
        <v>0</v>
      </c>
      <c r="J96" s="10">
        <f t="shared" si="32"/>
        <v>238.13843007132749</v>
      </c>
      <c r="K96" s="10">
        <v>0</v>
      </c>
      <c r="L96" s="10">
        <v>0</v>
      </c>
      <c r="M96" s="10">
        <v>0</v>
      </c>
      <c r="N96" s="10">
        <v>0</v>
      </c>
      <c r="O96" s="10">
        <f t="shared" si="33"/>
        <v>0</v>
      </c>
      <c r="P96" s="10">
        <v>0</v>
      </c>
      <c r="Q96" s="10">
        <v>0</v>
      </c>
      <c r="R96" s="10">
        <v>0</v>
      </c>
      <c r="S96" s="10">
        <v>0</v>
      </c>
      <c r="T96" s="10">
        <f t="shared" si="34"/>
        <v>0</v>
      </c>
      <c r="U96" s="10">
        <v>0</v>
      </c>
      <c r="V96" s="10">
        <v>0</v>
      </c>
      <c r="W96" s="10">
        <v>0</v>
      </c>
      <c r="X96" s="10">
        <v>0</v>
      </c>
      <c r="Y96" s="10">
        <v>0</v>
      </c>
      <c r="Z96" s="10">
        <f t="shared" si="35"/>
        <v>0</v>
      </c>
      <c r="AA96" s="10">
        <f t="shared" si="36"/>
        <v>0</v>
      </c>
      <c r="AB96" s="10">
        <v>0</v>
      </c>
      <c r="AC96" s="10">
        <f t="shared" si="37"/>
        <v>238.13843007132749</v>
      </c>
    </row>
    <row r="97" spans="1:29" x14ac:dyDescent="0.2">
      <c r="A97" s="17" t="s">
        <v>123</v>
      </c>
      <c r="B97" s="10">
        <v>0</v>
      </c>
      <c r="C97" s="10">
        <v>0</v>
      </c>
      <c r="D97" s="10">
        <v>376.54506815129844</v>
      </c>
      <c r="E97" s="10">
        <v>0</v>
      </c>
      <c r="F97" s="10">
        <v>0</v>
      </c>
      <c r="G97" s="10">
        <v>0</v>
      </c>
      <c r="H97" s="10">
        <v>0</v>
      </c>
      <c r="I97" s="10">
        <v>0</v>
      </c>
      <c r="J97" s="10">
        <f t="shared" si="32"/>
        <v>376.54506815129844</v>
      </c>
      <c r="K97" s="10">
        <v>0</v>
      </c>
      <c r="L97" s="10">
        <v>0</v>
      </c>
      <c r="M97" s="10">
        <v>0</v>
      </c>
      <c r="N97" s="10">
        <v>4771.5132240207004</v>
      </c>
      <c r="O97" s="10">
        <f t="shared" si="33"/>
        <v>4771.5132240207004</v>
      </c>
      <c r="P97" s="10">
        <v>0</v>
      </c>
      <c r="Q97" s="10">
        <v>0</v>
      </c>
      <c r="R97" s="10">
        <v>0</v>
      </c>
      <c r="S97" s="10">
        <v>0</v>
      </c>
      <c r="T97" s="10">
        <f t="shared" si="34"/>
        <v>0</v>
      </c>
      <c r="U97" s="10">
        <v>534.64136866495562</v>
      </c>
      <c r="V97" s="10">
        <v>0</v>
      </c>
      <c r="W97" s="10">
        <v>6493.3593700584752</v>
      </c>
      <c r="X97" s="10">
        <v>0</v>
      </c>
      <c r="Y97" s="10">
        <v>68.209356874919706</v>
      </c>
      <c r="Z97" s="10">
        <f t="shared" si="35"/>
        <v>7096.2100955983506</v>
      </c>
      <c r="AA97" s="10">
        <f t="shared" si="36"/>
        <v>7096.2100955983506</v>
      </c>
      <c r="AB97" s="10">
        <v>8279.6645595183527</v>
      </c>
      <c r="AC97" s="10">
        <f t="shared" si="37"/>
        <v>20523.932947288704</v>
      </c>
    </row>
    <row r="98" spans="1:29" x14ac:dyDescent="0.2">
      <c r="A98" s="17" t="s">
        <v>282</v>
      </c>
      <c r="B98" s="10">
        <v>0</v>
      </c>
      <c r="C98" s="10">
        <v>0</v>
      </c>
      <c r="D98" s="10">
        <v>0</v>
      </c>
      <c r="E98" s="10">
        <v>0</v>
      </c>
      <c r="F98" s="10">
        <v>0</v>
      </c>
      <c r="G98" s="10">
        <v>0</v>
      </c>
      <c r="H98" s="10">
        <v>0</v>
      </c>
      <c r="I98" s="10">
        <v>0</v>
      </c>
      <c r="J98" s="10">
        <f t="shared" si="32"/>
        <v>0</v>
      </c>
      <c r="K98" s="10">
        <v>0</v>
      </c>
      <c r="L98" s="10">
        <v>0</v>
      </c>
      <c r="M98" s="10">
        <v>0</v>
      </c>
      <c r="N98" s="10">
        <v>0</v>
      </c>
      <c r="O98" s="10">
        <f t="shared" si="33"/>
        <v>0</v>
      </c>
      <c r="P98" s="10">
        <v>0</v>
      </c>
      <c r="Q98" s="10">
        <v>0</v>
      </c>
      <c r="R98" s="10">
        <v>0</v>
      </c>
      <c r="S98" s="10">
        <v>0</v>
      </c>
      <c r="T98" s="10">
        <f t="shared" si="34"/>
        <v>0</v>
      </c>
      <c r="U98" s="10">
        <v>0</v>
      </c>
      <c r="V98" s="10">
        <v>0</v>
      </c>
      <c r="W98" s="10">
        <v>0</v>
      </c>
      <c r="X98" s="10">
        <v>0</v>
      </c>
      <c r="Y98" s="10">
        <v>0</v>
      </c>
      <c r="Z98" s="10">
        <f t="shared" si="35"/>
        <v>0</v>
      </c>
      <c r="AA98" s="10">
        <f t="shared" si="36"/>
        <v>0</v>
      </c>
      <c r="AB98" s="10">
        <v>8.1369035582039995E-3</v>
      </c>
      <c r="AC98" s="10">
        <f t="shared" si="37"/>
        <v>8.1369035582039995E-3</v>
      </c>
    </row>
    <row r="99" spans="1:29" x14ac:dyDescent="0.2">
      <c r="A99" s="17" t="s">
        <v>124</v>
      </c>
      <c r="B99" s="10">
        <v>0</v>
      </c>
      <c r="C99" s="10">
        <v>0</v>
      </c>
      <c r="D99" s="10">
        <v>2894.21266044</v>
      </c>
      <c r="E99" s="10">
        <v>0</v>
      </c>
      <c r="F99" s="10">
        <v>0</v>
      </c>
      <c r="G99" s="10">
        <v>0</v>
      </c>
      <c r="H99" s="10">
        <v>0</v>
      </c>
      <c r="I99" s="10">
        <v>0</v>
      </c>
      <c r="J99" s="10">
        <f t="shared" si="32"/>
        <v>2894.21266044</v>
      </c>
      <c r="K99" s="10">
        <v>0</v>
      </c>
      <c r="L99" s="10">
        <v>0</v>
      </c>
      <c r="M99" s="10">
        <v>0</v>
      </c>
      <c r="N99" s="10">
        <v>0</v>
      </c>
      <c r="O99" s="10">
        <f t="shared" si="33"/>
        <v>0</v>
      </c>
      <c r="P99" s="10">
        <v>0</v>
      </c>
      <c r="Q99" s="10">
        <v>0</v>
      </c>
      <c r="R99" s="10">
        <v>0</v>
      </c>
      <c r="S99" s="10">
        <v>0</v>
      </c>
      <c r="T99" s="10">
        <f t="shared" si="34"/>
        <v>0</v>
      </c>
      <c r="U99" s="10">
        <v>0</v>
      </c>
      <c r="V99" s="10">
        <v>0</v>
      </c>
      <c r="W99" s="10">
        <v>5013.1667444990062</v>
      </c>
      <c r="X99" s="10">
        <v>0</v>
      </c>
      <c r="Y99" s="10">
        <v>0</v>
      </c>
      <c r="Z99" s="10">
        <f t="shared" si="35"/>
        <v>5013.1667444990062</v>
      </c>
      <c r="AA99" s="10">
        <f t="shared" si="36"/>
        <v>5013.1667444990062</v>
      </c>
      <c r="AB99" s="10">
        <v>0</v>
      </c>
      <c r="AC99" s="10">
        <f t="shared" si="37"/>
        <v>7907.3794049390062</v>
      </c>
    </row>
    <row r="100" spans="1:29" x14ac:dyDescent="0.2">
      <c r="A100" s="17" t="s">
        <v>125</v>
      </c>
      <c r="B100" s="10">
        <v>0</v>
      </c>
      <c r="C100" s="10">
        <v>0</v>
      </c>
      <c r="D100" s="10">
        <v>0</v>
      </c>
      <c r="E100" s="10">
        <v>0</v>
      </c>
      <c r="F100" s="10">
        <v>0</v>
      </c>
      <c r="G100" s="10">
        <v>0</v>
      </c>
      <c r="H100" s="10">
        <v>0</v>
      </c>
      <c r="I100" s="10">
        <v>0</v>
      </c>
      <c r="J100" s="10">
        <f t="shared" si="32"/>
        <v>0</v>
      </c>
      <c r="K100" s="10">
        <v>0</v>
      </c>
      <c r="L100" s="10">
        <v>0</v>
      </c>
      <c r="M100" s="10">
        <v>0</v>
      </c>
      <c r="N100" s="10">
        <v>0</v>
      </c>
      <c r="O100" s="10">
        <f t="shared" si="33"/>
        <v>0</v>
      </c>
      <c r="P100" s="10">
        <v>0</v>
      </c>
      <c r="Q100" s="10">
        <v>0</v>
      </c>
      <c r="R100" s="10">
        <v>0</v>
      </c>
      <c r="S100" s="10">
        <v>0</v>
      </c>
      <c r="T100" s="10">
        <f t="shared" si="34"/>
        <v>0</v>
      </c>
      <c r="U100" s="10">
        <v>0</v>
      </c>
      <c r="V100" s="10">
        <v>0</v>
      </c>
      <c r="W100" s="10">
        <v>212.46048057505163</v>
      </c>
      <c r="X100" s="10">
        <v>0</v>
      </c>
      <c r="Y100" s="10">
        <v>0</v>
      </c>
      <c r="Z100" s="10">
        <f t="shared" si="35"/>
        <v>212.46048057505163</v>
      </c>
      <c r="AA100" s="10">
        <f t="shared" si="36"/>
        <v>212.46048057505163</v>
      </c>
      <c r="AB100" s="10">
        <v>0</v>
      </c>
      <c r="AC100" s="10">
        <f t="shared" si="37"/>
        <v>212.46048057505163</v>
      </c>
    </row>
    <row r="101" spans="1:29" ht="10.5" x14ac:dyDescent="0.25">
      <c r="A101" s="21" t="s">
        <v>126</v>
      </c>
      <c r="B101" s="13">
        <f t="shared" ref="B101:AC101" si="38">SUM(B90:B100)</f>
        <v>0</v>
      </c>
      <c r="C101" s="13">
        <f t="shared" si="38"/>
        <v>0</v>
      </c>
      <c r="D101" s="13">
        <f t="shared" si="38"/>
        <v>3270.7577285912985</v>
      </c>
      <c r="E101" s="13">
        <f t="shared" si="38"/>
        <v>0</v>
      </c>
      <c r="F101" s="13">
        <f t="shared" si="38"/>
        <v>0</v>
      </c>
      <c r="G101" s="13">
        <f t="shared" si="38"/>
        <v>0</v>
      </c>
      <c r="H101" s="13">
        <f t="shared" si="38"/>
        <v>8242.8069956736163</v>
      </c>
      <c r="I101" s="13">
        <f t="shared" si="38"/>
        <v>0</v>
      </c>
      <c r="J101" s="13">
        <f t="shared" si="38"/>
        <v>11513.564724264914</v>
      </c>
      <c r="K101" s="13">
        <f t="shared" si="38"/>
        <v>0</v>
      </c>
      <c r="L101" s="13">
        <f t="shared" si="38"/>
        <v>0</v>
      </c>
      <c r="M101" s="13">
        <f t="shared" si="38"/>
        <v>0</v>
      </c>
      <c r="N101" s="13">
        <f t="shared" si="38"/>
        <v>8372.7971804725312</v>
      </c>
      <c r="O101" s="13">
        <f t="shared" si="38"/>
        <v>8372.7971804725312</v>
      </c>
      <c r="P101" s="13">
        <f t="shared" si="38"/>
        <v>0</v>
      </c>
      <c r="Q101" s="13">
        <f t="shared" si="38"/>
        <v>0</v>
      </c>
      <c r="R101" s="13">
        <f t="shared" si="38"/>
        <v>0</v>
      </c>
      <c r="S101" s="13">
        <f t="shared" si="38"/>
        <v>0</v>
      </c>
      <c r="T101" s="13">
        <f t="shared" si="38"/>
        <v>0</v>
      </c>
      <c r="U101" s="13">
        <f t="shared" si="38"/>
        <v>534.64136866495562</v>
      </c>
      <c r="V101" s="13">
        <f t="shared" si="38"/>
        <v>0</v>
      </c>
      <c r="W101" s="13">
        <f t="shared" si="38"/>
        <v>120080.29624727866</v>
      </c>
      <c r="X101" s="13">
        <f t="shared" si="38"/>
        <v>0</v>
      </c>
      <c r="Y101" s="13">
        <f t="shared" si="38"/>
        <v>68.209356874919706</v>
      </c>
      <c r="Z101" s="13">
        <f t="shared" si="38"/>
        <v>120683.14697281853</v>
      </c>
      <c r="AA101" s="13">
        <f t="shared" si="38"/>
        <v>120683.14697281853</v>
      </c>
      <c r="AB101" s="13">
        <f t="shared" si="38"/>
        <v>-12685.274133218127</v>
      </c>
      <c r="AC101" s="13">
        <f t="shared" si="38"/>
        <v>127884.23474433788</v>
      </c>
    </row>
    <row r="102" spans="1:29" ht="10.5" x14ac:dyDescent="0.25">
      <c r="A102" s="16" t="s">
        <v>127</v>
      </c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</row>
    <row r="103" spans="1:29" x14ac:dyDescent="0.2">
      <c r="A103" s="17" t="s">
        <v>283</v>
      </c>
      <c r="B103" s="10">
        <v>0</v>
      </c>
      <c r="C103" s="10">
        <v>0</v>
      </c>
      <c r="D103" s="10">
        <v>0</v>
      </c>
      <c r="E103" s="10">
        <v>0</v>
      </c>
      <c r="F103" s="10">
        <v>0</v>
      </c>
      <c r="G103" s="10">
        <v>0</v>
      </c>
      <c r="H103" s="10">
        <v>962.65078972033427</v>
      </c>
      <c r="I103" s="10">
        <v>0</v>
      </c>
      <c r="J103" s="10">
        <f>SUM(C103:I103)</f>
        <v>962.65078972033427</v>
      </c>
      <c r="K103" s="10">
        <v>0</v>
      </c>
      <c r="L103" s="10">
        <v>0</v>
      </c>
      <c r="M103" s="10">
        <v>0</v>
      </c>
      <c r="N103" s="10">
        <v>0</v>
      </c>
      <c r="O103" s="10">
        <f>SUM(K103:N103)</f>
        <v>0</v>
      </c>
      <c r="P103" s="10">
        <v>0</v>
      </c>
      <c r="Q103" s="10">
        <v>0</v>
      </c>
      <c r="R103" s="10">
        <v>0</v>
      </c>
      <c r="S103" s="10">
        <v>0</v>
      </c>
      <c r="T103" s="10">
        <f>SUM(Q103:S103)</f>
        <v>0</v>
      </c>
      <c r="U103" s="10">
        <v>0</v>
      </c>
      <c r="V103" s="10">
        <v>0</v>
      </c>
      <c r="W103" s="10">
        <v>78.700417769717944</v>
      </c>
      <c r="X103" s="10">
        <v>0</v>
      </c>
      <c r="Y103" s="10">
        <v>0</v>
      </c>
      <c r="Z103" s="10">
        <f>SUM(U103:Y103)</f>
        <v>78.700417769717944</v>
      </c>
      <c r="AA103" s="10">
        <f>SUM(P103,T103,Z103)</f>
        <v>78.700417769717944</v>
      </c>
      <c r="AB103" s="10">
        <v>0</v>
      </c>
      <c r="AC103" s="10">
        <f>SUM(B103,J103,O103,AA103:AB103)</f>
        <v>1041.3512074900523</v>
      </c>
    </row>
    <row r="104" spans="1:29" ht="10.5" x14ac:dyDescent="0.25">
      <c r="A104" s="21" t="s">
        <v>128</v>
      </c>
      <c r="B104" s="13">
        <f t="shared" ref="B104:AC104" si="39">SUM(B103)</f>
        <v>0</v>
      </c>
      <c r="C104" s="13">
        <f t="shared" si="39"/>
        <v>0</v>
      </c>
      <c r="D104" s="13">
        <f t="shared" si="39"/>
        <v>0</v>
      </c>
      <c r="E104" s="13">
        <f t="shared" si="39"/>
        <v>0</v>
      </c>
      <c r="F104" s="13">
        <f t="shared" si="39"/>
        <v>0</v>
      </c>
      <c r="G104" s="13">
        <f t="shared" si="39"/>
        <v>0</v>
      </c>
      <c r="H104" s="13">
        <f t="shared" si="39"/>
        <v>962.65078972033427</v>
      </c>
      <c r="I104" s="13">
        <f t="shared" si="39"/>
        <v>0</v>
      </c>
      <c r="J104" s="13">
        <f t="shared" si="39"/>
        <v>962.65078972033427</v>
      </c>
      <c r="K104" s="13">
        <f t="shared" si="39"/>
        <v>0</v>
      </c>
      <c r="L104" s="13">
        <f t="shared" si="39"/>
        <v>0</v>
      </c>
      <c r="M104" s="13">
        <f t="shared" si="39"/>
        <v>0</v>
      </c>
      <c r="N104" s="13">
        <f t="shared" si="39"/>
        <v>0</v>
      </c>
      <c r="O104" s="13">
        <f t="shared" si="39"/>
        <v>0</v>
      </c>
      <c r="P104" s="13">
        <f t="shared" si="39"/>
        <v>0</v>
      </c>
      <c r="Q104" s="13">
        <f t="shared" si="39"/>
        <v>0</v>
      </c>
      <c r="R104" s="13">
        <f t="shared" si="39"/>
        <v>0</v>
      </c>
      <c r="S104" s="13">
        <f t="shared" si="39"/>
        <v>0</v>
      </c>
      <c r="T104" s="13">
        <f t="shared" si="39"/>
        <v>0</v>
      </c>
      <c r="U104" s="13">
        <f t="shared" si="39"/>
        <v>0</v>
      </c>
      <c r="V104" s="13">
        <f t="shared" si="39"/>
        <v>0</v>
      </c>
      <c r="W104" s="13">
        <f t="shared" si="39"/>
        <v>78.700417769717944</v>
      </c>
      <c r="X104" s="13">
        <f t="shared" si="39"/>
        <v>0</v>
      </c>
      <c r="Y104" s="13">
        <f t="shared" si="39"/>
        <v>0</v>
      </c>
      <c r="Z104" s="13">
        <f t="shared" si="39"/>
        <v>78.700417769717944</v>
      </c>
      <c r="AA104" s="13">
        <f t="shared" si="39"/>
        <v>78.700417769717944</v>
      </c>
      <c r="AB104" s="13">
        <f t="shared" si="39"/>
        <v>0</v>
      </c>
      <c r="AC104" s="13">
        <f t="shared" si="39"/>
        <v>1041.3512074900523</v>
      </c>
    </row>
    <row r="105" spans="1:29" ht="10.5" x14ac:dyDescent="0.25">
      <c r="A105" s="16" t="s">
        <v>284</v>
      </c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</row>
    <row r="106" spans="1:29" x14ac:dyDescent="0.2">
      <c r="A106" s="17" t="s">
        <v>285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0</v>
      </c>
      <c r="I106" s="10">
        <v>0</v>
      </c>
      <c r="J106" s="10">
        <f>SUM(C106:I106)</f>
        <v>0</v>
      </c>
      <c r="K106" s="10">
        <v>0</v>
      </c>
      <c r="L106" s="10">
        <v>0</v>
      </c>
      <c r="M106" s="10">
        <v>0</v>
      </c>
      <c r="N106" s="10">
        <v>0</v>
      </c>
      <c r="O106" s="10">
        <f>SUM(K106:N106)</f>
        <v>0</v>
      </c>
      <c r="P106" s="10">
        <v>0</v>
      </c>
      <c r="Q106" s="10">
        <v>0</v>
      </c>
      <c r="R106" s="10">
        <v>0</v>
      </c>
      <c r="S106" s="10">
        <v>0</v>
      </c>
      <c r="T106" s="10">
        <f>SUM(Q106:S106)</f>
        <v>0</v>
      </c>
      <c r="U106" s="10">
        <v>0</v>
      </c>
      <c r="V106" s="10">
        <v>0</v>
      </c>
      <c r="W106" s="10">
        <v>0</v>
      </c>
      <c r="X106" s="10">
        <v>0</v>
      </c>
      <c r="Y106" s="10">
        <v>0</v>
      </c>
      <c r="Z106" s="10">
        <f>SUM(U106:Y106)</f>
        <v>0</v>
      </c>
      <c r="AA106" s="10">
        <f>SUM(P106,T106,Z106)</f>
        <v>0</v>
      </c>
      <c r="AB106" s="10">
        <v>3907.409870099048</v>
      </c>
      <c r="AC106" s="10">
        <f>SUM(B106,J106,O106,AA106:AB106)</f>
        <v>3907.409870099048</v>
      </c>
    </row>
    <row r="107" spans="1:29" ht="10.5" x14ac:dyDescent="0.25">
      <c r="A107" s="21" t="s">
        <v>286</v>
      </c>
      <c r="B107" s="13">
        <f t="shared" ref="B107:AC107" si="40">SUM(B106)</f>
        <v>0</v>
      </c>
      <c r="C107" s="13">
        <f t="shared" si="40"/>
        <v>0</v>
      </c>
      <c r="D107" s="13">
        <f t="shared" si="40"/>
        <v>0</v>
      </c>
      <c r="E107" s="13">
        <f t="shared" si="40"/>
        <v>0</v>
      </c>
      <c r="F107" s="13">
        <f t="shared" si="40"/>
        <v>0</v>
      </c>
      <c r="G107" s="13">
        <f t="shared" si="40"/>
        <v>0</v>
      </c>
      <c r="H107" s="13">
        <f t="shared" si="40"/>
        <v>0</v>
      </c>
      <c r="I107" s="13">
        <f t="shared" si="40"/>
        <v>0</v>
      </c>
      <c r="J107" s="13">
        <f t="shared" si="40"/>
        <v>0</v>
      </c>
      <c r="K107" s="13">
        <f t="shared" si="40"/>
        <v>0</v>
      </c>
      <c r="L107" s="13">
        <f t="shared" si="40"/>
        <v>0</v>
      </c>
      <c r="M107" s="13">
        <f t="shared" si="40"/>
        <v>0</v>
      </c>
      <c r="N107" s="13">
        <f t="shared" si="40"/>
        <v>0</v>
      </c>
      <c r="O107" s="13">
        <f t="shared" si="40"/>
        <v>0</v>
      </c>
      <c r="P107" s="13">
        <f t="shared" si="40"/>
        <v>0</v>
      </c>
      <c r="Q107" s="13">
        <f t="shared" si="40"/>
        <v>0</v>
      </c>
      <c r="R107" s="13">
        <f t="shared" si="40"/>
        <v>0</v>
      </c>
      <c r="S107" s="13">
        <f t="shared" si="40"/>
        <v>0</v>
      </c>
      <c r="T107" s="13">
        <f t="shared" si="40"/>
        <v>0</v>
      </c>
      <c r="U107" s="13">
        <f t="shared" si="40"/>
        <v>0</v>
      </c>
      <c r="V107" s="13">
        <f t="shared" si="40"/>
        <v>0</v>
      </c>
      <c r="W107" s="13">
        <f t="shared" si="40"/>
        <v>0</v>
      </c>
      <c r="X107" s="13">
        <f t="shared" si="40"/>
        <v>0</v>
      </c>
      <c r="Y107" s="13">
        <f t="shared" si="40"/>
        <v>0</v>
      </c>
      <c r="Z107" s="13">
        <f t="shared" si="40"/>
        <v>0</v>
      </c>
      <c r="AA107" s="13">
        <f t="shared" si="40"/>
        <v>0</v>
      </c>
      <c r="AB107" s="13">
        <f t="shared" si="40"/>
        <v>3907.409870099048</v>
      </c>
      <c r="AC107" s="13">
        <f t="shared" si="40"/>
        <v>3907.409870099048</v>
      </c>
    </row>
    <row r="108" spans="1:29" ht="10.5" x14ac:dyDescent="0.25">
      <c r="A108" s="16" t="s">
        <v>129</v>
      </c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</row>
    <row r="109" spans="1:29" x14ac:dyDescent="0.2">
      <c r="A109" s="17" t="s">
        <v>130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14029.470121524388</v>
      </c>
      <c r="I109" s="10">
        <v>0</v>
      </c>
      <c r="J109" s="10">
        <f t="shared" ref="J109:J121" si="41">SUM(C109:I109)</f>
        <v>14029.470121524388</v>
      </c>
      <c r="K109" s="10">
        <v>0</v>
      </c>
      <c r="L109" s="10">
        <v>0</v>
      </c>
      <c r="M109" s="10">
        <v>0</v>
      </c>
      <c r="N109" s="10">
        <v>0</v>
      </c>
      <c r="O109" s="10">
        <f t="shared" ref="O109:O121" si="42">SUM(K109:N109)</f>
        <v>0</v>
      </c>
      <c r="P109" s="10">
        <v>0</v>
      </c>
      <c r="Q109" s="10">
        <v>0</v>
      </c>
      <c r="R109" s="10">
        <v>0</v>
      </c>
      <c r="S109" s="10">
        <v>0</v>
      </c>
      <c r="T109" s="10">
        <f t="shared" ref="T109:T121" si="43">SUM(Q109:S109)</f>
        <v>0</v>
      </c>
      <c r="U109" s="10">
        <v>0</v>
      </c>
      <c r="V109" s="10">
        <v>0</v>
      </c>
      <c r="W109" s="10">
        <v>0</v>
      </c>
      <c r="X109" s="10">
        <v>0</v>
      </c>
      <c r="Y109" s="10">
        <v>0</v>
      </c>
      <c r="Z109" s="10">
        <f t="shared" ref="Z109:Z121" si="44">SUM(U109:Y109)</f>
        <v>0</v>
      </c>
      <c r="AA109" s="10">
        <f t="shared" ref="AA109:AA121" si="45">SUM(P109,T109,Z109)</f>
        <v>0</v>
      </c>
      <c r="AB109" s="10">
        <v>0</v>
      </c>
      <c r="AC109" s="10">
        <f t="shared" ref="AC109:AC121" si="46">SUM(B109,J109,O109,AA109:AB109)</f>
        <v>14029.470121524388</v>
      </c>
    </row>
    <row r="110" spans="1:29" x14ac:dyDescent="0.2">
      <c r="A110" s="17" t="s">
        <v>131</v>
      </c>
      <c r="B110" s="10">
        <v>0</v>
      </c>
      <c r="C110" s="10">
        <v>0</v>
      </c>
      <c r="D110" s="10">
        <v>11342.623453353039</v>
      </c>
      <c r="E110" s="10">
        <v>4507.9801842410461</v>
      </c>
      <c r="F110" s="10">
        <v>0</v>
      </c>
      <c r="G110" s="10">
        <v>0</v>
      </c>
      <c r="H110" s="10">
        <v>2214.4997353014201</v>
      </c>
      <c r="I110" s="10">
        <v>74.29949918265774</v>
      </c>
      <c r="J110" s="10">
        <f t="shared" si="41"/>
        <v>18139.402872078161</v>
      </c>
      <c r="K110" s="10">
        <v>0</v>
      </c>
      <c r="L110" s="10">
        <v>0</v>
      </c>
      <c r="M110" s="10">
        <v>1714.8198182186186</v>
      </c>
      <c r="N110" s="10">
        <v>17875.098706699631</v>
      </c>
      <c r="O110" s="10">
        <f t="shared" si="42"/>
        <v>19589.918524918248</v>
      </c>
      <c r="P110" s="10">
        <v>0</v>
      </c>
      <c r="Q110" s="10">
        <v>0</v>
      </c>
      <c r="R110" s="10">
        <v>57.776895869102127</v>
      </c>
      <c r="S110" s="10">
        <v>854.237514915465</v>
      </c>
      <c r="T110" s="10">
        <f t="shared" si="43"/>
        <v>912.01441078456708</v>
      </c>
      <c r="U110" s="10">
        <v>44426.312930520595</v>
      </c>
      <c r="V110" s="10">
        <v>0</v>
      </c>
      <c r="W110" s="10">
        <v>34921.862360963969</v>
      </c>
      <c r="X110" s="10">
        <v>0</v>
      </c>
      <c r="Y110" s="10">
        <v>753.8472520302206</v>
      </c>
      <c r="Z110" s="10">
        <f t="shared" si="44"/>
        <v>80102.022543514788</v>
      </c>
      <c r="AA110" s="10">
        <f t="shared" si="45"/>
        <v>81014.036954299358</v>
      </c>
      <c r="AB110" s="10">
        <v>64383.628607788058</v>
      </c>
      <c r="AC110" s="10">
        <f t="shared" si="46"/>
        <v>183126.98695908382</v>
      </c>
    </row>
    <row r="111" spans="1:29" x14ac:dyDescent="0.2">
      <c r="A111" s="17" t="s">
        <v>287</v>
      </c>
      <c r="B111" s="10">
        <v>0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0</v>
      </c>
      <c r="I111" s="10">
        <v>0</v>
      </c>
      <c r="J111" s="10">
        <f t="shared" si="41"/>
        <v>0</v>
      </c>
      <c r="K111" s="10">
        <v>0</v>
      </c>
      <c r="L111" s="10">
        <v>0</v>
      </c>
      <c r="M111" s="10">
        <v>0</v>
      </c>
      <c r="N111" s="10">
        <v>203.40328823903309</v>
      </c>
      <c r="O111" s="10">
        <f t="shared" si="42"/>
        <v>203.40328823903309</v>
      </c>
      <c r="P111" s="10">
        <v>0</v>
      </c>
      <c r="Q111" s="10">
        <v>0</v>
      </c>
      <c r="R111" s="10">
        <v>0</v>
      </c>
      <c r="S111" s="10">
        <v>0</v>
      </c>
      <c r="T111" s="10">
        <f t="shared" si="43"/>
        <v>0</v>
      </c>
      <c r="U111" s="10">
        <v>0</v>
      </c>
      <c r="V111" s="10">
        <v>0</v>
      </c>
      <c r="W111" s="10">
        <v>733.97481150115721</v>
      </c>
      <c r="X111" s="10">
        <v>0</v>
      </c>
      <c r="Y111" s="10">
        <v>0</v>
      </c>
      <c r="Z111" s="10">
        <f t="shared" si="44"/>
        <v>733.97481150115721</v>
      </c>
      <c r="AA111" s="10">
        <f t="shared" si="45"/>
        <v>733.97481150115721</v>
      </c>
      <c r="AB111" s="10">
        <v>299.91031220000002</v>
      </c>
      <c r="AC111" s="10">
        <f t="shared" si="46"/>
        <v>1237.2884119401901</v>
      </c>
    </row>
    <row r="112" spans="1:29" x14ac:dyDescent="0.2">
      <c r="A112" s="17" t="s">
        <v>132</v>
      </c>
      <c r="B112" s="10">
        <v>0</v>
      </c>
      <c r="C112" s="10">
        <v>0</v>
      </c>
      <c r="D112" s="10">
        <v>311.31354620026599</v>
      </c>
      <c r="E112" s="10">
        <v>0</v>
      </c>
      <c r="F112" s="10">
        <v>0</v>
      </c>
      <c r="G112" s="10">
        <v>0</v>
      </c>
      <c r="H112" s="10">
        <v>326.94354051905799</v>
      </c>
      <c r="I112" s="10">
        <v>0</v>
      </c>
      <c r="J112" s="10">
        <f t="shared" si="41"/>
        <v>638.25708671932398</v>
      </c>
      <c r="K112" s="10">
        <v>0</v>
      </c>
      <c r="L112" s="10">
        <v>0</v>
      </c>
      <c r="M112" s="10">
        <v>680.56220901028269</v>
      </c>
      <c r="N112" s="10">
        <v>0</v>
      </c>
      <c r="O112" s="10">
        <f t="shared" si="42"/>
        <v>680.56220901028269</v>
      </c>
      <c r="P112" s="10">
        <v>0</v>
      </c>
      <c r="Q112" s="10">
        <v>0</v>
      </c>
      <c r="R112" s="10">
        <v>0</v>
      </c>
      <c r="S112" s="10">
        <v>0</v>
      </c>
      <c r="T112" s="10">
        <f t="shared" si="43"/>
        <v>0</v>
      </c>
      <c r="U112" s="10">
        <v>1956.8873975672484</v>
      </c>
      <c r="V112" s="10">
        <v>0</v>
      </c>
      <c r="W112" s="10">
        <v>3086.6386004271385</v>
      </c>
      <c r="X112" s="10">
        <v>0</v>
      </c>
      <c r="Y112" s="10">
        <v>672.43078947952847</v>
      </c>
      <c r="Z112" s="10">
        <f t="shared" si="44"/>
        <v>5715.956787473915</v>
      </c>
      <c r="AA112" s="10">
        <f t="shared" si="45"/>
        <v>5715.956787473915</v>
      </c>
      <c r="AB112" s="10">
        <v>0</v>
      </c>
      <c r="AC112" s="10">
        <f t="shared" si="46"/>
        <v>7034.7760832035219</v>
      </c>
    </row>
    <row r="113" spans="1:29" x14ac:dyDescent="0.2">
      <c r="A113" s="17" t="s">
        <v>133</v>
      </c>
      <c r="B113" s="10">
        <v>0</v>
      </c>
      <c r="C113" s="10">
        <v>0</v>
      </c>
      <c r="D113" s="10">
        <v>0</v>
      </c>
      <c r="E113" s="10">
        <v>0</v>
      </c>
      <c r="F113" s="10">
        <v>0</v>
      </c>
      <c r="G113" s="10">
        <v>0</v>
      </c>
      <c r="H113" s="10">
        <v>0</v>
      </c>
      <c r="I113" s="10">
        <v>0</v>
      </c>
      <c r="J113" s="10">
        <f t="shared" si="41"/>
        <v>0</v>
      </c>
      <c r="K113" s="10">
        <v>800</v>
      </c>
      <c r="L113" s="10">
        <v>0</v>
      </c>
      <c r="M113" s="10">
        <v>0</v>
      </c>
      <c r="N113" s="10">
        <v>698.24154381111759</v>
      </c>
      <c r="O113" s="10">
        <f t="shared" si="42"/>
        <v>1498.2415438111175</v>
      </c>
      <c r="P113" s="10">
        <v>0</v>
      </c>
      <c r="Q113" s="10">
        <v>0</v>
      </c>
      <c r="R113" s="10">
        <v>0</v>
      </c>
      <c r="S113" s="10">
        <v>0</v>
      </c>
      <c r="T113" s="10">
        <f t="shared" si="43"/>
        <v>0</v>
      </c>
      <c r="U113" s="10">
        <v>0</v>
      </c>
      <c r="V113" s="10">
        <v>0</v>
      </c>
      <c r="W113" s="10">
        <v>0</v>
      </c>
      <c r="X113" s="10">
        <v>0</v>
      </c>
      <c r="Y113" s="10">
        <v>0</v>
      </c>
      <c r="Z113" s="10">
        <f t="shared" si="44"/>
        <v>0</v>
      </c>
      <c r="AA113" s="10">
        <f t="shared" si="45"/>
        <v>0</v>
      </c>
      <c r="AB113" s="10">
        <v>1737.5999700677933</v>
      </c>
      <c r="AC113" s="10">
        <f t="shared" si="46"/>
        <v>3235.8415138789105</v>
      </c>
    </row>
    <row r="114" spans="1:29" x14ac:dyDescent="0.2">
      <c r="A114" s="17" t="s">
        <v>134</v>
      </c>
      <c r="B114" s="10">
        <v>0</v>
      </c>
      <c r="C114" s="10">
        <v>0</v>
      </c>
      <c r="D114" s="10">
        <v>0</v>
      </c>
      <c r="E114" s="10">
        <v>0</v>
      </c>
      <c r="F114" s="10">
        <v>0</v>
      </c>
      <c r="G114" s="10">
        <v>0</v>
      </c>
      <c r="H114" s="10">
        <v>9318.1570813529597</v>
      </c>
      <c r="I114" s="10">
        <v>0</v>
      </c>
      <c r="J114" s="10">
        <f t="shared" si="41"/>
        <v>9318.1570813529597</v>
      </c>
      <c r="K114" s="10">
        <v>0</v>
      </c>
      <c r="L114" s="10">
        <v>0</v>
      </c>
      <c r="M114" s="10">
        <v>0</v>
      </c>
      <c r="N114" s="10">
        <v>0</v>
      </c>
      <c r="O114" s="10">
        <f t="shared" si="42"/>
        <v>0</v>
      </c>
      <c r="P114" s="10">
        <v>0</v>
      </c>
      <c r="Q114" s="10">
        <v>0</v>
      </c>
      <c r="R114" s="10">
        <v>0</v>
      </c>
      <c r="S114" s="10">
        <v>0</v>
      </c>
      <c r="T114" s="10">
        <f t="shared" si="43"/>
        <v>0</v>
      </c>
      <c r="U114" s="10">
        <v>0</v>
      </c>
      <c r="V114" s="10">
        <v>0</v>
      </c>
      <c r="W114" s="10">
        <v>0</v>
      </c>
      <c r="X114" s="10">
        <v>0</v>
      </c>
      <c r="Y114" s="10">
        <v>0</v>
      </c>
      <c r="Z114" s="10">
        <f t="shared" si="44"/>
        <v>0</v>
      </c>
      <c r="AA114" s="10">
        <f t="shared" si="45"/>
        <v>0</v>
      </c>
      <c r="AB114" s="10">
        <v>0</v>
      </c>
      <c r="AC114" s="10">
        <f t="shared" si="46"/>
        <v>9318.1570813529597</v>
      </c>
    </row>
    <row r="115" spans="1:29" x14ac:dyDescent="0.2">
      <c r="A115" s="17" t="s">
        <v>135</v>
      </c>
      <c r="B115" s="10">
        <v>0</v>
      </c>
      <c r="C115" s="10">
        <v>0</v>
      </c>
      <c r="D115" s="10">
        <v>138.21324390000001</v>
      </c>
      <c r="E115" s="10">
        <v>494.33768150611786</v>
      </c>
      <c r="F115" s="10">
        <v>0</v>
      </c>
      <c r="G115" s="10">
        <v>0</v>
      </c>
      <c r="H115" s="10">
        <v>0</v>
      </c>
      <c r="I115" s="10">
        <v>0</v>
      </c>
      <c r="J115" s="10">
        <f t="shared" si="41"/>
        <v>632.55092540611781</v>
      </c>
      <c r="K115" s="10">
        <v>0</v>
      </c>
      <c r="L115" s="10">
        <v>0</v>
      </c>
      <c r="M115" s="10">
        <v>161.58439878181321</v>
      </c>
      <c r="N115" s="10">
        <v>20251.085541632146</v>
      </c>
      <c r="O115" s="10">
        <f t="shared" si="42"/>
        <v>20412.669940413958</v>
      </c>
      <c r="P115" s="10">
        <v>0</v>
      </c>
      <c r="Q115" s="10">
        <v>0</v>
      </c>
      <c r="R115" s="10">
        <v>0</v>
      </c>
      <c r="S115" s="10">
        <v>0</v>
      </c>
      <c r="T115" s="10">
        <f t="shared" si="43"/>
        <v>0</v>
      </c>
      <c r="U115" s="10">
        <v>1368.3429383862197</v>
      </c>
      <c r="V115" s="10">
        <v>0</v>
      </c>
      <c r="W115" s="10">
        <v>1062.0233570204682</v>
      </c>
      <c r="X115" s="10">
        <v>0</v>
      </c>
      <c r="Y115" s="10">
        <v>0</v>
      </c>
      <c r="Z115" s="10">
        <f t="shared" si="44"/>
        <v>2430.3662954066876</v>
      </c>
      <c r="AA115" s="10">
        <f t="shared" si="45"/>
        <v>2430.3662954066876</v>
      </c>
      <c r="AB115" s="10">
        <v>-17667.853368852335</v>
      </c>
      <c r="AC115" s="10">
        <f t="shared" si="46"/>
        <v>5807.7337923744308</v>
      </c>
    </row>
    <row r="116" spans="1:29" x14ac:dyDescent="0.2">
      <c r="A116" s="17" t="s">
        <v>288</v>
      </c>
      <c r="B116" s="10">
        <v>0</v>
      </c>
      <c r="C116" s="10">
        <v>0</v>
      </c>
      <c r="D116" s="10">
        <v>0</v>
      </c>
      <c r="E116" s="10">
        <v>0</v>
      </c>
      <c r="F116" s="10">
        <v>0</v>
      </c>
      <c r="G116" s="10">
        <v>0</v>
      </c>
      <c r="H116" s="10">
        <v>0</v>
      </c>
      <c r="I116" s="10">
        <v>0</v>
      </c>
      <c r="J116" s="10">
        <f t="shared" si="41"/>
        <v>0</v>
      </c>
      <c r="K116" s="10">
        <v>0</v>
      </c>
      <c r="L116" s="10">
        <v>0</v>
      </c>
      <c r="M116" s="10">
        <v>0</v>
      </c>
      <c r="N116" s="10">
        <v>0</v>
      </c>
      <c r="O116" s="10">
        <f t="shared" si="42"/>
        <v>0</v>
      </c>
      <c r="P116" s="10">
        <v>0</v>
      </c>
      <c r="Q116" s="10">
        <v>0</v>
      </c>
      <c r="R116" s="10">
        <v>0</v>
      </c>
      <c r="S116" s="10">
        <v>0</v>
      </c>
      <c r="T116" s="10">
        <f t="shared" si="43"/>
        <v>0</v>
      </c>
      <c r="U116" s="10">
        <v>0</v>
      </c>
      <c r="V116" s="10">
        <v>0</v>
      </c>
      <c r="W116" s="10">
        <v>365.86297515414412</v>
      </c>
      <c r="X116" s="10">
        <v>0</v>
      </c>
      <c r="Y116" s="10">
        <v>0</v>
      </c>
      <c r="Z116" s="10">
        <f t="shared" si="44"/>
        <v>365.86297515414412</v>
      </c>
      <c r="AA116" s="10">
        <f t="shared" si="45"/>
        <v>365.86297515414412</v>
      </c>
      <c r="AB116" s="10">
        <v>88.592131350012821</v>
      </c>
      <c r="AC116" s="10">
        <f t="shared" si="46"/>
        <v>454.45510650415696</v>
      </c>
    </row>
    <row r="117" spans="1:29" x14ac:dyDescent="0.2">
      <c r="A117" s="17" t="s">
        <v>289</v>
      </c>
      <c r="B117" s="10">
        <v>0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  <c r="I117" s="10">
        <v>0</v>
      </c>
      <c r="J117" s="10">
        <f t="shared" si="41"/>
        <v>0</v>
      </c>
      <c r="K117" s="10">
        <v>0</v>
      </c>
      <c r="L117" s="10">
        <v>0</v>
      </c>
      <c r="M117" s="10">
        <v>0</v>
      </c>
      <c r="N117" s="10">
        <v>0</v>
      </c>
      <c r="O117" s="10">
        <f t="shared" si="42"/>
        <v>0</v>
      </c>
      <c r="P117" s="10">
        <v>0</v>
      </c>
      <c r="Q117" s="10">
        <v>0</v>
      </c>
      <c r="R117" s="10">
        <v>0</v>
      </c>
      <c r="S117" s="10">
        <v>0</v>
      </c>
      <c r="T117" s="10">
        <f t="shared" si="43"/>
        <v>0</v>
      </c>
      <c r="U117" s="10">
        <v>895.08238559999995</v>
      </c>
      <c r="V117" s="10">
        <v>0</v>
      </c>
      <c r="W117" s="10">
        <v>5765.4525403513835</v>
      </c>
      <c r="X117" s="10">
        <v>0</v>
      </c>
      <c r="Y117" s="10">
        <v>160.29438239999999</v>
      </c>
      <c r="Z117" s="10">
        <f t="shared" si="44"/>
        <v>6820.8293083513836</v>
      </c>
      <c r="AA117" s="10">
        <f t="shared" si="45"/>
        <v>6820.8293083513836</v>
      </c>
      <c r="AB117" s="10">
        <v>31.617376495434463</v>
      </c>
      <c r="AC117" s="10">
        <f t="shared" si="46"/>
        <v>6852.4466848468182</v>
      </c>
    </row>
    <row r="118" spans="1:29" x14ac:dyDescent="0.2">
      <c r="A118" s="17" t="s">
        <v>136</v>
      </c>
      <c r="B118" s="10">
        <v>0</v>
      </c>
      <c r="C118" s="10">
        <v>0</v>
      </c>
      <c r="D118" s="10">
        <v>20262.412163767916</v>
      </c>
      <c r="E118" s="10">
        <v>0</v>
      </c>
      <c r="F118" s="10">
        <v>0</v>
      </c>
      <c r="G118" s="10">
        <v>0</v>
      </c>
      <c r="H118" s="10">
        <v>0</v>
      </c>
      <c r="I118" s="10">
        <v>0</v>
      </c>
      <c r="J118" s="10">
        <f t="shared" si="41"/>
        <v>20262.412163767916</v>
      </c>
      <c r="K118" s="10">
        <v>0</v>
      </c>
      <c r="L118" s="10">
        <v>0</v>
      </c>
      <c r="M118" s="10">
        <v>0</v>
      </c>
      <c r="N118" s="10">
        <v>0</v>
      </c>
      <c r="O118" s="10">
        <f t="shared" si="42"/>
        <v>0</v>
      </c>
      <c r="P118" s="10">
        <v>0</v>
      </c>
      <c r="Q118" s="10">
        <v>0</v>
      </c>
      <c r="R118" s="10">
        <v>0</v>
      </c>
      <c r="S118" s="10">
        <v>0</v>
      </c>
      <c r="T118" s="10">
        <f t="shared" si="43"/>
        <v>0</v>
      </c>
      <c r="U118" s="10">
        <v>0</v>
      </c>
      <c r="V118" s="10">
        <v>0</v>
      </c>
      <c r="W118" s="10">
        <v>0</v>
      </c>
      <c r="X118" s="10">
        <v>0</v>
      </c>
      <c r="Y118" s="10">
        <v>0</v>
      </c>
      <c r="Z118" s="10">
        <f t="shared" si="44"/>
        <v>0</v>
      </c>
      <c r="AA118" s="10">
        <f t="shared" si="45"/>
        <v>0</v>
      </c>
      <c r="AB118" s="10">
        <v>0</v>
      </c>
      <c r="AC118" s="10">
        <f t="shared" si="46"/>
        <v>20262.412163767916</v>
      </c>
    </row>
    <row r="119" spans="1:29" x14ac:dyDescent="0.2">
      <c r="A119" s="17" t="s">
        <v>290</v>
      </c>
      <c r="B119" s="10">
        <v>0</v>
      </c>
      <c r="C119" s="10">
        <v>0</v>
      </c>
      <c r="D119" s="10">
        <v>0</v>
      </c>
      <c r="E119" s="10">
        <v>0</v>
      </c>
      <c r="F119" s="10">
        <v>0</v>
      </c>
      <c r="G119" s="10">
        <v>0</v>
      </c>
      <c r="H119" s="10">
        <v>0</v>
      </c>
      <c r="I119" s="10">
        <v>0</v>
      </c>
      <c r="J119" s="10">
        <f t="shared" si="41"/>
        <v>0</v>
      </c>
      <c r="K119" s="10">
        <v>0</v>
      </c>
      <c r="L119" s="10">
        <v>0</v>
      </c>
      <c r="M119" s="10">
        <v>0</v>
      </c>
      <c r="N119" s="10">
        <v>0</v>
      </c>
      <c r="O119" s="10">
        <f t="shared" si="42"/>
        <v>0</v>
      </c>
      <c r="P119" s="10">
        <v>0</v>
      </c>
      <c r="Q119" s="10">
        <v>0</v>
      </c>
      <c r="R119" s="10">
        <v>0</v>
      </c>
      <c r="S119" s="10">
        <v>5795.2124368346513</v>
      </c>
      <c r="T119" s="10">
        <f t="shared" si="43"/>
        <v>5795.2124368346513</v>
      </c>
      <c r="U119" s="10">
        <v>0</v>
      </c>
      <c r="V119" s="10">
        <v>0</v>
      </c>
      <c r="W119" s="10">
        <v>0</v>
      </c>
      <c r="X119" s="10">
        <v>0</v>
      </c>
      <c r="Y119" s="10">
        <v>0</v>
      </c>
      <c r="Z119" s="10">
        <f t="shared" si="44"/>
        <v>0</v>
      </c>
      <c r="AA119" s="10">
        <f t="shared" si="45"/>
        <v>5795.2124368346513</v>
      </c>
      <c r="AB119" s="10">
        <v>0</v>
      </c>
      <c r="AC119" s="10">
        <f t="shared" si="46"/>
        <v>5795.2124368346513</v>
      </c>
    </row>
    <row r="120" spans="1:29" x14ac:dyDescent="0.2">
      <c r="A120" s="17" t="s">
        <v>137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0</v>
      </c>
      <c r="I120" s="10">
        <v>0</v>
      </c>
      <c r="J120" s="10">
        <f t="shared" si="41"/>
        <v>0</v>
      </c>
      <c r="K120" s="10">
        <v>0</v>
      </c>
      <c r="L120" s="10">
        <v>0</v>
      </c>
      <c r="M120" s="10">
        <v>0</v>
      </c>
      <c r="N120" s="10">
        <v>0</v>
      </c>
      <c r="O120" s="10">
        <f t="shared" si="42"/>
        <v>0</v>
      </c>
      <c r="P120" s="10">
        <v>0</v>
      </c>
      <c r="Q120" s="10">
        <v>0</v>
      </c>
      <c r="R120" s="10">
        <v>0</v>
      </c>
      <c r="S120" s="10">
        <v>0</v>
      </c>
      <c r="T120" s="10">
        <f t="shared" si="43"/>
        <v>0</v>
      </c>
      <c r="U120" s="10">
        <v>17044.25648216519</v>
      </c>
      <c r="V120" s="10">
        <v>0</v>
      </c>
      <c r="W120" s="10">
        <v>0</v>
      </c>
      <c r="X120" s="10">
        <v>9976.2594300040364</v>
      </c>
      <c r="Y120" s="10">
        <v>0</v>
      </c>
      <c r="Z120" s="10">
        <f t="shared" si="44"/>
        <v>27020.515912169227</v>
      </c>
      <c r="AA120" s="10">
        <f t="shared" si="45"/>
        <v>27020.515912169227</v>
      </c>
      <c r="AB120" s="10">
        <v>0</v>
      </c>
      <c r="AC120" s="10">
        <f t="shared" si="46"/>
        <v>27020.515912169227</v>
      </c>
    </row>
    <row r="121" spans="1:29" x14ac:dyDescent="0.2">
      <c r="A121" s="17" t="s">
        <v>138</v>
      </c>
      <c r="B121" s="10">
        <v>0</v>
      </c>
      <c r="C121" s="10">
        <v>0</v>
      </c>
      <c r="D121" s="10">
        <v>0</v>
      </c>
      <c r="E121" s="10">
        <v>0</v>
      </c>
      <c r="F121" s="10">
        <v>0</v>
      </c>
      <c r="G121" s="10">
        <v>0</v>
      </c>
      <c r="H121" s="10">
        <v>0</v>
      </c>
      <c r="I121" s="10">
        <v>0</v>
      </c>
      <c r="J121" s="10">
        <f t="shared" si="41"/>
        <v>0</v>
      </c>
      <c r="K121" s="10">
        <v>0</v>
      </c>
      <c r="L121" s="10">
        <v>15589.575679843369</v>
      </c>
      <c r="M121" s="10">
        <v>0</v>
      </c>
      <c r="N121" s="10">
        <v>0</v>
      </c>
      <c r="O121" s="10">
        <f t="shared" si="42"/>
        <v>15589.575679843369</v>
      </c>
      <c r="P121" s="10">
        <v>0</v>
      </c>
      <c r="Q121" s="10">
        <v>0</v>
      </c>
      <c r="R121" s="10">
        <v>0</v>
      </c>
      <c r="S121" s="10">
        <v>0</v>
      </c>
      <c r="T121" s="10">
        <f t="shared" si="43"/>
        <v>0</v>
      </c>
      <c r="U121" s="10">
        <v>0</v>
      </c>
      <c r="V121" s="10">
        <v>0</v>
      </c>
      <c r="W121" s="10">
        <v>0</v>
      </c>
      <c r="X121" s="10">
        <v>0</v>
      </c>
      <c r="Y121" s="10">
        <v>0</v>
      </c>
      <c r="Z121" s="10">
        <f t="shared" si="44"/>
        <v>0</v>
      </c>
      <c r="AA121" s="10">
        <f t="shared" si="45"/>
        <v>0</v>
      </c>
      <c r="AB121" s="10">
        <v>0</v>
      </c>
      <c r="AC121" s="10">
        <f t="shared" si="46"/>
        <v>15589.575679843369</v>
      </c>
    </row>
    <row r="122" spans="1:29" ht="10.5" x14ac:dyDescent="0.25">
      <c r="A122" s="21" t="s">
        <v>139</v>
      </c>
      <c r="B122" s="13">
        <f t="shared" ref="B122:AC122" si="47">SUM(B109:B121)</f>
        <v>0</v>
      </c>
      <c r="C122" s="13">
        <f t="shared" si="47"/>
        <v>0</v>
      </c>
      <c r="D122" s="13">
        <f t="shared" si="47"/>
        <v>32054.562407221223</v>
      </c>
      <c r="E122" s="13">
        <f t="shared" si="47"/>
        <v>5002.3178657471635</v>
      </c>
      <c r="F122" s="13">
        <f t="shared" si="47"/>
        <v>0</v>
      </c>
      <c r="G122" s="13">
        <f t="shared" si="47"/>
        <v>0</v>
      </c>
      <c r="H122" s="13">
        <f t="shared" si="47"/>
        <v>25889.070478697824</v>
      </c>
      <c r="I122" s="13">
        <f t="shared" si="47"/>
        <v>74.29949918265774</v>
      </c>
      <c r="J122" s="13">
        <f t="shared" si="47"/>
        <v>63020.250250848869</v>
      </c>
      <c r="K122" s="13">
        <f t="shared" si="47"/>
        <v>800</v>
      </c>
      <c r="L122" s="13">
        <f t="shared" si="47"/>
        <v>15589.575679843369</v>
      </c>
      <c r="M122" s="13">
        <f t="shared" si="47"/>
        <v>2556.9664260107147</v>
      </c>
      <c r="N122" s="13">
        <f t="shared" si="47"/>
        <v>39027.829080381925</v>
      </c>
      <c r="O122" s="13">
        <f t="shared" si="47"/>
        <v>57974.371186236007</v>
      </c>
      <c r="P122" s="13">
        <f t="shared" si="47"/>
        <v>0</v>
      </c>
      <c r="Q122" s="13">
        <f t="shared" si="47"/>
        <v>0</v>
      </c>
      <c r="R122" s="13">
        <f t="shared" si="47"/>
        <v>57.776895869102127</v>
      </c>
      <c r="S122" s="13">
        <f t="shared" si="47"/>
        <v>6649.4499517501163</v>
      </c>
      <c r="T122" s="13">
        <f t="shared" si="47"/>
        <v>6707.2268476192185</v>
      </c>
      <c r="U122" s="13">
        <f t="shared" si="47"/>
        <v>65690.882134239248</v>
      </c>
      <c r="V122" s="13">
        <f t="shared" si="47"/>
        <v>0</v>
      </c>
      <c r="W122" s="13">
        <f t="shared" si="47"/>
        <v>45935.814645418264</v>
      </c>
      <c r="X122" s="13">
        <f t="shared" si="47"/>
        <v>9976.2594300040364</v>
      </c>
      <c r="Y122" s="13">
        <f t="shared" si="47"/>
        <v>1586.572423909749</v>
      </c>
      <c r="Z122" s="13">
        <f t="shared" si="47"/>
        <v>123189.5286335713</v>
      </c>
      <c r="AA122" s="13">
        <f t="shared" si="47"/>
        <v>129896.75548119053</v>
      </c>
      <c r="AB122" s="13">
        <f t="shared" si="47"/>
        <v>48873.495029048972</v>
      </c>
      <c r="AC122" s="13">
        <f t="shared" si="47"/>
        <v>299764.87194732431</v>
      </c>
    </row>
    <row r="123" spans="1:29" ht="10.5" x14ac:dyDescent="0.25">
      <c r="A123" s="16" t="s">
        <v>140</v>
      </c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</row>
    <row r="124" spans="1:29" x14ac:dyDescent="0.2">
      <c r="A124" s="17" t="s">
        <v>141</v>
      </c>
      <c r="B124" s="10">
        <v>0</v>
      </c>
      <c r="C124" s="10">
        <v>0</v>
      </c>
      <c r="D124" s="10">
        <v>45.765611948497707</v>
      </c>
      <c r="E124" s="10">
        <v>0</v>
      </c>
      <c r="F124" s="10">
        <v>0</v>
      </c>
      <c r="G124" s="10">
        <v>0</v>
      </c>
      <c r="H124" s="10">
        <v>301.30870852574219</v>
      </c>
      <c r="I124" s="10">
        <v>0</v>
      </c>
      <c r="J124" s="10">
        <f>SUM(C124:I124)</f>
        <v>347.07432047423993</v>
      </c>
      <c r="K124" s="10">
        <v>64.95</v>
      </c>
      <c r="L124" s="10">
        <v>0</v>
      </c>
      <c r="M124" s="10">
        <v>0</v>
      </c>
      <c r="N124" s="10">
        <v>8760.0635119706312</v>
      </c>
      <c r="O124" s="10">
        <f>SUM(K124:N124)</f>
        <v>8825.013511970632</v>
      </c>
      <c r="P124" s="10">
        <v>0</v>
      </c>
      <c r="Q124" s="10">
        <v>0</v>
      </c>
      <c r="R124" s="10">
        <v>0</v>
      </c>
      <c r="S124" s="10">
        <v>-0.84710249999999998</v>
      </c>
      <c r="T124" s="10">
        <f>SUM(Q124:S124)</f>
        <v>-0.84710249999999998</v>
      </c>
      <c r="U124" s="10">
        <v>382.24193260505785</v>
      </c>
      <c r="V124" s="10">
        <v>0</v>
      </c>
      <c r="W124" s="10">
        <v>2190.3742085440444</v>
      </c>
      <c r="X124" s="10">
        <v>0</v>
      </c>
      <c r="Y124" s="10">
        <v>0</v>
      </c>
      <c r="Z124" s="10">
        <f>SUM(U124:Y124)</f>
        <v>2572.6161411491021</v>
      </c>
      <c r="AA124" s="10">
        <f>SUM(P124,T124,Z124)</f>
        <v>2571.7690386491022</v>
      </c>
      <c r="AB124" s="10">
        <v>13374.433168991332</v>
      </c>
      <c r="AC124" s="10">
        <f>SUM(B124,J124,O124,AA124:AB124)</f>
        <v>25118.290040085303</v>
      </c>
    </row>
    <row r="125" spans="1:29" x14ac:dyDescent="0.2">
      <c r="A125" s="17" t="s">
        <v>142</v>
      </c>
      <c r="B125" s="10">
        <v>0</v>
      </c>
      <c r="C125" s="10">
        <v>0</v>
      </c>
      <c r="D125" s="10">
        <v>0</v>
      </c>
      <c r="E125" s="10">
        <v>0</v>
      </c>
      <c r="F125" s="10">
        <v>0</v>
      </c>
      <c r="G125" s="10">
        <v>0</v>
      </c>
      <c r="H125" s="10">
        <v>0</v>
      </c>
      <c r="I125" s="10">
        <v>0</v>
      </c>
      <c r="J125" s="10">
        <f>SUM(C125:I125)</f>
        <v>0</v>
      </c>
      <c r="K125" s="10">
        <v>0</v>
      </c>
      <c r="L125" s="10">
        <v>0</v>
      </c>
      <c r="M125" s="10">
        <v>0</v>
      </c>
      <c r="N125" s="10">
        <v>4528.5100486558831</v>
      </c>
      <c r="O125" s="10">
        <f>SUM(K125:N125)</f>
        <v>4528.5100486558831</v>
      </c>
      <c r="P125" s="10">
        <v>0</v>
      </c>
      <c r="Q125" s="10">
        <v>0</v>
      </c>
      <c r="R125" s="10">
        <v>0</v>
      </c>
      <c r="S125" s="10">
        <v>0</v>
      </c>
      <c r="T125" s="10">
        <f>SUM(Q125:S125)</f>
        <v>0</v>
      </c>
      <c r="U125" s="10">
        <v>0</v>
      </c>
      <c r="V125" s="10">
        <v>0</v>
      </c>
      <c r="W125" s="10">
        <v>1357.9769632162443</v>
      </c>
      <c r="X125" s="10">
        <v>0</v>
      </c>
      <c r="Y125" s="10">
        <v>0</v>
      </c>
      <c r="Z125" s="10">
        <f>SUM(U125:Y125)</f>
        <v>1357.9769632162443</v>
      </c>
      <c r="AA125" s="10">
        <f>SUM(P125,T125,Z125)</f>
        <v>1357.9769632162443</v>
      </c>
      <c r="AB125" s="10">
        <v>73742.559999999998</v>
      </c>
      <c r="AC125" s="10">
        <f>SUM(B125,J125,O125,AA125:AB125)</f>
        <v>79629.047011872128</v>
      </c>
    </row>
    <row r="126" spans="1:29" x14ac:dyDescent="0.2">
      <c r="A126" s="17" t="s">
        <v>143</v>
      </c>
      <c r="B126" s="10">
        <v>0</v>
      </c>
      <c r="C126" s="10">
        <v>0</v>
      </c>
      <c r="D126" s="10">
        <v>0</v>
      </c>
      <c r="E126" s="10">
        <v>0</v>
      </c>
      <c r="F126" s="10">
        <v>0</v>
      </c>
      <c r="G126" s="10">
        <v>0</v>
      </c>
      <c r="H126" s="10">
        <v>0</v>
      </c>
      <c r="I126" s="10">
        <v>0</v>
      </c>
      <c r="J126" s="10">
        <f>SUM(C126:I126)</f>
        <v>0</v>
      </c>
      <c r="K126" s="10">
        <v>0</v>
      </c>
      <c r="L126" s="10">
        <v>0</v>
      </c>
      <c r="M126" s="10">
        <v>0</v>
      </c>
      <c r="N126" s="10">
        <v>0</v>
      </c>
      <c r="O126" s="10">
        <f>SUM(K126:N126)</f>
        <v>0</v>
      </c>
      <c r="P126" s="10">
        <v>0</v>
      </c>
      <c r="Q126" s="10">
        <v>0</v>
      </c>
      <c r="R126" s="10">
        <v>0</v>
      </c>
      <c r="S126" s="10">
        <v>0</v>
      </c>
      <c r="T126" s="10">
        <f>SUM(Q126:S126)</f>
        <v>0</v>
      </c>
      <c r="U126" s="10">
        <v>0</v>
      </c>
      <c r="V126" s="10">
        <v>0</v>
      </c>
      <c r="W126" s="10">
        <v>72.049936530814605</v>
      </c>
      <c r="X126" s="10">
        <v>0</v>
      </c>
      <c r="Y126" s="10">
        <v>0</v>
      </c>
      <c r="Z126" s="10">
        <f>SUM(U126:Y126)</f>
        <v>72.049936530814605</v>
      </c>
      <c r="AA126" s="10">
        <f>SUM(P126,T126,Z126)</f>
        <v>72.049936530814605</v>
      </c>
      <c r="AB126" s="10">
        <v>18002.409913607506</v>
      </c>
      <c r="AC126" s="10">
        <f>SUM(B126,J126,O126,AA126:AB126)</f>
        <v>18074.459850138319</v>
      </c>
    </row>
    <row r="127" spans="1:29" x14ac:dyDescent="0.2">
      <c r="A127" s="17" t="s">
        <v>144</v>
      </c>
      <c r="B127" s="10">
        <v>0</v>
      </c>
      <c r="C127" s="10">
        <v>0</v>
      </c>
      <c r="D127" s="10">
        <v>0</v>
      </c>
      <c r="E127" s="10">
        <v>0</v>
      </c>
      <c r="F127" s="10">
        <v>0</v>
      </c>
      <c r="G127" s="10">
        <v>0</v>
      </c>
      <c r="H127" s="10">
        <v>0</v>
      </c>
      <c r="I127" s="10">
        <v>0</v>
      </c>
      <c r="J127" s="10">
        <f>SUM(C127:I127)</f>
        <v>0</v>
      </c>
      <c r="K127" s="10">
        <v>0</v>
      </c>
      <c r="L127" s="10">
        <v>0</v>
      </c>
      <c r="M127" s="10">
        <v>0</v>
      </c>
      <c r="N127" s="10">
        <v>0</v>
      </c>
      <c r="O127" s="10">
        <f>SUM(K127:N127)</f>
        <v>0</v>
      </c>
      <c r="P127" s="10">
        <v>0</v>
      </c>
      <c r="Q127" s="10">
        <v>0</v>
      </c>
      <c r="R127" s="10">
        <v>0</v>
      </c>
      <c r="S127" s="10">
        <v>0</v>
      </c>
      <c r="T127" s="10">
        <f>SUM(Q127:S127)</f>
        <v>0</v>
      </c>
      <c r="U127" s="10">
        <v>0</v>
      </c>
      <c r="V127" s="10">
        <v>0</v>
      </c>
      <c r="W127" s="10">
        <v>0</v>
      </c>
      <c r="X127" s="10">
        <v>0</v>
      </c>
      <c r="Y127" s="10">
        <v>0</v>
      </c>
      <c r="Z127" s="10">
        <f>SUM(U127:Y127)</f>
        <v>0</v>
      </c>
      <c r="AA127" s="10">
        <f>SUM(P127,T127,Z127)</f>
        <v>0</v>
      </c>
      <c r="AB127" s="10">
        <v>-16.89834403300376</v>
      </c>
      <c r="AC127" s="10">
        <f>SUM(B127,J127,O127,AA127:AB127)</f>
        <v>-16.89834403300376</v>
      </c>
    </row>
    <row r="128" spans="1:29" ht="10.5" x14ac:dyDescent="0.25">
      <c r="A128" s="21" t="s">
        <v>145</v>
      </c>
      <c r="B128" s="13">
        <f t="shared" ref="B128:AC128" si="48">SUM(B124:B127)</f>
        <v>0</v>
      </c>
      <c r="C128" s="13">
        <f t="shared" si="48"/>
        <v>0</v>
      </c>
      <c r="D128" s="13">
        <f t="shared" si="48"/>
        <v>45.765611948497707</v>
      </c>
      <c r="E128" s="13">
        <f t="shared" si="48"/>
        <v>0</v>
      </c>
      <c r="F128" s="13">
        <f t="shared" si="48"/>
        <v>0</v>
      </c>
      <c r="G128" s="13">
        <f t="shared" si="48"/>
        <v>0</v>
      </c>
      <c r="H128" s="13">
        <f t="shared" si="48"/>
        <v>301.30870852574219</v>
      </c>
      <c r="I128" s="13">
        <f t="shared" si="48"/>
        <v>0</v>
      </c>
      <c r="J128" s="13">
        <f t="shared" si="48"/>
        <v>347.07432047423993</v>
      </c>
      <c r="K128" s="13">
        <f t="shared" si="48"/>
        <v>64.95</v>
      </c>
      <c r="L128" s="13">
        <f t="shared" si="48"/>
        <v>0</v>
      </c>
      <c r="M128" s="13">
        <f t="shared" si="48"/>
        <v>0</v>
      </c>
      <c r="N128" s="13">
        <f t="shared" si="48"/>
        <v>13288.573560626515</v>
      </c>
      <c r="O128" s="13">
        <f t="shared" si="48"/>
        <v>13353.523560626516</v>
      </c>
      <c r="P128" s="13">
        <f t="shared" si="48"/>
        <v>0</v>
      </c>
      <c r="Q128" s="13">
        <f t="shared" si="48"/>
        <v>0</v>
      </c>
      <c r="R128" s="13">
        <f t="shared" si="48"/>
        <v>0</v>
      </c>
      <c r="S128" s="13">
        <f t="shared" si="48"/>
        <v>-0.84710249999999998</v>
      </c>
      <c r="T128" s="13">
        <f t="shared" si="48"/>
        <v>-0.84710249999999998</v>
      </c>
      <c r="U128" s="13">
        <f t="shared" si="48"/>
        <v>382.24193260505785</v>
      </c>
      <c r="V128" s="13">
        <f t="shared" si="48"/>
        <v>0</v>
      </c>
      <c r="W128" s="13">
        <f t="shared" si="48"/>
        <v>3620.4011082911034</v>
      </c>
      <c r="X128" s="13">
        <f t="shared" si="48"/>
        <v>0</v>
      </c>
      <c r="Y128" s="13">
        <f t="shared" si="48"/>
        <v>0</v>
      </c>
      <c r="Z128" s="13">
        <f t="shared" si="48"/>
        <v>4002.643040896161</v>
      </c>
      <c r="AA128" s="13">
        <f t="shared" si="48"/>
        <v>4001.7959383961611</v>
      </c>
      <c r="AB128" s="13">
        <f t="shared" si="48"/>
        <v>105102.50473856584</v>
      </c>
      <c r="AC128" s="13">
        <f t="shared" si="48"/>
        <v>122804.89855806275</v>
      </c>
    </row>
    <row r="129" spans="1:29" ht="10.5" x14ac:dyDescent="0.25">
      <c r="A129" s="12" t="s">
        <v>146</v>
      </c>
      <c r="B129" s="13">
        <f t="shared" ref="B129:AC129" si="49">SUM(B39,B45,B52,B57,B61,B72,B80,B88,B101,B104,B107,B122,B128)</f>
        <v>1233193.1574759828</v>
      </c>
      <c r="C129" s="13">
        <f t="shared" si="49"/>
        <v>14292.6717099341</v>
      </c>
      <c r="D129" s="13">
        <f t="shared" si="49"/>
        <v>73325.66805400225</v>
      </c>
      <c r="E129" s="13">
        <f t="shared" si="49"/>
        <v>161346.37620407357</v>
      </c>
      <c r="F129" s="13">
        <f t="shared" si="49"/>
        <v>6184.4293065656284</v>
      </c>
      <c r="G129" s="13">
        <f t="shared" si="49"/>
        <v>0</v>
      </c>
      <c r="H129" s="13">
        <f t="shared" si="49"/>
        <v>168258.63845053737</v>
      </c>
      <c r="I129" s="13">
        <f t="shared" si="49"/>
        <v>1474.2618294259762</v>
      </c>
      <c r="J129" s="13">
        <f t="shared" si="49"/>
        <v>424882.0455545389</v>
      </c>
      <c r="K129" s="13">
        <f t="shared" si="49"/>
        <v>4052.5728666472396</v>
      </c>
      <c r="L129" s="13">
        <f t="shared" si="49"/>
        <v>16472.161227245153</v>
      </c>
      <c r="M129" s="13">
        <f t="shared" si="49"/>
        <v>4024.9193095089595</v>
      </c>
      <c r="N129" s="13">
        <f t="shared" si="49"/>
        <v>450016.69421604491</v>
      </c>
      <c r="O129" s="13">
        <f t="shared" si="49"/>
        <v>474566.34761944629</v>
      </c>
      <c r="P129" s="13">
        <f t="shared" si="49"/>
        <v>0</v>
      </c>
      <c r="Q129" s="13">
        <f t="shared" si="49"/>
        <v>900.09967950268197</v>
      </c>
      <c r="R129" s="13">
        <f t="shared" si="49"/>
        <v>28170.463341672137</v>
      </c>
      <c r="S129" s="13">
        <f t="shared" si="49"/>
        <v>8005.3804657474402</v>
      </c>
      <c r="T129" s="13">
        <f t="shared" si="49"/>
        <v>37075.94348692226</v>
      </c>
      <c r="U129" s="13">
        <f t="shared" si="49"/>
        <v>124732.81703331061</v>
      </c>
      <c r="V129" s="13">
        <f t="shared" si="49"/>
        <v>0</v>
      </c>
      <c r="W129" s="13">
        <f t="shared" si="49"/>
        <v>545166.19982654392</v>
      </c>
      <c r="X129" s="13">
        <f t="shared" si="49"/>
        <v>9976.2594300040364</v>
      </c>
      <c r="Y129" s="13">
        <f t="shared" si="49"/>
        <v>12665.620387622937</v>
      </c>
      <c r="Z129" s="13">
        <f t="shared" si="49"/>
        <v>692540.89667748159</v>
      </c>
      <c r="AA129" s="13">
        <f t="shared" si="49"/>
        <v>729616.84016440366</v>
      </c>
      <c r="AB129" s="13">
        <f t="shared" si="49"/>
        <v>281184.6497202444</v>
      </c>
      <c r="AC129" s="13">
        <f t="shared" si="49"/>
        <v>3143443.0405346164</v>
      </c>
    </row>
    <row r="130" spans="1:29" ht="10.5" x14ac:dyDescent="0.25">
      <c r="A130" s="8" t="s">
        <v>147</v>
      </c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</row>
    <row r="131" spans="1:29" x14ac:dyDescent="0.2">
      <c r="A131" s="9" t="s">
        <v>148</v>
      </c>
      <c r="B131" s="10">
        <v>0</v>
      </c>
      <c r="C131" s="10">
        <v>0</v>
      </c>
      <c r="D131" s="10">
        <v>4704.5585725461442</v>
      </c>
      <c r="E131" s="10">
        <v>0</v>
      </c>
      <c r="F131" s="10">
        <v>0</v>
      </c>
      <c r="G131" s="10">
        <v>0</v>
      </c>
      <c r="H131" s="10">
        <v>2280.9098587081689</v>
      </c>
      <c r="I131" s="10">
        <v>0</v>
      </c>
      <c r="J131" s="10">
        <f t="shared" ref="J131:J148" si="50">SUM(C131:I131)</f>
        <v>6985.4684312543131</v>
      </c>
      <c r="K131" s="10">
        <v>0</v>
      </c>
      <c r="L131" s="10">
        <v>0</v>
      </c>
      <c r="M131" s="10">
        <v>0</v>
      </c>
      <c r="N131" s="10">
        <v>0</v>
      </c>
      <c r="O131" s="10">
        <f t="shared" ref="O131:O148" si="51">SUM(K131:N131)</f>
        <v>0</v>
      </c>
      <c r="P131" s="10">
        <v>0</v>
      </c>
      <c r="Q131" s="10">
        <v>0</v>
      </c>
      <c r="R131" s="10">
        <v>0</v>
      </c>
      <c r="S131" s="10">
        <v>0</v>
      </c>
      <c r="T131" s="10">
        <f t="shared" ref="T131:T148" si="52">SUM(Q131:S131)</f>
        <v>0</v>
      </c>
      <c r="U131" s="10">
        <v>53.085090000000001</v>
      </c>
      <c r="V131" s="10">
        <v>0</v>
      </c>
      <c r="W131" s="10">
        <v>32916.317808553846</v>
      </c>
      <c r="X131" s="10">
        <v>0</v>
      </c>
      <c r="Y131" s="10">
        <v>0</v>
      </c>
      <c r="Z131" s="10">
        <f t="shared" ref="Z131:Z148" si="53">SUM(U131:Y131)</f>
        <v>32969.402898553846</v>
      </c>
      <c r="AA131" s="10">
        <f t="shared" ref="AA131:AA148" si="54">SUM(P131,T131,Z131)</f>
        <v>32969.402898553846</v>
      </c>
      <c r="AB131" s="10">
        <v>2556.2002614444159</v>
      </c>
      <c r="AC131" s="10">
        <f t="shared" ref="AC131:AC148" si="55">SUM(B131,J131,O131,AA131:AB131)</f>
        <v>42511.07159125257</v>
      </c>
    </row>
    <row r="132" spans="1:29" x14ac:dyDescent="0.2">
      <c r="A132" s="9" t="s">
        <v>149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0</v>
      </c>
      <c r="J132" s="10">
        <f t="shared" si="50"/>
        <v>0</v>
      </c>
      <c r="K132" s="10">
        <v>0</v>
      </c>
      <c r="L132" s="10">
        <v>0</v>
      </c>
      <c r="M132" s="10">
        <v>0</v>
      </c>
      <c r="N132" s="10">
        <v>0</v>
      </c>
      <c r="O132" s="10">
        <f t="shared" si="51"/>
        <v>0</v>
      </c>
      <c r="P132" s="10">
        <v>0</v>
      </c>
      <c r="Q132" s="10">
        <v>0</v>
      </c>
      <c r="R132" s="10">
        <v>0</v>
      </c>
      <c r="S132" s="10">
        <v>0</v>
      </c>
      <c r="T132" s="10">
        <f t="shared" si="52"/>
        <v>0</v>
      </c>
      <c r="U132" s="10">
        <v>1667.2772010702529</v>
      </c>
      <c r="V132" s="10">
        <v>0</v>
      </c>
      <c r="W132" s="10">
        <v>7960.371725065299</v>
      </c>
      <c r="X132" s="10">
        <v>0</v>
      </c>
      <c r="Y132" s="10">
        <v>12367.242762704718</v>
      </c>
      <c r="Z132" s="10">
        <f t="shared" si="53"/>
        <v>21994.891688840271</v>
      </c>
      <c r="AA132" s="10">
        <f t="shared" si="54"/>
        <v>21994.891688840271</v>
      </c>
      <c r="AB132" s="10">
        <v>0</v>
      </c>
      <c r="AC132" s="10">
        <f t="shared" si="55"/>
        <v>21994.891688840271</v>
      </c>
    </row>
    <row r="133" spans="1:29" x14ac:dyDescent="0.2">
      <c r="A133" s="9" t="s">
        <v>291</v>
      </c>
      <c r="B133" s="10">
        <v>0</v>
      </c>
      <c r="C133" s="10">
        <v>0</v>
      </c>
      <c r="D133" s="10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f t="shared" si="50"/>
        <v>0</v>
      </c>
      <c r="K133" s="10">
        <v>0</v>
      </c>
      <c r="L133" s="10">
        <v>0</v>
      </c>
      <c r="M133" s="10">
        <v>0</v>
      </c>
      <c r="N133" s="10">
        <v>2401.4902510745428</v>
      </c>
      <c r="O133" s="10">
        <f t="shared" si="51"/>
        <v>2401.4902510745428</v>
      </c>
      <c r="P133" s="10">
        <v>0</v>
      </c>
      <c r="Q133" s="10">
        <v>0</v>
      </c>
      <c r="R133" s="10">
        <v>0</v>
      </c>
      <c r="S133" s="10">
        <v>0</v>
      </c>
      <c r="T133" s="10">
        <f t="shared" si="52"/>
        <v>0</v>
      </c>
      <c r="U133" s="10">
        <v>0</v>
      </c>
      <c r="V133" s="10">
        <v>0</v>
      </c>
      <c r="W133" s="10">
        <v>0</v>
      </c>
      <c r="X133" s="10">
        <v>0</v>
      </c>
      <c r="Y133" s="10">
        <v>0</v>
      </c>
      <c r="Z133" s="10">
        <f t="shared" si="53"/>
        <v>0</v>
      </c>
      <c r="AA133" s="10">
        <f t="shared" si="54"/>
        <v>0</v>
      </c>
      <c r="AB133" s="10">
        <v>-392.87857271478907</v>
      </c>
      <c r="AC133" s="10">
        <f t="shared" si="55"/>
        <v>2008.6116783597538</v>
      </c>
    </row>
    <row r="134" spans="1:29" x14ac:dyDescent="0.2">
      <c r="A134" s="9" t="s">
        <v>150</v>
      </c>
      <c r="B134" s="10">
        <v>0</v>
      </c>
      <c r="C134" s="10">
        <v>0</v>
      </c>
      <c r="D134" s="10">
        <v>0</v>
      </c>
      <c r="E134" s="10">
        <v>0</v>
      </c>
      <c r="F134" s="10">
        <v>0</v>
      </c>
      <c r="G134" s="10">
        <v>0</v>
      </c>
      <c r="H134" s="10">
        <v>7440.7699193604476</v>
      </c>
      <c r="I134" s="10">
        <v>0</v>
      </c>
      <c r="J134" s="10">
        <f t="shared" si="50"/>
        <v>7440.7699193604476</v>
      </c>
      <c r="K134" s="10">
        <v>0</v>
      </c>
      <c r="L134" s="10">
        <v>0</v>
      </c>
      <c r="M134" s="10">
        <v>0</v>
      </c>
      <c r="N134" s="10">
        <v>455.73143498523501</v>
      </c>
      <c r="O134" s="10">
        <f t="shared" si="51"/>
        <v>455.73143498523501</v>
      </c>
      <c r="P134" s="10">
        <v>0</v>
      </c>
      <c r="Q134" s="10">
        <v>0</v>
      </c>
      <c r="R134" s="10">
        <v>0</v>
      </c>
      <c r="S134" s="10">
        <v>0</v>
      </c>
      <c r="T134" s="10">
        <f t="shared" si="52"/>
        <v>0</v>
      </c>
      <c r="U134" s="10">
        <v>280.94436780000001</v>
      </c>
      <c r="V134" s="10">
        <v>0</v>
      </c>
      <c r="W134" s="10">
        <v>100.07104200000001</v>
      </c>
      <c r="X134" s="10">
        <v>593.06210759999999</v>
      </c>
      <c r="Y134" s="10">
        <v>595.37597692616919</v>
      </c>
      <c r="Z134" s="10">
        <f t="shared" si="53"/>
        <v>1569.4534943261692</v>
      </c>
      <c r="AA134" s="10">
        <f t="shared" si="54"/>
        <v>1569.4534943261692</v>
      </c>
      <c r="AB134" s="10">
        <v>377.03026382423081</v>
      </c>
      <c r="AC134" s="10">
        <f t="shared" si="55"/>
        <v>9842.9851124960824</v>
      </c>
    </row>
    <row r="135" spans="1:29" x14ac:dyDescent="0.2">
      <c r="A135" s="9" t="s">
        <v>292</v>
      </c>
      <c r="B135" s="10">
        <v>0</v>
      </c>
      <c r="C135" s="10">
        <v>0</v>
      </c>
      <c r="D135" s="10">
        <v>0</v>
      </c>
      <c r="E135" s="10">
        <v>0</v>
      </c>
      <c r="F135" s="10">
        <v>0</v>
      </c>
      <c r="G135" s="10">
        <v>0</v>
      </c>
      <c r="H135" s="10">
        <v>0</v>
      </c>
      <c r="I135" s="10">
        <v>0</v>
      </c>
      <c r="J135" s="10">
        <f t="shared" si="50"/>
        <v>0</v>
      </c>
      <c r="K135" s="10">
        <v>0</v>
      </c>
      <c r="L135" s="10">
        <v>0</v>
      </c>
      <c r="M135" s="10">
        <v>0</v>
      </c>
      <c r="N135" s="10">
        <v>2490.6879225950024</v>
      </c>
      <c r="O135" s="10">
        <f t="shared" si="51"/>
        <v>2490.6879225950024</v>
      </c>
      <c r="P135" s="10">
        <v>0</v>
      </c>
      <c r="Q135" s="10">
        <v>0</v>
      </c>
      <c r="R135" s="10">
        <v>0</v>
      </c>
      <c r="S135" s="10">
        <v>0</v>
      </c>
      <c r="T135" s="10">
        <f t="shared" si="52"/>
        <v>0</v>
      </c>
      <c r="U135" s="10">
        <v>0</v>
      </c>
      <c r="V135" s="10">
        <v>0</v>
      </c>
      <c r="W135" s="10">
        <v>5297.2692986352304</v>
      </c>
      <c r="X135" s="10">
        <v>0</v>
      </c>
      <c r="Y135" s="10">
        <v>0</v>
      </c>
      <c r="Z135" s="10">
        <f t="shared" si="53"/>
        <v>5297.2692986352304</v>
      </c>
      <c r="AA135" s="10">
        <f t="shared" si="54"/>
        <v>5297.2692986352304</v>
      </c>
      <c r="AB135" s="10">
        <v>0</v>
      </c>
      <c r="AC135" s="10">
        <f t="shared" si="55"/>
        <v>7787.9572212302328</v>
      </c>
    </row>
    <row r="136" spans="1:29" x14ac:dyDescent="0.2">
      <c r="A136" s="9" t="s">
        <v>151</v>
      </c>
      <c r="B136" s="10">
        <v>0</v>
      </c>
      <c r="C136" s="10">
        <v>0</v>
      </c>
      <c r="D136" s="10">
        <v>8554.3266092659687</v>
      </c>
      <c r="E136" s="10">
        <v>0</v>
      </c>
      <c r="F136" s="10">
        <v>0</v>
      </c>
      <c r="G136" s="10">
        <v>0</v>
      </c>
      <c r="H136" s="10">
        <v>19163.048516168677</v>
      </c>
      <c r="I136" s="10">
        <v>0</v>
      </c>
      <c r="J136" s="10">
        <f t="shared" si="50"/>
        <v>27717.375125434646</v>
      </c>
      <c r="K136" s="10">
        <v>0</v>
      </c>
      <c r="L136" s="10">
        <v>0</v>
      </c>
      <c r="M136" s="10">
        <v>0</v>
      </c>
      <c r="N136" s="10">
        <v>0</v>
      </c>
      <c r="O136" s="10">
        <f t="shared" si="51"/>
        <v>0</v>
      </c>
      <c r="P136" s="10">
        <v>0</v>
      </c>
      <c r="Q136" s="10">
        <v>0</v>
      </c>
      <c r="R136" s="10">
        <v>0</v>
      </c>
      <c r="S136" s="10">
        <v>0</v>
      </c>
      <c r="T136" s="10">
        <f t="shared" si="52"/>
        <v>0</v>
      </c>
      <c r="U136" s="10">
        <v>0</v>
      </c>
      <c r="V136" s="10">
        <v>0</v>
      </c>
      <c r="W136" s="10">
        <v>5460.0976244086896</v>
      </c>
      <c r="X136" s="10">
        <v>0</v>
      </c>
      <c r="Y136" s="10">
        <v>0</v>
      </c>
      <c r="Z136" s="10">
        <f t="shared" si="53"/>
        <v>5460.0976244086896</v>
      </c>
      <c r="AA136" s="10">
        <f t="shared" si="54"/>
        <v>5460.0976244086896</v>
      </c>
      <c r="AB136" s="10">
        <v>4264.101170769808</v>
      </c>
      <c r="AC136" s="10">
        <f t="shared" si="55"/>
        <v>37441.57392061314</v>
      </c>
    </row>
    <row r="137" spans="1:29" x14ac:dyDescent="0.2">
      <c r="A137" s="9" t="s">
        <v>152</v>
      </c>
      <c r="B137" s="10">
        <v>0</v>
      </c>
      <c r="C137" s="10">
        <v>0</v>
      </c>
      <c r="D137" s="10">
        <v>0</v>
      </c>
      <c r="E137" s="10">
        <v>0</v>
      </c>
      <c r="F137" s="10">
        <v>0</v>
      </c>
      <c r="G137" s="10">
        <v>0</v>
      </c>
      <c r="H137" s="10">
        <v>0</v>
      </c>
      <c r="I137" s="10">
        <v>0</v>
      </c>
      <c r="J137" s="10">
        <f t="shared" si="50"/>
        <v>0</v>
      </c>
      <c r="K137" s="10">
        <v>0</v>
      </c>
      <c r="L137" s="10">
        <v>0</v>
      </c>
      <c r="M137" s="10">
        <v>0</v>
      </c>
      <c r="N137" s="10">
        <v>13663.915720341707</v>
      </c>
      <c r="O137" s="10">
        <f t="shared" si="51"/>
        <v>13663.915720341707</v>
      </c>
      <c r="P137" s="10">
        <v>0</v>
      </c>
      <c r="Q137" s="10">
        <v>0</v>
      </c>
      <c r="R137" s="10">
        <v>0</v>
      </c>
      <c r="S137" s="10">
        <v>0</v>
      </c>
      <c r="T137" s="10">
        <f t="shared" si="52"/>
        <v>0</v>
      </c>
      <c r="U137" s="10">
        <v>0</v>
      </c>
      <c r="V137" s="10">
        <v>0</v>
      </c>
      <c r="W137" s="10">
        <v>2.6420175161044024</v>
      </c>
      <c r="X137" s="10">
        <v>0</v>
      </c>
      <c r="Y137" s="10">
        <v>0</v>
      </c>
      <c r="Z137" s="10">
        <f t="shared" si="53"/>
        <v>2.6420175161044024</v>
      </c>
      <c r="AA137" s="10">
        <f t="shared" si="54"/>
        <v>2.6420175161044024</v>
      </c>
      <c r="AB137" s="10">
        <v>0</v>
      </c>
      <c r="AC137" s="10">
        <f t="shared" si="55"/>
        <v>13666.557737857811</v>
      </c>
    </row>
    <row r="138" spans="1:29" x14ac:dyDescent="0.2">
      <c r="A138" s="9" t="s">
        <v>153</v>
      </c>
      <c r="B138" s="10">
        <v>0</v>
      </c>
      <c r="C138" s="10">
        <v>0</v>
      </c>
      <c r="D138" s="10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f t="shared" si="50"/>
        <v>0</v>
      </c>
      <c r="K138" s="10">
        <v>0</v>
      </c>
      <c r="L138" s="10">
        <v>0</v>
      </c>
      <c r="M138" s="10">
        <v>0</v>
      </c>
      <c r="N138" s="10">
        <v>52905.601954244747</v>
      </c>
      <c r="O138" s="10">
        <f t="shared" si="51"/>
        <v>52905.601954244747</v>
      </c>
      <c r="P138" s="10">
        <v>0</v>
      </c>
      <c r="Q138" s="10">
        <v>0</v>
      </c>
      <c r="R138" s="10">
        <v>0</v>
      </c>
      <c r="S138" s="10">
        <v>0</v>
      </c>
      <c r="T138" s="10">
        <f t="shared" si="52"/>
        <v>0</v>
      </c>
      <c r="U138" s="10">
        <v>0</v>
      </c>
      <c r="V138" s="10">
        <v>0</v>
      </c>
      <c r="W138" s="10">
        <v>0</v>
      </c>
      <c r="X138" s="10">
        <v>0</v>
      </c>
      <c r="Y138" s="10">
        <v>0</v>
      </c>
      <c r="Z138" s="10">
        <f t="shared" si="53"/>
        <v>0</v>
      </c>
      <c r="AA138" s="10">
        <f t="shared" si="54"/>
        <v>0</v>
      </c>
      <c r="AB138" s="10">
        <v>9913.2551009288964</v>
      </c>
      <c r="AC138" s="10">
        <f t="shared" si="55"/>
        <v>62818.857055173641</v>
      </c>
    </row>
    <row r="139" spans="1:29" x14ac:dyDescent="0.2">
      <c r="A139" s="9" t="s">
        <v>154</v>
      </c>
      <c r="B139" s="10">
        <v>0</v>
      </c>
      <c r="C139" s="10">
        <v>0</v>
      </c>
      <c r="D139" s="10">
        <v>0</v>
      </c>
      <c r="E139" s="10">
        <v>0</v>
      </c>
      <c r="F139" s="10">
        <v>0</v>
      </c>
      <c r="G139" s="10">
        <v>0</v>
      </c>
      <c r="H139" s="10">
        <v>0</v>
      </c>
      <c r="I139" s="10">
        <v>0</v>
      </c>
      <c r="J139" s="10">
        <f t="shared" si="50"/>
        <v>0</v>
      </c>
      <c r="K139" s="10">
        <v>0</v>
      </c>
      <c r="L139" s="10">
        <v>0</v>
      </c>
      <c r="M139" s="10">
        <v>0</v>
      </c>
      <c r="N139" s="10">
        <v>1750.7866583174759</v>
      </c>
      <c r="O139" s="10">
        <f t="shared" si="51"/>
        <v>1750.7866583174759</v>
      </c>
      <c r="P139" s="10">
        <v>0</v>
      </c>
      <c r="Q139" s="10">
        <v>0</v>
      </c>
      <c r="R139" s="10">
        <v>0</v>
      </c>
      <c r="S139" s="10">
        <v>0</v>
      </c>
      <c r="T139" s="10">
        <f t="shared" si="52"/>
        <v>0</v>
      </c>
      <c r="U139" s="10">
        <v>0</v>
      </c>
      <c r="V139" s="10">
        <v>0</v>
      </c>
      <c r="W139" s="10">
        <v>0</v>
      </c>
      <c r="X139" s="10">
        <v>0</v>
      </c>
      <c r="Y139" s="10">
        <v>0</v>
      </c>
      <c r="Z139" s="10">
        <f t="shared" si="53"/>
        <v>0</v>
      </c>
      <c r="AA139" s="10">
        <f t="shared" si="54"/>
        <v>0</v>
      </c>
      <c r="AB139" s="10">
        <v>0</v>
      </c>
      <c r="AC139" s="10">
        <f t="shared" si="55"/>
        <v>1750.7866583174759</v>
      </c>
    </row>
    <row r="140" spans="1:29" x14ac:dyDescent="0.2">
      <c r="A140" s="9" t="s">
        <v>155</v>
      </c>
      <c r="B140" s="10">
        <v>0</v>
      </c>
      <c r="C140" s="10">
        <v>0</v>
      </c>
      <c r="D140" s="10">
        <v>0</v>
      </c>
      <c r="E140" s="10">
        <v>0</v>
      </c>
      <c r="F140" s="10">
        <v>0</v>
      </c>
      <c r="G140" s="10">
        <v>0</v>
      </c>
      <c r="H140" s="10">
        <v>2303.9494463548417</v>
      </c>
      <c r="I140" s="10">
        <v>0</v>
      </c>
      <c r="J140" s="10">
        <f t="shared" si="50"/>
        <v>2303.9494463548417</v>
      </c>
      <c r="K140" s="10">
        <v>4220.3861624562796</v>
      </c>
      <c r="L140" s="10">
        <v>0</v>
      </c>
      <c r="M140" s="10">
        <v>0</v>
      </c>
      <c r="N140" s="10">
        <v>47638.90469363489</v>
      </c>
      <c r="O140" s="10">
        <f t="shared" si="51"/>
        <v>51859.290856091167</v>
      </c>
      <c r="P140" s="10">
        <v>0</v>
      </c>
      <c r="Q140" s="10">
        <v>0</v>
      </c>
      <c r="R140" s="10">
        <v>0</v>
      </c>
      <c r="S140" s="10">
        <v>0</v>
      </c>
      <c r="T140" s="10">
        <f t="shared" si="52"/>
        <v>0</v>
      </c>
      <c r="U140" s="10">
        <v>0</v>
      </c>
      <c r="V140" s="10">
        <v>0</v>
      </c>
      <c r="W140" s="10">
        <v>5132.4568084761086</v>
      </c>
      <c r="X140" s="10">
        <v>0</v>
      </c>
      <c r="Y140" s="10">
        <v>0</v>
      </c>
      <c r="Z140" s="10">
        <f t="shared" si="53"/>
        <v>5132.4568084761086</v>
      </c>
      <c r="AA140" s="10">
        <f t="shared" si="54"/>
        <v>5132.4568084761086</v>
      </c>
      <c r="AB140" s="10">
        <v>31069.585240815017</v>
      </c>
      <c r="AC140" s="10">
        <f t="shared" si="55"/>
        <v>90365.282351737143</v>
      </c>
    </row>
    <row r="141" spans="1:29" x14ac:dyDescent="0.2">
      <c r="A141" s="9" t="s">
        <v>156</v>
      </c>
      <c r="B141" s="10">
        <v>0</v>
      </c>
      <c r="C141" s="10">
        <v>0</v>
      </c>
      <c r="D141" s="10">
        <v>0</v>
      </c>
      <c r="E141" s="10">
        <v>0</v>
      </c>
      <c r="F141" s="10">
        <v>0</v>
      </c>
      <c r="G141" s="10">
        <v>0</v>
      </c>
      <c r="H141" s="10">
        <v>0</v>
      </c>
      <c r="I141" s="10">
        <v>0</v>
      </c>
      <c r="J141" s="10">
        <f t="shared" si="50"/>
        <v>0</v>
      </c>
      <c r="K141" s="10">
        <v>0</v>
      </c>
      <c r="L141" s="10">
        <v>0</v>
      </c>
      <c r="M141" s="10">
        <v>0</v>
      </c>
      <c r="N141" s="10">
        <v>4496.9719669514689</v>
      </c>
      <c r="O141" s="10">
        <f t="shared" si="51"/>
        <v>4496.9719669514689</v>
      </c>
      <c r="P141" s="10">
        <v>0</v>
      </c>
      <c r="Q141" s="10">
        <v>0</v>
      </c>
      <c r="R141" s="10">
        <v>0</v>
      </c>
      <c r="S141" s="10">
        <v>0</v>
      </c>
      <c r="T141" s="10">
        <f t="shared" si="52"/>
        <v>0</v>
      </c>
      <c r="U141" s="10">
        <v>0</v>
      </c>
      <c r="V141" s="10">
        <v>0</v>
      </c>
      <c r="W141" s="10">
        <v>0</v>
      </c>
      <c r="X141" s="10">
        <v>0</v>
      </c>
      <c r="Y141" s="10">
        <v>0</v>
      </c>
      <c r="Z141" s="10">
        <f t="shared" si="53"/>
        <v>0</v>
      </c>
      <c r="AA141" s="10">
        <f t="shared" si="54"/>
        <v>0</v>
      </c>
      <c r="AB141" s="10">
        <v>0</v>
      </c>
      <c r="AC141" s="10">
        <f t="shared" si="55"/>
        <v>4496.9719669514689</v>
      </c>
    </row>
    <row r="142" spans="1:29" x14ac:dyDescent="0.2">
      <c r="A142" s="9" t="s">
        <v>157</v>
      </c>
      <c r="B142" s="10">
        <v>0</v>
      </c>
      <c r="C142" s="10">
        <v>0</v>
      </c>
      <c r="D142" s="10">
        <v>0</v>
      </c>
      <c r="E142" s="10">
        <v>0</v>
      </c>
      <c r="F142" s="10">
        <v>0</v>
      </c>
      <c r="G142" s="10">
        <v>0</v>
      </c>
      <c r="H142" s="10">
        <v>1790.1187828048801</v>
      </c>
      <c r="I142" s="10">
        <v>0</v>
      </c>
      <c r="J142" s="10">
        <f t="shared" si="50"/>
        <v>1790.1187828048801</v>
      </c>
      <c r="K142" s="10">
        <v>0</v>
      </c>
      <c r="L142" s="10">
        <v>0</v>
      </c>
      <c r="M142" s="10">
        <v>0</v>
      </c>
      <c r="N142" s="10">
        <v>0</v>
      </c>
      <c r="O142" s="10">
        <f t="shared" si="51"/>
        <v>0</v>
      </c>
      <c r="P142" s="10">
        <v>0</v>
      </c>
      <c r="Q142" s="10">
        <v>0</v>
      </c>
      <c r="R142" s="10">
        <v>0</v>
      </c>
      <c r="S142" s="10">
        <v>0</v>
      </c>
      <c r="T142" s="10">
        <f t="shared" si="52"/>
        <v>0</v>
      </c>
      <c r="U142" s="10">
        <v>0</v>
      </c>
      <c r="V142" s="10">
        <v>0</v>
      </c>
      <c r="W142" s="10">
        <v>0</v>
      </c>
      <c r="X142" s="10">
        <v>0</v>
      </c>
      <c r="Y142" s="10">
        <v>2351.2183713111758</v>
      </c>
      <c r="Z142" s="10">
        <f t="shared" si="53"/>
        <v>2351.2183713111758</v>
      </c>
      <c r="AA142" s="10">
        <f t="shared" si="54"/>
        <v>2351.2183713111758</v>
      </c>
      <c r="AB142" s="10">
        <v>104017.4404577086</v>
      </c>
      <c r="AC142" s="10">
        <f t="shared" si="55"/>
        <v>108158.77761182465</v>
      </c>
    </row>
    <row r="143" spans="1:29" x14ac:dyDescent="0.2">
      <c r="A143" s="9" t="s">
        <v>158</v>
      </c>
      <c r="B143" s="10">
        <v>0</v>
      </c>
      <c r="C143" s="10">
        <v>0</v>
      </c>
      <c r="D143" s="10">
        <v>730.85535602278901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f t="shared" si="50"/>
        <v>730.85535602278901</v>
      </c>
      <c r="K143" s="10">
        <v>0</v>
      </c>
      <c r="L143" s="10">
        <v>0</v>
      </c>
      <c r="M143" s="10">
        <v>0</v>
      </c>
      <c r="N143" s="10">
        <v>6562.0253496547521</v>
      </c>
      <c r="O143" s="10">
        <f t="shared" si="51"/>
        <v>6562.0253496547521</v>
      </c>
      <c r="P143" s="10">
        <v>0</v>
      </c>
      <c r="Q143" s="10">
        <v>0</v>
      </c>
      <c r="R143" s="10">
        <v>0</v>
      </c>
      <c r="S143" s="10">
        <v>0</v>
      </c>
      <c r="T143" s="10">
        <f t="shared" si="52"/>
        <v>0</v>
      </c>
      <c r="U143" s="10">
        <v>0</v>
      </c>
      <c r="V143" s="10">
        <v>0</v>
      </c>
      <c r="W143" s="10">
        <v>0</v>
      </c>
      <c r="X143" s="10">
        <v>0</v>
      </c>
      <c r="Y143" s="10">
        <v>0</v>
      </c>
      <c r="Z143" s="10">
        <f t="shared" si="53"/>
        <v>0</v>
      </c>
      <c r="AA143" s="10">
        <f t="shared" si="54"/>
        <v>0</v>
      </c>
      <c r="AB143" s="10">
        <v>0</v>
      </c>
      <c r="AC143" s="10">
        <f t="shared" si="55"/>
        <v>7292.8807056775413</v>
      </c>
    </row>
    <row r="144" spans="1:29" x14ac:dyDescent="0.2">
      <c r="A144" s="9" t="s">
        <v>159</v>
      </c>
      <c r="B144" s="11">
        <v>-740135.37439230946</v>
      </c>
      <c r="C144" s="10">
        <v>0</v>
      </c>
      <c r="D144" s="10">
        <v>4080.5002680201997</v>
      </c>
      <c r="E144" s="10">
        <v>-14292.6717099341</v>
      </c>
      <c r="F144" s="10">
        <v>0</v>
      </c>
      <c r="G144" s="10">
        <v>0</v>
      </c>
      <c r="H144" s="10">
        <v>10160.181126004865</v>
      </c>
      <c r="I144" s="10">
        <v>0</v>
      </c>
      <c r="J144" s="10">
        <f t="shared" si="50"/>
        <v>-51.990315909035417</v>
      </c>
      <c r="K144" s="10">
        <v>0</v>
      </c>
      <c r="L144" s="10">
        <v>0</v>
      </c>
      <c r="M144" s="10">
        <v>0</v>
      </c>
      <c r="N144" s="10">
        <v>533420.90917541785</v>
      </c>
      <c r="O144" s="10">
        <f t="shared" si="51"/>
        <v>533420.90917541785</v>
      </c>
      <c r="P144" s="10">
        <v>0</v>
      </c>
      <c r="Q144" s="10">
        <v>0</v>
      </c>
      <c r="R144" s="10">
        <v>0</v>
      </c>
      <c r="S144" s="10">
        <v>0</v>
      </c>
      <c r="T144" s="10">
        <f t="shared" si="52"/>
        <v>0</v>
      </c>
      <c r="U144" s="10">
        <v>-5062.6826458233963</v>
      </c>
      <c r="V144" s="10">
        <v>0</v>
      </c>
      <c r="W144" s="10">
        <v>19568.522928671198</v>
      </c>
      <c r="X144" s="10">
        <v>0</v>
      </c>
      <c r="Y144" s="10">
        <v>34623.405611688795</v>
      </c>
      <c r="Z144" s="10">
        <f t="shared" si="53"/>
        <v>49129.245894536594</v>
      </c>
      <c r="AA144" s="10">
        <f t="shared" si="54"/>
        <v>49129.245894536594</v>
      </c>
      <c r="AB144" s="10">
        <v>221899.73708049709</v>
      </c>
      <c r="AC144" s="10">
        <f t="shared" si="55"/>
        <v>64262.527442233055</v>
      </c>
    </row>
    <row r="145" spans="1:29" x14ac:dyDescent="0.2">
      <c r="A145" s="9" t="s">
        <v>293</v>
      </c>
      <c r="B145" s="10">
        <v>0</v>
      </c>
      <c r="C145" s="10">
        <v>0</v>
      </c>
      <c r="D145" s="10">
        <v>0</v>
      </c>
      <c r="E145" s="10">
        <v>0</v>
      </c>
      <c r="F145" s="10">
        <v>0</v>
      </c>
      <c r="G145" s="10">
        <v>0</v>
      </c>
      <c r="H145" s="10">
        <v>0</v>
      </c>
      <c r="I145" s="10">
        <v>0</v>
      </c>
      <c r="J145" s="10">
        <f t="shared" si="50"/>
        <v>0</v>
      </c>
      <c r="K145" s="10">
        <v>0</v>
      </c>
      <c r="L145" s="10">
        <v>0</v>
      </c>
      <c r="M145" s="10">
        <v>0</v>
      </c>
      <c r="N145" s="10">
        <v>0</v>
      </c>
      <c r="O145" s="10">
        <f t="shared" si="51"/>
        <v>0</v>
      </c>
      <c r="P145" s="10">
        <v>0</v>
      </c>
      <c r="Q145" s="10">
        <v>0</v>
      </c>
      <c r="R145" s="10">
        <v>0</v>
      </c>
      <c r="S145" s="10">
        <v>0</v>
      </c>
      <c r="T145" s="10">
        <f t="shared" si="52"/>
        <v>0</v>
      </c>
      <c r="U145" s="10">
        <v>0</v>
      </c>
      <c r="V145" s="10">
        <v>0</v>
      </c>
      <c r="W145" s="10">
        <v>110.7685887061007</v>
      </c>
      <c r="X145" s="10">
        <v>0</v>
      </c>
      <c r="Y145" s="10">
        <v>0</v>
      </c>
      <c r="Z145" s="10">
        <f t="shared" si="53"/>
        <v>110.7685887061007</v>
      </c>
      <c r="AA145" s="10">
        <f t="shared" si="54"/>
        <v>110.7685887061007</v>
      </c>
      <c r="AB145" s="10">
        <v>19669.924960573288</v>
      </c>
      <c r="AC145" s="10">
        <f t="shared" si="55"/>
        <v>19780.693549279389</v>
      </c>
    </row>
    <row r="146" spans="1:29" x14ac:dyDescent="0.2">
      <c r="A146" s="9" t="s">
        <v>160</v>
      </c>
      <c r="B146" s="10">
        <v>0</v>
      </c>
      <c r="C146" s="10">
        <v>0</v>
      </c>
      <c r="D146" s="10">
        <v>0</v>
      </c>
      <c r="E146" s="10">
        <v>0</v>
      </c>
      <c r="F146" s="10">
        <v>0</v>
      </c>
      <c r="G146" s="10">
        <v>0</v>
      </c>
      <c r="H146" s="10">
        <v>51923.420094273009</v>
      </c>
      <c r="I146" s="10">
        <v>0</v>
      </c>
      <c r="J146" s="10">
        <f t="shared" si="50"/>
        <v>51923.420094273009</v>
      </c>
      <c r="K146" s="10">
        <v>-14851.312398892651</v>
      </c>
      <c r="L146" s="10">
        <v>0</v>
      </c>
      <c r="M146" s="10">
        <v>0</v>
      </c>
      <c r="N146" s="10">
        <v>40848.056376507957</v>
      </c>
      <c r="O146" s="10">
        <f t="shared" si="51"/>
        <v>25996.743977615304</v>
      </c>
      <c r="P146" s="10">
        <v>0</v>
      </c>
      <c r="Q146" s="10">
        <v>0</v>
      </c>
      <c r="R146" s="10">
        <v>0</v>
      </c>
      <c r="S146" s="10">
        <v>0</v>
      </c>
      <c r="T146" s="10">
        <f t="shared" si="52"/>
        <v>0</v>
      </c>
      <c r="U146" s="10">
        <v>0</v>
      </c>
      <c r="V146" s="10">
        <v>0</v>
      </c>
      <c r="W146" s="10">
        <v>3733.6241928771319</v>
      </c>
      <c r="X146" s="10">
        <v>3304.6146207000002</v>
      </c>
      <c r="Y146" s="10">
        <v>22554.417190704138</v>
      </c>
      <c r="Z146" s="10">
        <f t="shared" si="53"/>
        <v>29592.656004281271</v>
      </c>
      <c r="AA146" s="10">
        <f t="shared" si="54"/>
        <v>29592.656004281271</v>
      </c>
      <c r="AB146" s="10">
        <v>85632.095900193934</v>
      </c>
      <c r="AC146" s="10">
        <f t="shared" si="55"/>
        <v>193144.91597636353</v>
      </c>
    </row>
    <row r="147" spans="1:29" x14ac:dyDescent="0.2">
      <c r="A147" s="9" t="s">
        <v>294</v>
      </c>
      <c r="B147" s="10">
        <v>0</v>
      </c>
      <c r="C147" s="10">
        <v>0</v>
      </c>
      <c r="D147" s="10">
        <v>0</v>
      </c>
      <c r="E147" s="10">
        <v>0</v>
      </c>
      <c r="F147" s="10">
        <v>0</v>
      </c>
      <c r="G147" s="10">
        <v>0</v>
      </c>
      <c r="H147" s="10">
        <v>0</v>
      </c>
      <c r="I147" s="10">
        <v>0</v>
      </c>
      <c r="J147" s="10">
        <f t="shared" si="50"/>
        <v>0</v>
      </c>
      <c r="K147" s="10">
        <v>0</v>
      </c>
      <c r="L147" s="10">
        <v>0</v>
      </c>
      <c r="M147" s="10">
        <v>0</v>
      </c>
      <c r="N147" s="10">
        <v>0</v>
      </c>
      <c r="O147" s="10">
        <f t="shared" si="51"/>
        <v>0</v>
      </c>
      <c r="P147" s="10">
        <v>0</v>
      </c>
      <c r="Q147" s="10">
        <v>0</v>
      </c>
      <c r="R147" s="10">
        <v>0</v>
      </c>
      <c r="S147" s="10">
        <v>0</v>
      </c>
      <c r="T147" s="10">
        <f t="shared" si="52"/>
        <v>0</v>
      </c>
      <c r="U147" s="10">
        <v>0</v>
      </c>
      <c r="V147" s="10">
        <v>0</v>
      </c>
      <c r="W147" s="10">
        <v>0</v>
      </c>
      <c r="X147" s="10">
        <v>0</v>
      </c>
      <c r="Y147" s="10">
        <v>0</v>
      </c>
      <c r="Z147" s="10">
        <f t="shared" si="53"/>
        <v>0</v>
      </c>
      <c r="AA147" s="10">
        <f t="shared" si="54"/>
        <v>0</v>
      </c>
      <c r="AB147" s="10">
        <v>24521.756454447364</v>
      </c>
      <c r="AC147" s="10">
        <f t="shared" si="55"/>
        <v>24521.756454447364</v>
      </c>
    </row>
    <row r="148" spans="1:29" x14ac:dyDescent="0.2">
      <c r="A148" s="9" t="s">
        <v>161</v>
      </c>
      <c r="B148" s="10">
        <v>0</v>
      </c>
      <c r="C148" s="10">
        <v>0</v>
      </c>
      <c r="D148" s="10">
        <v>3586.4925462084429</v>
      </c>
      <c r="E148" s="10">
        <v>0</v>
      </c>
      <c r="F148" s="10">
        <v>0</v>
      </c>
      <c r="G148" s="10">
        <v>0</v>
      </c>
      <c r="H148" s="10">
        <v>35293.776528189905</v>
      </c>
      <c r="I148" s="10">
        <v>0</v>
      </c>
      <c r="J148" s="10">
        <f t="shared" si="50"/>
        <v>38880.269074398348</v>
      </c>
      <c r="K148" s="10">
        <v>0</v>
      </c>
      <c r="L148" s="10">
        <v>663.33662180336455</v>
      </c>
      <c r="M148" s="10">
        <v>0</v>
      </c>
      <c r="N148" s="10">
        <v>33481.552569167543</v>
      </c>
      <c r="O148" s="10">
        <f t="shared" si="51"/>
        <v>34144.889190970905</v>
      </c>
      <c r="P148" s="10">
        <v>0</v>
      </c>
      <c r="Q148" s="10">
        <v>0</v>
      </c>
      <c r="R148" s="10">
        <v>0</v>
      </c>
      <c r="S148" s="10">
        <v>0</v>
      </c>
      <c r="T148" s="10">
        <f t="shared" si="52"/>
        <v>0</v>
      </c>
      <c r="U148" s="10">
        <v>2571.2852907904444</v>
      </c>
      <c r="V148" s="10">
        <v>0</v>
      </c>
      <c r="W148" s="10">
        <v>916.72521087806854</v>
      </c>
      <c r="X148" s="10">
        <v>0</v>
      </c>
      <c r="Y148" s="10">
        <v>506.53828541015253</v>
      </c>
      <c r="Z148" s="10">
        <f t="shared" si="53"/>
        <v>3994.5487870786656</v>
      </c>
      <c r="AA148" s="10">
        <f t="shared" si="54"/>
        <v>3994.5487870786656</v>
      </c>
      <c r="AB148" s="10">
        <v>1658.5068803139468</v>
      </c>
      <c r="AC148" s="10">
        <f t="shared" si="55"/>
        <v>78678.21393276185</v>
      </c>
    </row>
    <row r="149" spans="1:29" ht="10.5" x14ac:dyDescent="0.25">
      <c r="A149" s="16" t="s">
        <v>162</v>
      </c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</row>
    <row r="150" spans="1:29" x14ac:dyDescent="0.2">
      <c r="A150" s="17" t="s">
        <v>163</v>
      </c>
      <c r="B150" s="10">
        <v>0</v>
      </c>
      <c r="C150" s="10">
        <v>0</v>
      </c>
      <c r="D150" s="10">
        <v>1790.1073757576914</v>
      </c>
      <c r="E150" s="10">
        <v>0</v>
      </c>
      <c r="F150" s="10">
        <v>0</v>
      </c>
      <c r="G150" s="10">
        <v>0</v>
      </c>
      <c r="H150" s="10">
        <v>627.23609446331398</v>
      </c>
      <c r="I150" s="10">
        <v>0</v>
      </c>
      <c r="J150" s="10">
        <f>SUM(C150:I150)</f>
        <v>2417.3434702210052</v>
      </c>
      <c r="K150" s="10">
        <v>0</v>
      </c>
      <c r="L150" s="10">
        <v>0</v>
      </c>
      <c r="M150" s="10">
        <v>0</v>
      </c>
      <c r="N150" s="10">
        <v>0</v>
      </c>
      <c r="O150" s="10">
        <f>SUM(K150:N150)</f>
        <v>0</v>
      </c>
      <c r="P150" s="10">
        <v>0</v>
      </c>
      <c r="Q150" s="10">
        <v>0</v>
      </c>
      <c r="R150" s="10">
        <v>0</v>
      </c>
      <c r="S150" s="10">
        <v>0</v>
      </c>
      <c r="T150" s="10">
        <f>SUM(Q150:S150)</f>
        <v>0</v>
      </c>
      <c r="U150" s="10">
        <v>134.0116155</v>
      </c>
      <c r="V150" s="10">
        <v>0</v>
      </c>
      <c r="W150" s="10">
        <v>7526.5806696742156</v>
      </c>
      <c r="X150" s="10">
        <v>0</v>
      </c>
      <c r="Y150" s="10">
        <v>5214.3175141637075</v>
      </c>
      <c r="Z150" s="10">
        <f>SUM(U150:Y150)</f>
        <v>12874.909799337922</v>
      </c>
      <c r="AA150" s="10">
        <f>SUM(P150,T150,Z150)</f>
        <v>12874.909799337922</v>
      </c>
      <c r="AB150" s="10">
        <v>228992.58630021193</v>
      </c>
      <c r="AC150" s="10">
        <f>SUM(B150,J150,O150,AA150:AB150)</f>
        <v>244284.83956977085</v>
      </c>
    </row>
    <row r="151" spans="1:29" x14ac:dyDescent="0.2">
      <c r="A151" s="17" t="s">
        <v>295</v>
      </c>
      <c r="B151" s="10">
        <v>0</v>
      </c>
      <c r="C151" s="10">
        <v>0</v>
      </c>
      <c r="D151" s="10">
        <v>0</v>
      </c>
      <c r="E151" s="10">
        <v>0</v>
      </c>
      <c r="F151" s="10">
        <v>0</v>
      </c>
      <c r="G151" s="10">
        <v>0</v>
      </c>
      <c r="H151" s="10">
        <v>0</v>
      </c>
      <c r="I151" s="10">
        <v>0</v>
      </c>
      <c r="J151" s="10">
        <f>SUM(C151:I151)</f>
        <v>0</v>
      </c>
      <c r="K151" s="10">
        <v>0</v>
      </c>
      <c r="L151" s="10">
        <v>0</v>
      </c>
      <c r="M151" s="10">
        <v>0</v>
      </c>
      <c r="N151" s="10">
        <v>0</v>
      </c>
      <c r="O151" s="10">
        <f>SUM(K151:N151)</f>
        <v>0</v>
      </c>
      <c r="P151" s="10">
        <v>0</v>
      </c>
      <c r="Q151" s="10">
        <v>0</v>
      </c>
      <c r="R151" s="10">
        <v>0</v>
      </c>
      <c r="S151" s="10">
        <v>0</v>
      </c>
      <c r="T151" s="10">
        <f>SUM(Q151:S151)</f>
        <v>0</v>
      </c>
      <c r="U151" s="10">
        <v>169.4205</v>
      </c>
      <c r="V151" s="10">
        <v>0</v>
      </c>
      <c r="W151" s="10">
        <v>0</v>
      </c>
      <c r="X151" s="10">
        <v>0</v>
      </c>
      <c r="Y151" s="10">
        <v>0</v>
      </c>
      <c r="Z151" s="10">
        <f>SUM(U151:Y151)</f>
        <v>169.4205</v>
      </c>
      <c r="AA151" s="10">
        <f>SUM(P151,T151,Z151)</f>
        <v>169.4205</v>
      </c>
      <c r="AB151" s="10">
        <v>5934.308212898939</v>
      </c>
      <c r="AC151" s="10">
        <f>SUM(B151,J151,O151,AA151:AB151)</f>
        <v>6103.7287128989392</v>
      </c>
    </row>
    <row r="152" spans="1:29" x14ac:dyDescent="0.2">
      <c r="A152" s="17" t="s">
        <v>296</v>
      </c>
      <c r="B152" s="10">
        <v>0</v>
      </c>
      <c r="C152" s="10">
        <v>0</v>
      </c>
      <c r="D152" s="10">
        <v>0</v>
      </c>
      <c r="E152" s="10">
        <v>0</v>
      </c>
      <c r="F152" s="10">
        <v>0</v>
      </c>
      <c r="G152" s="10">
        <v>0</v>
      </c>
      <c r="H152" s="10">
        <v>0</v>
      </c>
      <c r="I152" s="10">
        <v>0</v>
      </c>
      <c r="J152" s="10">
        <f>SUM(C152:I152)</f>
        <v>0</v>
      </c>
      <c r="K152" s="10">
        <v>0</v>
      </c>
      <c r="L152" s="10">
        <v>0</v>
      </c>
      <c r="M152" s="10">
        <v>0</v>
      </c>
      <c r="N152" s="10">
        <v>0</v>
      </c>
      <c r="O152" s="10">
        <f>SUM(K152:N152)</f>
        <v>0</v>
      </c>
      <c r="P152" s="10">
        <v>0</v>
      </c>
      <c r="Q152" s="10">
        <v>0</v>
      </c>
      <c r="R152" s="10">
        <v>0</v>
      </c>
      <c r="S152" s="10">
        <v>0</v>
      </c>
      <c r="T152" s="10">
        <f>SUM(Q152:S152)</f>
        <v>0</v>
      </c>
      <c r="U152" s="10">
        <v>0</v>
      </c>
      <c r="V152" s="10">
        <v>0</v>
      </c>
      <c r="W152" s="10">
        <v>1973.9772126953869</v>
      </c>
      <c r="X152" s="10">
        <v>0</v>
      </c>
      <c r="Y152" s="10">
        <v>0</v>
      </c>
      <c r="Z152" s="10">
        <f>SUM(U152:Y152)</f>
        <v>1973.9772126953869</v>
      </c>
      <c r="AA152" s="10">
        <f>SUM(P152,T152,Z152)</f>
        <v>1973.9772126953869</v>
      </c>
      <c r="AB152" s="10">
        <v>739.18095793155999</v>
      </c>
      <c r="AC152" s="10">
        <f>SUM(B152,J152,O152,AA152:AB152)</f>
        <v>2713.1581706269471</v>
      </c>
    </row>
    <row r="153" spans="1:29" ht="10.5" x14ac:dyDescent="0.25">
      <c r="A153" s="21" t="s">
        <v>164</v>
      </c>
      <c r="B153" s="13">
        <f t="shared" ref="B153:AC153" si="56">SUM(B150:B152)</f>
        <v>0</v>
      </c>
      <c r="C153" s="13">
        <f t="shared" si="56"/>
        <v>0</v>
      </c>
      <c r="D153" s="13">
        <f t="shared" si="56"/>
        <v>1790.1073757576914</v>
      </c>
      <c r="E153" s="13">
        <f t="shared" si="56"/>
        <v>0</v>
      </c>
      <c r="F153" s="13">
        <f t="shared" si="56"/>
        <v>0</v>
      </c>
      <c r="G153" s="13">
        <f t="shared" si="56"/>
        <v>0</v>
      </c>
      <c r="H153" s="13">
        <f t="shared" si="56"/>
        <v>627.23609446331398</v>
      </c>
      <c r="I153" s="13">
        <f t="shared" si="56"/>
        <v>0</v>
      </c>
      <c r="J153" s="13">
        <f t="shared" si="56"/>
        <v>2417.3434702210052</v>
      </c>
      <c r="K153" s="13">
        <f t="shared" si="56"/>
        <v>0</v>
      </c>
      <c r="L153" s="13">
        <f t="shared" si="56"/>
        <v>0</v>
      </c>
      <c r="M153" s="13">
        <f t="shared" si="56"/>
        <v>0</v>
      </c>
      <c r="N153" s="13">
        <f t="shared" si="56"/>
        <v>0</v>
      </c>
      <c r="O153" s="13">
        <f t="shared" si="56"/>
        <v>0</v>
      </c>
      <c r="P153" s="13">
        <f t="shared" si="56"/>
        <v>0</v>
      </c>
      <c r="Q153" s="13">
        <f t="shared" si="56"/>
        <v>0</v>
      </c>
      <c r="R153" s="13">
        <f t="shared" si="56"/>
        <v>0</v>
      </c>
      <c r="S153" s="13">
        <f t="shared" si="56"/>
        <v>0</v>
      </c>
      <c r="T153" s="13">
        <f t="shared" si="56"/>
        <v>0</v>
      </c>
      <c r="U153" s="13">
        <f t="shared" si="56"/>
        <v>303.43211550000001</v>
      </c>
      <c r="V153" s="13">
        <f t="shared" si="56"/>
        <v>0</v>
      </c>
      <c r="W153" s="13">
        <f t="shared" si="56"/>
        <v>9500.5578823696032</v>
      </c>
      <c r="X153" s="13">
        <f t="shared" si="56"/>
        <v>0</v>
      </c>
      <c r="Y153" s="13">
        <f t="shared" si="56"/>
        <v>5214.3175141637075</v>
      </c>
      <c r="Z153" s="13">
        <f t="shared" si="56"/>
        <v>15018.307512033309</v>
      </c>
      <c r="AA153" s="13">
        <f t="shared" si="56"/>
        <v>15018.307512033309</v>
      </c>
      <c r="AB153" s="13">
        <f t="shared" si="56"/>
        <v>235666.07547104242</v>
      </c>
      <c r="AC153" s="13">
        <f t="shared" si="56"/>
        <v>253101.72645329672</v>
      </c>
    </row>
    <row r="154" spans="1:29" ht="10.5" x14ac:dyDescent="0.25">
      <c r="A154" s="16" t="s">
        <v>165</v>
      </c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</row>
    <row r="155" spans="1:29" x14ac:dyDescent="0.2">
      <c r="A155" s="17" t="s">
        <v>166</v>
      </c>
      <c r="B155" s="10">
        <v>0</v>
      </c>
      <c r="C155" s="10">
        <v>0</v>
      </c>
      <c r="D155" s="10">
        <v>0</v>
      </c>
      <c r="E155" s="10">
        <v>0</v>
      </c>
      <c r="F155" s="10">
        <v>0</v>
      </c>
      <c r="G155" s="10">
        <v>0</v>
      </c>
      <c r="H155" s="10">
        <v>-4844.4486714684026</v>
      </c>
      <c r="I155" s="10">
        <v>0</v>
      </c>
      <c r="J155" s="10">
        <f>SUM(C155:I155)</f>
        <v>-4844.4486714684026</v>
      </c>
      <c r="K155" s="10">
        <v>0</v>
      </c>
      <c r="L155" s="10">
        <v>7174.5155926855832</v>
      </c>
      <c r="M155" s="10">
        <v>0</v>
      </c>
      <c r="N155" s="10">
        <v>-12411.511901626289</v>
      </c>
      <c r="O155" s="10">
        <f>SUM(K155:N155)</f>
        <v>-5236.9963089407056</v>
      </c>
      <c r="P155" s="10">
        <v>0</v>
      </c>
      <c r="Q155" s="10">
        <v>0</v>
      </c>
      <c r="R155" s="10">
        <v>0</v>
      </c>
      <c r="S155" s="10">
        <v>420.11943683271431</v>
      </c>
      <c r="T155" s="10">
        <f>SUM(Q155:S155)</f>
        <v>420.11943683271431</v>
      </c>
      <c r="U155" s="10">
        <v>-71561.717117167544</v>
      </c>
      <c r="V155" s="10">
        <v>1666.0967358392759</v>
      </c>
      <c r="W155" s="10">
        <v>65306.777551113148</v>
      </c>
      <c r="X155" s="10">
        <v>0</v>
      </c>
      <c r="Y155" s="10">
        <v>304.9034052865012</v>
      </c>
      <c r="Z155" s="10">
        <f>SUM(U155:Y155)</f>
        <v>-4283.9394249286142</v>
      </c>
      <c r="AA155" s="10">
        <f>SUM(P155,T155,Z155)</f>
        <v>-3863.8199880959</v>
      </c>
      <c r="AB155" s="10">
        <v>-154364.10156023243</v>
      </c>
      <c r="AC155" s="10">
        <f>SUM(B155,J155,O155,AA155:AB155)</f>
        <v>-168309.36652873745</v>
      </c>
    </row>
    <row r="156" spans="1:29" x14ac:dyDescent="0.2">
      <c r="A156" s="17" t="s">
        <v>167</v>
      </c>
      <c r="B156" s="10">
        <v>0</v>
      </c>
      <c r="C156" s="10">
        <v>0</v>
      </c>
      <c r="D156" s="10">
        <v>4005.1514568884813</v>
      </c>
      <c r="E156" s="10">
        <v>0</v>
      </c>
      <c r="F156" s="10">
        <v>0</v>
      </c>
      <c r="G156" s="10">
        <v>0</v>
      </c>
      <c r="H156" s="10">
        <v>177185.21335040039</v>
      </c>
      <c r="I156" s="10">
        <v>0</v>
      </c>
      <c r="J156" s="10">
        <f>SUM(C156:I156)</f>
        <v>181190.36480728886</v>
      </c>
      <c r="K156" s="10">
        <v>0</v>
      </c>
      <c r="L156" s="10">
        <v>0</v>
      </c>
      <c r="M156" s="10">
        <v>0</v>
      </c>
      <c r="N156" s="10">
        <v>117011.15296352138</v>
      </c>
      <c r="O156" s="10">
        <f>SUM(K156:N156)</f>
        <v>117011.15296352138</v>
      </c>
      <c r="P156" s="10">
        <v>0</v>
      </c>
      <c r="Q156" s="10">
        <v>0</v>
      </c>
      <c r="R156" s="10">
        <v>0</v>
      </c>
      <c r="S156" s="10">
        <v>0</v>
      </c>
      <c r="T156" s="10">
        <f>SUM(Q156:S156)</f>
        <v>0</v>
      </c>
      <c r="U156" s="10">
        <v>40059.658521926103</v>
      </c>
      <c r="V156" s="10">
        <v>0</v>
      </c>
      <c r="W156" s="10">
        <v>24873.901117951595</v>
      </c>
      <c r="X156" s="10">
        <v>0</v>
      </c>
      <c r="Y156" s="10">
        <v>28240.657640309637</v>
      </c>
      <c r="Z156" s="10">
        <f>SUM(U156:Y156)</f>
        <v>93174.217280187338</v>
      </c>
      <c r="AA156" s="10">
        <f>SUM(P156,T156,Z156)</f>
        <v>93174.217280187338</v>
      </c>
      <c r="AB156" s="10">
        <v>0</v>
      </c>
      <c r="AC156" s="10">
        <f>SUM(B156,J156,O156,AA156:AB156)</f>
        <v>391375.73505099758</v>
      </c>
    </row>
    <row r="157" spans="1:29" ht="10.5" x14ac:dyDescent="0.25">
      <c r="A157" s="21" t="s">
        <v>168</v>
      </c>
      <c r="B157" s="13">
        <f t="shared" ref="B157:AC157" si="57">SUM(B155:B156)</f>
        <v>0</v>
      </c>
      <c r="C157" s="13">
        <f t="shared" si="57"/>
        <v>0</v>
      </c>
      <c r="D157" s="13">
        <f t="shared" si="57"/>
        <v>4005.1514568884813</v>
      </c>
      <c r="E157" s="13">
        <f t="shared" si="57"/>
        <v>0</v>
      </c>
      <c r="F157" s="13">
        <f t="shared" si="57"/>
        <v>0</v>
      </c>
      <c r="G157" s="13">
        <f t="shared" si="57"/>
        <v>0</v>
      </c>
      <c r="H157" s="13">
        <f t="shared" si="57"/>
        <v>172340.76467893197</v>
      </c>
      <c r="I157" s="13">
        <f t="shared" si="57"/>
        <v>0</v>
      </c>
      <c r="J157" s="13">
        <f t="shared" si="57"/>
        <v>176345.91613582044</v>
      </c>
      <c r="K157" s="13">
        <f t="shared" si="57"/>
        <v>0</v>
      </c>
      <c r="L157" s="13">
        <f t="shared" si="57"/>
        <v>7174.5155926855832</v>
      </c>
      <c r="M157" s="13">
        <f t="shared" si="57"/>
        <v>0</v>
      </c>
      <c r="N157" s="13">
        <f t="shared" si="57"/>
        <v>104599.64106189509</v>
      </c>
      <c r="O157" s="13">
        <f t="shared" si="57"/>
        <v>111774.15665458067</v>
      </c>
      <c r="P157" s="13">
        <f t="shared" si="57"/>
        <v>0</v>
      </c>
      <c r="Q157" s="13">
        <f t="shared" si="57"/>
        <v>0</v>
      </c>
      <c r="R157" s="13">
        <f t="shared" si="57"/>
        <v>0</v>
      </c>
      <c r="S157" s="13">
        <f t="shared" si="57"/>
        <v>420.11943683271431</v>
      </c>
      <c r="T157" s="13">
        <f t="shared" si="57"/>
        <v>420.11943683271431</v>
      </c>
      <c r="U157" s="13">
        <f t="shared" si="57"/>
        <v>-31502.05859524144</v>
      </c>
      <c r="V157" s="13">
        <f t="shared" si="57"/>
        <v>1666.0967358392759</v>
      </c>
      <c r="W157" s="13">
        <f t="shared" si="57"/>
        <v>90180.678669064742</v>
      </c>
      <c r="X157" s="13">
        <f t="shared" si="57"/>
        <v>0</v>
      </c>
      <c r="Y157" s="13">
        <f t="shared" si="57"/>
        <v>28545.56104559614</v>
      </c>
      <c r="Z157" s="13">
        <f t="shared" si="57"/>
        <v>88890.277855258726</v>
      </c>
      <c r="AA157" s="13">
        <f t="shared" si="57"/>
        <v>89310.397292091438</v>
      </c>
      <c r="AB157" s="13">
        <f t="shared" si="57"/>
        <v>-154364.10156023243</v>
      </c>
      <c r="AC157" s="13">
        <f t="shared" si="57"/>
        <v>223066.36852226013</v>
      </c>
    </row>
    <row r="158" spans="1:29" ht="10.5" x14ac:dyDescent="0.25">
      <c r="A158" s="12" t="s">
        <v>169</v>
      </c>
      <c r="B158" s="13">
        <f t="shared" ref="B158:AC158" si="58">SUM(B131:B148,B153,B157)</f>
        <v>-740135.37439230946</v>
      </c>
      <c r="C158" s="13">
        <f t="shared" si="58"/>
        <v>0</v>
      </c>
      <c r="D158" s="13">
        <f t="shared" si="58"/>
        <v>27451.992184709718</v>
      </c>
      <c r="E158" s="13">
        <f t="shared" si="58"/>
        <v>-14292.6717099341</v>
      </c>
      <c r="F158" s="13">
        <f t="shared" si="58"/>
        <v>0</v>
      </c>
      <c r="G158" s="13">
        <f t="shared" si="58"/>
        <v>0</v>
      </c>
      <c r="H158" s="13">
        <f t="shared" si="58"/>
        <v>303324.17504526011</v>
      </c>
      <c r="I158" s="13">
        <f t="shared" si="58"/>
        <v>0</v>
      </c>
      <c r="J158" s="13">
        <f t="shared" si="58"/>
        <v>316483.49552003568</v>
      </c>
      <c r="K158" s="13">
        <f t="shared" si="58"/>
        <v>-10630.926236436371</v>
      </c>
      <c r="L158" s="13">
        <f t="shared" si="58"/>
        <v>7837.8522144889475</v>
      </c>
      <c r="M158" s="13">
        <f t="shared" si="58"/>
        <v>0</v>
      </c>
      <c r="N158" s="13">
        <f t="shared" si="58"/>
        <v>844716.27513478824</v>
      </c>
      <c r="O158" s="13">
        <f t="shared" si="58"/>
        <v>841923.20111284079</v>
      </c>
      <c r="P158" s="13">
        <f t="shared" si="58"/>
        <v>0</v>
      </c>
      <c r="Q158" s="13">
        <f t="shared" si="58"/>
        <v>0</v>
      </c>
      <c r="R158" s="13">
        <f t="shared" si="58"/>
        <v>0</v>
      </c>
      <c r="S158" s="13">
        <f t="shared" si="58"/>
        <v>420.11943683271431</v>
      </c>
      <c r="T158" s="13">
        <f t="shared" si="58"/>
        <v>420.11943683271431</v>
      </c>
      <c r="U158" s="13">
        <f t="shared" si="58"/>
        <v>-31688.717175904138</v>
      </c>
      <c r="V158" s="13">
        <f t="shared" si="58"/>
        <v>1666.0967358392759</v>
      </c>
      <c r="W158" s="13">
        <f t="shared" si="58"/>
        <v>180880.10379722214</v>
      </c>
      <c r="X158" s="13">
        <f t="shared" si="58"/>
        <v>3897.6767282999999</v>
      </c>
      <c r="Y158" s="13">
        <f t="shared" si="58"/>
        <v>106758.07675850499</v>
      </c>
      <c r="Z158" s="13">
        <f t="shared" si="58"/>
        <v>261513.23684396228</v>
      </c>
      <c r="AA158" s="13">
        <f t="shared" si="58"/>
        <v>261933.35628079501</v>
      </c>
      <c r="AB158" s="13">
        <f t="shared" si="58"/>
        <v>586488.72910961183</v>
      </c>
      <c r="AC158" s="13">
        <f t="shared" si="58"/>
        <v>1266693.4076309737</v>
      </c>
    </row>
    <row r="159" spans="1:29" ht="10.5" x14ac:dyDescent="0.25">
      <c r="A159" s="15" t="s">
        <v>171</v>
      </c>
      <c r="B159" s="13">
        <f t="shared" ref="B159:AC159" si="59">SUM(B129,B158)</f>
        <v>493057.78308367333</v>
      </c>
      <c r="C159" s="13">
        <f t="shared" si="59"/>
        <v>14292.6717099341</v>
      </c>
      <c r="D159" s="13">
        <f t="shared" si="59"/>
        <v>100777.66023871196</v>
      </c>
      <c r="E159" s="13">
        <f t="shared" si="59"/>
        <v>147053.70449413947</v>
      </c>
      <c r="F159" s="13">
        <f t="shared" si="59"/>
        <v>6184.4293065656284</v>
      </c>
      <c r="G159" s="13">
        <f t="shared" si="59"/>
        <v>0</v>
      </c>
      <c r="H159" s="13">
        <f t="shared" si="59"/>
        <v>471582.81349579745</v>
      </c>
      <c r="I159" s="13">
        <f t="shared" si="59"/>
        <v>1474.2618294259762</v>
      </c>
      <c r="J159" s="13">
        <f t="shared" si="59"/>
        <v>741365.54107457458</v>
      </c>
      <c r="K159" s="13">
        <f t="shared" si="59"/>
        <v>-6578.3533697891316</v>
      </c>
      <c r="L159" s="13">
        <f t="shared" si="59"/>
        <v>24310.0134417341</v>
      </c>
      <c r="M159" s="13">
        <f t="shared" si="59"/>
        <v>4024.9193095089595</v>
      </c>
      <c r="N159" s="13">
        <f t="shared" si="59"/>
        <v>1294732.9693508332</v>
      </c>
      <c r="O159" s="13">
        <f t="shared" si="59"/>
        <v>1316489.548732287</v>
      </c>
      <c r="P159" s="13">
        <f t="shared" si="59"/>
        <v>0</v>
      </c>
      <c r="Q159" s="13">
        <f t="shared" si="59"/>
        <v>900.09967950268197</v>
      </c>
      <c r="R159" s="13">
        <f t="shared" si="59"/>
        <v>28170.463341672137</v>
      </c>
      <c r="S159" s="13">
        <f t="shared" si="59"/>
        <v>8425.4999025801553</v>
      </c>
      <c r="T159" s="13">
        <f t="shared" si="59"/>
        <v>37496.062923754973</v>
      </c>
      <c r="U159" s="13">
        <f t="shared" si="59"/>
        <v>93044.099857406472</v>
      </c>
      <c r="V159" s="13">
        <f t="shared" si="59"/>
        <v>1666.0967358392759</v>
      </c>
      <c r="W159" s="13">
        <f t="shared" si="59"/>
        <v>726046.30362376606</v>
      </c>
      <c r="X159" s="13">
        <f t="shared" si="59"/>
        <v>13873.936158304037</v>
      </c>
      <c r="Y159" s="13">
        <f t="shared" si="59"/>
        <v>119423.69714612793</v>
      </c>
      <c r="Z159" s="13">
        <f t="shared" si="59"/>
        <v>954054.13352144393</v>
      </c>
      <c r="AA159" s="13">
        <f t="shared" si="59"/>
        <v>991550.19644519873</v>
      </c>
      <c r="AB159" s="13">
        <f t="shared" si="59"/>
        <v>867673.37882985617</v>
      </c>
      <c r="AC159" s="13">
        <f t="shared" si="59"/>
        <v>4410136.4481655899</v>
      </c>
    </row>
    <row r="160" spans="1:29" ht="10.5" x14ac:dyDescent="0.2">
      <c r="A160" s="25" t="s">
        <v>46</v>
      </c>
      <c r="B160" s="23">
        <f t="shared" ref="B160:AC160" si="60">B36-B159</f>
        <v>-471295.83814004471</v>
      </c>
      <c r="C160" s="23">
        <f t="shared" si="60"/>
        <v>-14222.922447508945</v>
      </c>
      <c r="D160" s="23">
        <f t="shared" si="60"/>
        <v>-106264.87920521715</v>
      </c>
      <c r="E160" s="23">
        <f t="shared" si="60"/>
        <v>-115745.14869318459</v>
      </c>
      <c r="F160" s="23">
        <f t="shared" si="60"/>
        <v>-6184.4293065656284</v>
      </c>
      <c r="G160" s="23">
        <f t="shared" si="60"/>
        <v>1102.345849832886</v>
      </c>
      <c r="H160" s="23">
        <f t="shared" si="60"/>
        <v>2118112.4431308708</v>
      </c>
      <c r="I160" s="23">
        <f t="shared" si="60"/>
        <v>1076.7149866235311</v>
      </c>
      <c r="J160" s="23">
        <f t="shared" si="60"/>
        <v>1877874.1243148511</v>
      </c>
      <c r="K160" s="23">
        <f t="shared" si="60"/>
        <v>6467.1107145177921</v>
      </c>
      <c r="L160" s="23">
        <f t="shared" si="60"/>
        <v>-2656.9413761117939</v>
      </c>
      <c r="M160" s="23">
        <f t="shared" si="60"/>
        <v>-4024.9193095089595</v>
      </c>
      <c r="N160" s="23">
        <f t="shared" si="60"/>
        <v>-1062956.3585479236</v>
      </c>
      <c r="O160" s="23">
        <f t="shared" si="60"/>
        <v>-1063171.1085190265</v>
      </c>
      <c r="P160" s="23">
        <f t="shared" si="60"/>
        <v>-13826.359035649981</v>
      </c>
      <c r="Q160" s="23">
        <f t="shared" si="60"/>
        <v>-900.09967950268197</v>
      </c>
      <c r="R160" s="23">
        <f t="shared" si="60"/>
        <v>-28170.463341672137</v>
      </c>
      <c r="S160" s="23">
        <f t="shared" si="60"/>
        <v>-6683.8153461100283</v>
      </c>
      <c r="T160" s="23">
        <f t="shared" si="60"/>
        <v>-35754.378367284844</v>
      </c>
      <c r="U160" s="23">
        <f t="shared" si="60"/>
        <v>340903.44233002677</v>
      </c>
      <c r="V160" s="23">
        <f t="shared" si="60"/>
        <v>8199.4879588515523</v>
      </c>
      <c r="W160" s="23">
        <f t="shared" si="60"/>
        <v>-630757.96306845231</v>
      </c>
      <c r="X160" s="23">
        <f t="shared" si="60"/>
        <v>-13873.936158304037</v>
      </c>
      <c r="Y160" s="23">
        <f t="shared" si="60"/>
        <v>-124964.79342576973</v>
      </c>
      <c r="Z160" s="23">
        <f t="shared" si="60"/>
        <v>-420493.76236364781</v>
      </c>
      <c r="AA160" s="23">
        <f t="shared" si="60"/>
        <v>-470074.49976658251</v>
      </c>
      <c r="AB160" s="23">
        <f t="shared" si="60"/>
        <v>-948744.7732195654</v>
      </c>
      <c r="AC160" s="23">
        <f t="shared" si="60"/>
        <v>-1075412.0953303687</v>
      </c>
    </row>
    <row r="161" spans="1:29" ht="10.5" x14ac:dyDescent="0.2">
      <c r="A161" s="4" t="s">
        <v>172</v>
      </c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</row>
    <row r="162" spans="1:29" ht="10.5" x14ac:dyDescent="0.25">
      <c r="A162" s="7" t="s">
        <v>173</v>
      </c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</row>
    <row r="163" spans="1:29" ht="10.5" x14ac:dyDescent="0.25">
      <c r="A163" s="8" t="s">
        <v>174</v>
      </c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</row>
    <row r="164" spans="1:29" x14ac:dyDescent="0.2">
      <c r="A164" s="9" t="s">
        <v>297</v>
      </c>
      <c r="B164" s="10">
        <v>0</v>
      </c>
      <c r="C164" s="10">
        <v>0</v>
      </c>
      <c r="D164" s="10">
        <v>0</v>
      </c>
      <c r="E164" s="10">
        <v>0</v>
      </c>
      <c r="F164" s="10">
        <v>0</v>
      </c>
      <c r="G164" s="10">
        <v>0</v>
      </c>
      <c r="H164" s="10">
        <v>8.1369035582039995E-3</v>
      </c>
      <c r="I164" s="10">
        <v>0</v>
      </c>
      <c r="J164" s="10">
        <f>SUM(C164:I164)</f>
        <v>8.1369035582039995E-3</v>
      </c>
      <c r="K164" s="10">
        <v>0</v>
      </c>
      <c r="L164" s="10">
        <v>0</v>
      </c>
      <c r="M164" s="10">
        <v>0</v>
      </c>
      <c r="N164" s="10">
        <v>0</v>
      </c>
      <c r="O164" s="10">
        <f>SUM(K164:N164)</f>
        <v>0</v>
      </c>
      <c r="P164" s="10">
        <v>0</v>
      </c>
      <c r="Q164" s="10">
        <v>0</v>
      </c>
      <c r="R164" s="10">
        <v>0</v>
      </c>
      <c r="S164" s="10">
        <v>0</v>
      </c>
      <c r="T164" s="10">
        <f>SUM(Q164:S164)</f>
        <v>0</v>
      </c>
      <c r="U164" s="10">
        <v>0</v>
      </c>
      <c r="V164" s="10">
        <v>0</v>
      </c>
      <c r="W164" s="10">
        <v>0</v>
      </c>
      <c r="X164" s="10">
        <v>0</v>
      </c>
      <c r="Y164" s="10">
        <v>0</v>
      </c>
      <c r="Z164" s="10">
        <f>SUM(U164:Y164)</f>
        <v>0</v>
      </c>
      <c r="AA164" s="10">
        <f>SUM(P164,T164,Z164)</f>
        <v>0</v>
      </c>
      <c r="AB164" s="10">
        <v>0</v>
      </c>
      <c r="AC164" s="10">
        <f>SUM(B164,J164,O164,AA164:AB164)</f>
        <v>8.1369035582039995E-3</v>
      </c>
    </row>
    <row r="165" spans="1:29" x14ac:dyDescent="0.2">
      <c r="A165" s="9" t="s">
        <v>175</v>
      </c>
      <c r="B165" s="10">
        <v>0</v>
      </c>
      <c r="C165" s="10">
        <v>0</v>
      </c>
      <c r="D165" s="10">
        <v>0</v>
      </c>
      <c r="E165" s="10">
        <v>0</v>
      </c>
      <c r="F165" s="10">
        <v>0</v>
      </c>
      <c r="G165" s="10">
        <v>0</v>
      </c>
      <c r="H165" s="10">
        <v>0.149968209284607</v>
      </c>
      <c r="I165" s="10">
        <v>0</v>
      </c>
      <c r="J165" s="10">
        <f>SUM(C165:I165)</f>
        <v>0.149968209284607</v>
      </c>
      <c r="K165" s="10">
        <v>0</v>
      </c>
      <c r="L165" s="10">
        <v>0</v>
      </c>
      <c r="M165" s="10">
        <v>0</v>
      </c>
      <c r="N165" s="10">
        <v>34.049999999999997</v>
      </c>
      <c r="O165" s="10">
        <f>SUM(K165:N165)</f>
        <v>34.049999999999997</v>
      </c>
      <c r="P165" s="10">
        <v>0</v>
      </c>
      <c r="Q165" s="10">
        <v>0</v>
      </c>
      <c r="R165" s="10">
        <v>0</v>
      </c>
      <c r="S165" s="10">
        <v>0</v>
      </c>
      <c r="T165" s="10">
        <f>SUM(Q165:S165)</f>
        <v>0</v>
      </c>
      <c r="U165" s="10">
        <v>0</v>
      </c>
      <c r="V165" s="10">
        <v>0</v>
      </c>
      <c r="W165" s="10">
        <v>0</v>
      </c>
      <c r="X165" s="10">
        <v>0</v>
      </c>
      <c r="Y165" s="10">
        <v>0</v>
      </c>
      <c r="Z165" s="10">
        <f>SUM(U165:Y165)</f>
        <v>0</v>
      </c>
      <c r="AA165" s="10">
        <f>SUM(P165,T165,Z165)</f>
        <v>0</v>
      </c>
      <c r="AB165" s="10">
        <v>0</v>
      </c>
      <c r="AC165" s="10">
        <f>SUM(B165,J165,O165,AA165:AB165)</f>
        <v>34.199968209284606</v>
      </c>
    </row>
    <row r="166" spans="1:29" x14ac:dyDescent="0.2">
      <c r="A166" s="9" t="s">
        <v>176</v>
      </c>
      <c r="B166" s="10">
        <v>0</v>
      </c>
      <c r="C166" s="10">
        <v>0</v>
      </c>
      <c r="D166" s="10">
        <v>0</v>
      </c>
      <c r="E166" s="10">
        <v>0</v>
      </c>
      <c r="F166" s="10">
        <v>0</v>
      </c>
      <c r="G166" s="10">
        <v>0</v>
      </c>
      <c r="H166" s="10">
        <v>-166.48400114211884</v>
      </c>
      <c r="I166" s="10">
        <v>0</v>
      </c>
      <c r="J166" s="10">
        <f>SUM(C166:I166)</f>
        <v>-166.48400114211884</v>
      </c>
      <c r="K166" s="10">
        <v>0</v>
      </c>
      <c r="L166" s="10">
        <v>0</v>
      </c>
      <c r="M166" s="10">
        <v>0</v>
      </c>
      <c r="N166" s="10">
        <v>0</v>
      </c>
      <c r="O166" s="10">
        <f>SUM(K166:N166)</f>
        <v>0</v>
      </c>
      <c r="P166" s="10">
        <v>0</v>
      </c>
      <c r="Q166" s="10">
        <v>0</v>
      </c>
      <c r="R166" s="10">
        <v>0</v>
      </c>
      <c r="S166" s="10">
        <v>0</v>
      </c>
      <c r="T166" s="10">
        <f>SUM(Q166:S166)</f>
        <v>0</v>
      </c>
      <c r="U166" s="10">
        <v>0</v>
      </c>
      <c r="V166" s="10">
        <v>0</v>
      </c>
      <c r="W166" s="10">
        <v>0</v>
      </c>
      <c r="X166" s="10">
        <v>0</v>
      </c>
      <c r="Y166" s="10">
        <v>0</v>
      </c>
      <c r="Z166" s="10">
        <f>SUM(U166:Y166)</f>
        <v>0</v>
      </c>
      <c r="AA166" s="10">
        <f>SUM(P166,T166,Z166)</f>
        <v>0</v>
      </c>
      <c r="AB166" s="10">
        <v>0</v>
      </c>
      <c r="AC166" s="10">
        <f>SUM(B166,J166,O166,AA166:AB166)</f>
        <v>-166.48400114211884</v>
      </c>
    </row>
    <row r="167" spans="1:29" ht="10.5" x14ac:dyDescent="0.25">
      <c r="A167" s="12" t="s">
        <v>177</v>
      </c>
      <c r="B167" s="13">
        <f t="shared" ref="B167:AC167" si="61">SUM(B164:B166)</f>
        <v>0</v>
      </c>
      <c r="C167" s="13">
        <f t="shared" si="61"/>
        <v>0</v>
      </c>
      <c r="D167" s="13">
        <f t="shared" si="61"/>
        <v>0</v>
      </c>
      <c r="E167" s="13">
        <f t="shared" si="61"/>
        <v>0</v>
      </c>
      <c r="F167" s="13">
        <f t="shared" si="61"/>
        <v>0</v>
      </c>
      <c r="G167" s="13">
        <f t="shared" si="61"/>
        <v>0</v>
      </c>
      <c r="H167" s="13">
        <f t="shared" si="61"/>
        <v>-166.32589602927604</v>
      </c>
      <c r="I167" s="13">
        <f t="shared" si="61"/>
        <v>0</v>
      </c>
      <c r="J167" s="13">
        <f t="shared" si="61"/>
        <v>-166.32589602927604</v>
      </c>
      <c r="K167" s="13">
        <f t="shared" si="61"/>
        <v>0</v>
      </c>
      <c r="L167" s="13">
        <f t="shared" si="61"/>
        <v>0</v>
      </c>
      <c r="M167" s="13">
        <f t="shared" si="61"/>
        <v>0</v>
      </c>
      <c r="N167" s="13">
        <f t="shared" si="61"/>
        <v>34.049999999999997</v>
      </c>
      <c r="O167" s="13">
        <f t="shared" si="61"/>
        <v>34.049999999999997</v>
      </c>
      <c r="P167" s="13">
        <f t="shared" si="61"/>
        <v>0</v>
      </c>
      <c r="Q167" s="13">
        <f t="shared" si="61"/>
        <v>0</v>
      </c>
      <c r="R167" s="13">
        <f t="shared" si="61"/>
        <v>0</v>
      </c>
      <c r="S167" s="13">
        <f t="shared" si="61"/>
        <v>0</v>
      </c>
      <c r="T167" s="13">
        <f t="shared" si="61"/>
        <v>0</v>
      </c>
      <c r="U167" s="13">
        <f t="shared" si="61"/>
        <v>0</v>
      </c>
      <c r="V167" s="13">
        <f t="shared" si="61"/>
        <v>0</v>
      </c>
      <c r="W167" s="13">
        <f t="shared" si="61"/>
        <v>0</v>
      </c>
      <c r="X167" s="13">
        <f t="shared" si="61"/>
        <v>0</v>
      </c>
      <c r="Y167" s="13">
        <f t="shared" si="61"/>
        <v>0</v>
      </c>
      <c r="Z167" s="13">
        <f t="shared" si="61"/>
        <v>0</v>
      </c>
      <c r="AA167" s="13">
        <f t="shared" si="61"/>
        <v>0</v>
      </c>
      <c r="AB167" s="13">
        <f t="shared" si="61"/>
        <v>0</v>
      </c>
      <c r="AC167" s="13">
        <f t="shared" si="61"/>
        <v>-132.27589602927603</v>
      </c>
    </row>
    <row r="168" spans="1:29" ht="10.5" x14ac:dyDescent="0.25">
      <c r="A168" s="15" t="s">
        <v>178</v>
      </c>
      <c r="B168" s="13">
        <f t="shared" ref="B168:AC168" si="62">SUM(B167)</f>
        <v>0</v>
      </c>
      <c r="C168" s="13">
        <f t="shared" si="62"/>
        <v>0</v>
      </c>
      <c r="D168" s="13">
        <f t="shared" si="62"/>
        <v>0</v>
      </c>
      <c r="E168" s="13">
        <f t="shared" si="62"/>
        <v>0</v>
      </c>
      <c r="F168" s="13">
        <f t="shared" si="62"/>
        <v>0</v>
      </c>
      <c r="G168" s="13">
        <f t="shared" si="62"/>
        <v>0</v>
      </c>
      <c r="H168" s="13">
        <f t="shared" si="62"/>
        <v>-166.32589602927604</v>
      </c>
      <c r="I168" s="13">
        <f t="shared" si="62"/>
        <v>0</v>
      </c>
      <c r="J168" s="13">
        <f t="shared" si="62"/>
        <v>-166.32589602927604</v>
      </c>
      <c r="K168" s="13">
        <f t="shared" si="62"/>
        <v>0</v>
      </c>
      <c r="L168" s="13">
        <f t="shared" si="62"/>
        <v>0</v>
      </c>
      <c r="M168" s="13">
        <f t="shared" si="62"/>
        <v>0</v>
      </c>
      <c r="N168" s="13">
        <f t="shared" si="62"/>
        <v>34.049999999999997</v>
      </c>
      <c r="O168" s="13">
        <f t="shared" si="62"/>
        <v>34.049999999999997</v>
      </c>
      <c r="P168" s="13">
        <f t="shared" si="62"/>
        <v>0</v>
      </c>
      <c r="Q168" s="13">
        <f t="shared" si="62"/>
        <v>0</v>
      </c>
      <c r="R168" s="13">
        <f t="shared" si="62"/>
        <v>0</v>
      </c>
      <c r="S168" s="13">
        <f t="shared" si="62"/>
        <v>0</v>
      </c>
      <c r="T168" s="13">
        <f t="shared" si="62"/>
        <v>0</v>
      </c>
      <c r="U168" s="13">
        <f t="shared" si="62"/>
        <v>0</v>
      </c>
      <c r="V168" s="13">
        <f t="shared" si="62"/>
        <v>0</v>
      </c>
      <c r="W168" s="13">
        <f t="shared" si="62"/>
        <v>0</v>
      </c>
      <c r="X168" s="13">
        <f t="shared" si="62"/>
        <v>0</v>
      </c>
      <c r="Y168" s="13">
        <f t="shared" si="62"/>
        <v>0</v>
      </c>
      <c r="Z168" s="13">
        <f t="shared" si="62"/>
        <v>0</v>
      </c>
      <c r="AA168" s="13">
        <f t="shared" si="62"/>
        <v>0</v>
      </c>
      <c r="AB168" s="13">
        <f t="shared" si="62"/>
        <v>0</v>
      </c>
      <c r="AC168" s="13">
        <f t="shared" si="62"/>
        <v>-132.27589602927603</v>
      </c>
    </row>
    <row r="169" spans="1:29" ht="10.5" x14ac:dyDescent="0.25">
      <c r="A169" s="7" t="s">
        <v>179</v>
      </c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</row>
    <row r="170" spans="1:29" x14ac:dyDescent="0.2">
      <c r="A170" s="26" t="s">
        <v>180</v>
      </c>
      <c r="B170" s="10">
        <v>0</v>
      </c>
      <c r="C170" s="10">
        <v>0</v>
      </c>
      <c r="D170" s="10">
        <v>0</v>
      </c>
      <c r="E170" s="10">
        <v>0</v>
      </c>
      <c r="F170" s="10">
        <v>0</v>
      </c>
      <c r="G170" s="10">
        <v>0</v>
      </c>
      <c r="H170" s="10">
        <v>-1711.517523259236</v>
      </c>
      <c r="I170" s="10">
        <v>0</v>
      </c>
      <c r="J170" s="10">
        <f>SUM(C170:I170)</f>
        <v>-1711.517523259236</v>
      </c>
      <c r="K170" s="10">
        <v>0</v>
      </c>
      <c r="L170" s="10">
        <v>0</v>
      </c>
      <c r="M170" s="10">
        <v>0</v>
      </c>
      <c r="N170" s="10">
        <v>0</v>
      </c>
      <c r="O170" s="10">
        <f>SUM(K170:N170)</f>
        <v>0</v>
      </c>
      <c r="P170" s="10">
        <v>0</v>
      </c>
      <c r="Q170" s="10">
        <v>0</v>
      </c>
      <c r="R170" s="10">
        <v>0</v>
      </c>
      <c r="S170" s="10">
        <v>0</v>
      </c>
      <c r="T170" s="10">
        <f>SUM(Q170:S170)</f>
        <v>0</v>
      </c>
      <c r="U170" s="10">
        <v>0</v>
      </c>
      <c r="V170" s="10">
        <v>0</v>
      </c>
      <c r="W170" s="10">
        <v>0</v>
      </c>
      <c r="X170" s="10">
        <v>0</v>
      </c>
      <c r="Y170" s="10">
        <v>0</v>
      </c>
      <c r="Z170" s="10">
        <f>SUM(U170:Y170)</f>
        <v>0</v>
      </c>
      <c r="AA170" s="10">
        <f>SUM(P170,T170,Z170)</f>
        <v>0</v>
      </c>
      <c r="AB170" s="10">
        <v>0</v>
      </c>
      <c r="AC170" s="10">
        <f>SUM(B170,J170,O170,AA170:AB170)</f>
        <v>-1711.517523259236</v>
      </c>
    </row>
    <row r="171" spans="1:29" ht="10.5" x14ac:dyDescent="0.25">
      <c r="A171" s="8" t="s">
        <v>181</v>
      </c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</row>
    <row r="172" spans="1:29" x14ac:dyDescent="0.2">
      <c r="A172" s="9" t="s">
        <v>182</v>
      </c>
      <c r="B172" s="10">
        <v>0</v>
      </c>
      <c r="C172" s="10">
        <v>0</v>
      </c>
      <c r="D172" s="10">
        <v>0</v>
      </c>
      <c r="E172" s="10">
        <v>0</v>
      </c>
      <c r="F172" s="10">
        <v>0</v>
      </c>
      <c r="G172" s="10">
        <v>0</v>
      </c>
      <c r="H172" s="10">
        <v>0</v>
      </c>
      <c r="I172" s="10">
        <v>0</v>
      </c>
      <c r="J172" s="10">
        <f>SUM(C172:I172)</f>
        <v>0</v>
      </c>
      <c r="K172" s="10">
        <v>0</v>
      </c>
      <c r="L172" s="10">
        <v>0</v>
      </c>
      <c r="M172" s="10">
        <v>0</v>
      </c>
      <c r="N172" s="10">
        <v>0</v>
      </c>
      <c r="O172" s="10">
        <f>SUM(K172:N172)</f>
        <v>0</v>
      </c>
      <c r="P172" s="10">
        <v>0</v>
      </c>
      <c r="Q172" s="10">
        <v>0</v>
      </c>
      <c r="R172" s="10">
        <v>0</v>
      </c>
      <c r="S172" s="10">
        <v>0</v>
      </c>
      <c r="T172" s="10">
        <f>SUM(Q172:S172)</f>
        <v>0</v>
      </c>
      <c r="U172" s="10">
        <v>0</v>
      </c>
      <c r="V172" s="10">
        <v>0</v>
      </c>
      <c r="W172" s="10">
        <v>0</v>
      </c>
      <c r="X172" s="10">
        <v>0</v>
      </c>
      <c r="Y172" s="10">
        <v>0</v>
      </c>
      <c r="Z172" s="10">
        <f>SUM(U172:Y172)</f>
        <v>0</v>
      </c>
      <c r="AA172" s="10">
        <f>SUM(P172,T172,Z172)</f>
        <v>0</v>
      </c>
      <c r="AB172" s="10">
        <v>5207.7309520479448</v>
      </c>
      <c r="AC172" s="10">
        <f>SUM(B172,J172,O172,AA172:AB172)</f>
        <v>5207.7309520479448</v>
      </c>
    </row>
    <row r="173" spans="1:29" ht="10.5" x14ac:dyDescent="0.25">
      <c r="A173" s="12" t="s">
        <v>183</v>
      </c>
      <c r="B173" s="13">
        <f t="shared" ref="B173:AC173" si="63">SUM(B172)</f>
        <v>0</v>
      </c>
      <c r="C173" s="13">
        <f t="shared" si="63"/>
        <v>0</v>
      </c>
      <c r="D173" s="13">
        <f t="shared" si="63"/>
        <v>0</v>
      </c>
      <c r="E173" s="13">
        <f t="shared" si="63"/>
        <v>0</v>
      </c>
      <c r="F173" s="13">
        <f t="shared" si="63"/>
        <v>0</v>
      </c>
      <c r="G173" s="13">
        <f t="shared" si="63"/>
        <v>0</v>
      </c>
      <c r="H173" s="13">
        <f t="shared" si="63"/>
        <v>0</v>
      </c>
      <c r="I173" s="13">
        <f t="shared" si="63"/>
        <v>0</v>
      </c>
      <c r="J173" s="13">
        <f t="shared" si="63"/>
        <v>0</v>
      </c>
      <c r="K173" s="13">
        <f t="shared" si="63"/>
        <v>0</v>
      </c>
      <c r="L173" s="13">
        <f t="shared" si="63"/>
        <v>0</v>
      </c>
      <c r="M173" s="13">
        <f t="shared" si="63"/>
        <v>0</v>
      </c>
      <c r="N173" s="13">
        <f t="shared" si="63"/>
        <v>0</v>
      </c>
      <c r="O173" s="13">
        <f t="shared" si="63"/>
        <v>0</v>
      </c>
      <c r="P173" s="13">
        <f t="shared" si="63"/>
        <v>0</v>
      </c>
      <c r="Q173" s="13">
        <f t="shared" si="63"/>
        <v>0</v>
      </c>
      <c r="R173" s="13">
        <f t="shared" si="63"/>
        <v>0</v>
      </c>
      <c r="S173" s="13">
        <f t="shared" si="63"/>
        <v>0</v>
      </c>
      <c r="T173" s="13">
        <f t="shared" si="63"/>
        <v>0</v>
      </c>
      <c r="U173" s="13">
        <f t="shared" si="63"/>
        <v>0</v>
      </c>
      <c r="V173" s="13">
        <f t="shared" si="63"/>
        <v>0</v>
      </c>
      <c r="W173" s="13">
        <f t="shared" si="63"/>
        <v>0</v>
      </c>
      <c r="X173" s="13">
        <f t="shared" si="63"/>
        <v>0</v>
      </c>
      <c r="Y173" s="13">
        <f t="shared" si="63"/>
        <v>0</v>
      </c>
      <c r="Z173" s="13">
        <f t="shared" si="63"/>
        <v>0</v>
      </c>
      <c r="AA173" s="13">
        <f t="shared" si="63"/>
        <v>0</v>
      </c>
      <c r="AB173" s="13">
        <f t="shared" si="63"/>
        <v>5207.7309520479448</v>
      </c>
      <c r="AC173" s="13">
        <f t="shared" si="63"/>
        <v>5207.7309520479448</v>
      </c>
    </row>
    <row r="174" spans="1:29" x14ac:dyDescent="0.2">
      <c r="A174" s="26" t="s">
        <v>184</v>
      </c>
      <c r="B174" s="10">
        <v>0</v>
      </c>
      <c r="C174" s="10">
        <v>0</v>
      </c>
      <c r="D174" s="10">
        <v>2.6868345713678458E-2</v>
      </c>
      <c r="E174" s="10">
        <v>1.1291920176940881E-2</v>
      </c>
      <c r="F174" s="10">
        <v>2.0437269159370001E-4</v>
      </c>
      <c r="G174" s="10">
        <v>0</v>
      </c>
      <c r="H174" s="10">
        <v>-3.1383962575506101E-3</v>
      </c>
      <c r="I174" s="10">
        <v>0</v>
      </c>
      <c r="J174" s="10">
        <f>SUM(C174:I174)</f>
        <v>3.5226242324662434E-2</v>
      </c>
      <c r="K174" s="10">
        <v>0</v>
      </c>
      <c r="L174" s="10">
        <v>2.1136140128835221E-2</v>
      </c>
      <c r="M174" s="10">
        <v>1.077229325212088E-2</v>
      </c>
      <c r="N174" s="10">
        <v>-3.00077645149243E-2</v>
      </c>
      <c r="O174" s="10">
        <f>SUM(K174:N174)</f>
        <v>1.9006688660317995E-3</v>
      </c>
      <c r="P174" s="10">
        <v>0</v>
      </c>
      <c r="Q174" s="10">
        <v>-2.2583840353881762E-2</v>
      </c>
      <c r="R174" s="10">
        <v>0</v>
      </c>
      <c r="S174" s="10">
        <v>1.1281231562203771E-2</v>
      </c>
      <c r="T174" s="10">
        <f>SUM(Q174:S174)</f>
        <v>-1.1302608791677991E-2</v>
      </c>
      <c r="U174" s="10">
        <v>0</v>
      </c>
      <c r="V174" s="10">
        <v>0</v>
      </c>
      <c r="W174" s="10">
        <v>0.11653992456997506</v>
      </c>
      <c r="X174" s="10">
        <v>0</v>
      </c>
      <c r="Y174" s="10">
        <v>1.19039046774714E-3</v>
      </c>
      <c r="Z174" s="10">
        <f>SUM(U174:Y174)</f>
        <v>0.1177303150377222</v>
      </c>
      <c r="AA174" s="10">
        <f>SUM(P174,T174,Z174)</f>
        <v>0.10642770624604421</v>
      </c>
      <c r="AB174" s="10">
        <v>-2.5703864304512769E-2</v>
      </c>
      <c r="AC174" s="10">
        <f>SUM(B174,J174,O174,AA174:AB174)</f>
        <v>0.11785075313222568</v>
      </c>
    </row>
    <row r="175" spans="1:29" x14ac:dyDescent="0.2">
      <c r="A175" s="26" t="s">
        <v>185</v>
      </c>
      <c r="B175" s="10">
        <v>0</v>
      </c>
      <c r="C175" s="10">
        <v>-283.98050052988617</v>
      </c>
      <c r="D175" s="10">
        <v>964.25231568440722</v>
      </c>
      <c r="E175" s="10">
        <v>381.06536318666787</v>
      </c>
      <c r="F175" s="10">
        <v>0</v>
      </c>
      <c r="G175" s="10">
        <v>0</v>
      </c>
      <c r="H175" s="10">
        <v>0</v>
      </c>
      <c r="I175" s="10">
        <v>0</v>
      </c>
      <c r="J175" s="10">
        <f>SUM(C175:I175)</f>
        <v>1061.337178341189</v>
      </c>
      <c r="K175" s="10">
        <v>0</v>
      </c>
      <c r="L175" s="10">
        <v>161.29486937367719</v>
      </c>
      <c r="M175" s="10">
        <v>-4087.8149814068129</v>
      </c>
      <c r="N175" s="10">
        <v>-30843.304458397921</v>
      </c>
      <c r="O175" s="10">
        <f>SUM(K175:N175)</f>
        <v>-34769.824570431054</v>
      </c>
      <c r="P175" s="10">
        <v>0</v>
      </c>
      <c r="Q175" s="10">
        <v>399.35729691203909</v>
      </c>
      <c r="R175" s="10">
        <v>0</v>
      </c>
      <c r="S175" s="10">
        <v>0</v>
      </c>
      <c r="T175" s="10">
        <f>SUM(Q175:S175)</f>
        <v>399.35729691203909</v>
      </c>
      <c r="U175" s="10">
        <v>76.476990637105104</v>
      </c>
      <c r="V175" s="10">
        <v>0</v>
      </c>
      <c r="W175" s="10">
        <v>66.661319399999996</v>
      </c>
      <c r="X175" s="10">
        <v>0</v>
      </c>
      <c r="Y175" s="10">
        <v>652.32300671970381</v>
      </c>
      <c r="Z175" s="10">
        <f>SUM(U175:Y175)</f>
        <v>795.46131675680886</v>
      </c>
      <c r="AA175" s="10">
        <f>SUM(P175,T175,Z175)</f>
        <v>1194.818613668848</v>
      </c>
      <c r="AB175" s="10">
        <v>23831.513404186975</v>
      </c>
      <c r="AC175" s="10">
        <f>SUM(B175,J175,O175,AA175:AB175)</f>
        <v>-8682.1553742340438</v>
      </c>
    </row>
    <row r="176" spans="1:29" ht="10.5" x14ac:dyDescent="0.25">
      <c r="A176" s="15" t="s">
        <v>186</v>
      </c>
      <c r="B176" s="13">
        <f t="shared" ref="B176:AC176" si="64">SUM(B170,B173:B175)</f>
        <v>0</v>
      </c>
      <c r="C176" s="13">
        <f t="shared" si="64"/>
        <v>-283.98050052988617</v>
      </c>
      <c r="D176" s="13">
        <f t="shared" si="64"/>
        <v>964.27918403012086</v>
      </c>
      <c r="E176" s="13">
        <f t="shared" si="64"/>
        <v>381.07665510684478</v>
      </c>
      <c r="F176" s="13">
        <f t="shared" si="64"/>
        <v>2.0437269159370001E-4</v>
      </c>
      <c r="G176" s="13">
        <f t="shared" si="64"/>
        <v>0</v>
      </c>
      <c r="H176" s="13">
        <f t="shared" si="64"/>
        <v>-1711.5206616554935</v>
      </c>
      <c r="I176" s="13">
        <f t="shared" si="64"/>
        <v>0</v>
      </c>
      <c r="J176" s="13">
        <f t="shared" si="64"/>
        <v>-650.14511867572241</v>
      </c>
      <c r="K176" s="13">
        <f t="shared" si="64"/>
        <v>0</v>
      </c>
      <c r="L176" s="13">
        <f t="shared" si="64"/>
        <v>161.31600551380603</v>
      </c>
      <c r="M176" s="13">
        <f t="shared" si="64"/>
        <v>-4087.8042091135608</v>
      </c>
      <c r="N176" s="13">
        <f t="shared" si="64"/>
        <v>-30843.334466162436</v>
      </c>
      <c r="O176" s="13">
        <f t="shared" si="64"/>
        <v>-34769.822669762187</v>
      </c>
      <c r="P176" s="13">
        <f t="shared" si="64"/>
        <v>0</v>
      </c>
      <c r="Q176" s="13">
        <f t="shared" si="64"/>
        <v>399.3347130716852</v>
      </c>
      <c r="R176" s="13">
        <f t="shared" si="64"/>
        <v>0</v>
      </c>
      <c r="S176" s="13">
        <f t="shared" si="64"/>
        <v>1.1281231562203771E-2</v>
      </c>
      <c r="T176" s="13">
        <f t="shared" si="64"/>
        <v>399.34599430324744</v>
      </c>
      <c r="U176" s="13">
        <f t="shared" si="64"/>
        <v>76.476990637105104</v>
      </c>
      <c r="V176" s="13">
        <f t="shared" si="64"/>
        <v>0</v>
      </c>
      <c r="W176" s="13">
        <f t="shared" si="64"/>
        <v>66.777859324569974</v>
      </c>
      <c r="X176" s="13">
        <f t="shared" si="64"/>
        <v>0</v>
      </c>
      <c r="Y176" s="13">
        <f t="shared" si="64"/>
        <v>652.32419711017155</v>
      </c>
      <c r="Z176" s="13">
        <f t="shared" si="64"/>
        <v>795.57904707184662</v>
      </c>
      <c r="AA176" s="13">
        <f t="shared" si="64"/>
        <v>1194.925041375094</v>
      </c>
      <c r="AB176" s="13">
        <f t="shared" si="64"/>
        <v>29039.218652370615</v>
      </c>
      <c r="AC176" s="13">
        <f t="shared" si="64"/>
        <v>-5185.8240946922033</v>
      </c>
    </row>
    <row r="177" spans="1:29" ht="10.5" x14ac:dyDescent="0.2">
      <c r="A177" s="25" t="s">
        <v>187</v>
      </c>
      <c r="B177" s="23">
        <f t="shared" ref="B177:AC177" si="65">B168-B176</f>
        <v>0</v>
      </c>
      <c r="C177" s="23">
        <f t="shared" si="65"/>
        <v>283.98050052988617</v>
      </c>
      <c r="D177" s="23">
        <f t="shared" si="65"/>
        <v>-964.27918403012086</v>
      </c>
      <c r="E177" s="23">
        <f t="shared" si="65"/>
        <v>-381.07665510684478</v>
      </c>
      <c r="F177" s="23">
        <f t="shared" si="65"/>
        <v>-2.0437269159370001E-4</v>
      </c>
      <c r="G177" s="23">
        <f t="shared" si="65"/>
        <v>0</v>
      </c>
      <c r="H177" s="23">
        <f t="shared" si="65"/>
        <v>1545.1947656262175</v>
      </c>
      <c r="I177" s="23">
        <f t="shared" si="65"/>
        <v>0</v>
      </c>
      <c r="J177" s="23">
        <f t="shared" si="65"/>
        <v>483.81922264644641</v>
      </c>
      <c r="K177" s="23">
        <f t="shared" si="65"/>
        <v>0</v>
      </c>
      <c r="L177" s="23">
        <f t="shared" si="65"/>
        <v>-161.31600551380603</v>
      </c>
      <c r="M177" s="23">
        <f t="shared" si="65"/>
        <v>4087.8042091135608</v>
      </c>
      <c r="N177" s="23">
        <f t="shared" si="65"/>
        <v>30877.384466162435</v>
      </c>
      <c r="O177" s="23">
        <f t="shared" si="65"/>
        <v>34803.87266976219</v>
      </c>
      <c r="P177" s="23">
        <f t="shared" si="65"/>
        <v>0</v>
      </c>
      <c r="Q177" s="23">
        <f t="shared" si="65"/>
        <v>-399.3347130716852</v>
      </c>
      <c r="R177" s="23">
        <f t="shared" si="65"/>
        <v>0</v>
      </c>
      <c r="S177" s="23">
        <f t="shared" si="65"/>
        <v>-1.1281231562203771E-2</v>
      </c>
      <c r="T177" s="23">
        <f t="shared" si="65"/>
        <v>-399.34599430324744</v>
      </c>
      <c r="U177" s="23">
        <f t="shared" si="65"/>
        <v>-76.476990637105104</v>
      </c>
      <c r="V177" s="23">
        <f t="shared" si="65"/>
        <v>0</v>
      </c>
      <c r="W177" s="23">
        <f t="shared" si="65"/>
        <v>-66.777859324569974</v>
      </c>
      <c r="X177" s="23">
        <f t="shared" si="65"/>
        <v>0</v>
      </c>
      <c r="Y177" s="23">
        <f t="shared" si="65"/>
        <v>-652.32419711017155</v>
      </c>
      <c r="Z177" s="23">
        <f t="shared" si="65"/>
        <v>-795.57904707184662</v>
      </c>
      <c r="AA177" s="23">
        <f t="shared" si="65"/>
        <v>-1194.925041375094</v>
      </c>
      <c r="AB177" s="23">
        <f t="shared" si="65"/>
        <v>-29039.218652370615</v>
      </c>
      <c r="AC177" s="23">
        <f t="shared" si="65"/>
        <v>5053.5481986629275</v>
      </c>
    </row>
    <row r="178" spans="1:29" ht="10.5" x14ac:dyDescent="0.2">
      <c r="A178" s="25" t="s">
        <v>47</v>
      </c>
      <c r="B178" s="23">
        <f t="shared" ref="B178:AC178" si="66">B160+B177</f>
        <v>-471295.83814004471</v>
      </c>
      <c r="C178" s="23">
        <f t="shared" si="66"/>
        <v>-13938.941946979059</v>
      </c>
      <c r="D178" s="23">
        <f t="shared" si="66"/>
        <v>-107229.15838924727</v>
      </c>
      <c r="E178" s="23">
        <f t="shared" si="66"/>
        <v>-116126.22534829144</v>
      </c>
      <c r="F178" s="23">
        <f t="shared" si="66"/>
        <v>-6184.4295109383202</v>
      </c>
      <c r="G178" s="23">
        <f t="shared" si="66"/>
        <v>1102.345849832886</v>
      </c>
      <c r="H178" s="23">
        <f t="shared" si="66"/>
        <v>2119657.6378964968</v>
      </c>
      <c r="I178" s="23">
        <f t="shared" si="66"/>
        <v>1076.7149866235311</v>
      </c>
      <c r="J178" s="23">
        <f t="shared" si="66"/>
        <v>1878357.9435374977</v>
      </c>
      <c r="K178" s="23">
        <f t="shared" si="66"/>
        <v>6467.1107145177921</v>
      </c>
      <c r="L178" s="23">
        <f t="shared" si="66"/>
        <v>-2818.2573816255999</v>
      </c>
      <c r="M178" s="23">
        <f t="shared" si="66"/>
        <v>62.884899604601287</v>
      </c>
      <c r="N178" s="23">
        <f t="shared" si="66"/>
        <v>-1032078.9740817612</v>
      </c>
      <c r="O178" s="23">
        <f t="shared" si="66"/>
        <v>-1028367.2358492643</v>
      </c>
      <c r="P178" s="23">
        <f t="shared" si="66"/>
        <v>-13826.359035649981</v>
      </c>
      <c r="Q178" s="23">
        <f t="shared" si="66"/>
        <v>-1299.4343925743672</v>
      </c>
      <c r="R178" s="23">
        <f t="shared" si="66"/>
        <v>-28170.463341672137</v>
      </c>
      <c r="S178" s="23">
        <f t="shared" si="66"/>
        <v>-6683.8266273415902</v>
      </c>
      <c r="T178" s="23">
        <f t="shared" si="66"/>
        <v>-36153.724361588094</v>
      </c>
      <c r="U178" s="23">
        <f t="shared" si="66"/>
        <v>340826.96533938969</v>
      </c>
      <c r="V178" s="23">
        <f t="shared" si="66"/>
        <v>8199.4879588515523</v>
      </c>
      <c r="W178" s="23">
        <f t="shared" si="66"/>
        <v>-630824.7409277769</v>
      </c>
      <c r="X178" s="23">
        <f t="shared" si="66"/>
        <v>-13873.936158304037</v>
      </c>
      <c r="Y178" s="23">
        <f t="shared" si="66"/>
        <v>-125617.1176228799</v>
      </c>
      <c r="Z178" s="23">
        <f t="shared" si="66"/>
        <v>-421289.34141071967</v>
      </c>
      <c r="AA178" s="23">
        <f t="shared" si="66"/>
        <v>-471269.42480795761</v>
      </c>
      <c r="AB178" s="23">
        <f t="shared" si="66"/>
        <v>-977783.99187193601</v>
      </c>
      <c r="AC178" s="23">
        <f t="shared" si="66"/>
        <v>-1070358.5471317058</v>
      </c>
    </row>
  </sheetData>
  <mergeCells count="31">
    <mergeCell ref="A6:AC6"/>
    <mergeCell ref="A1:AC1"/>
    <mergeCell ref="A2:AC2"/>
    <mergeCell ref="A3:AC3"/>
    <mergeCell ref="A4:AC4"/>
    <mergeCell ref="A5:AC5"/>
    <mergeCell ref="C7:J7"/>
    <mergeCell ref="K7:O7"/>
    <mergeCell ref="P7:AA7"/>
    <mergeCell ref="B8:B10"/>
    <mergeCell ref="C8:C10"/>
    <mergeCell ref="K8:K10"/>
    <mergeCell ref="P8:P10"/>
    <mergeCell ref="Q8:T8"/>
    <mergeCell ref="U8:Z8"/>
    <mergeCell ref="M9:M10"/>
    <mergeCell ref="AB8:AB10"/>
    <mergeCell ref="AC8:AC10"/>
    <mergeCell ref="D9:D10"/>
    <mergeCell ref="E9:E10"/>
    <mergeCell ref="F9:F10"/>
    <mergeCell ref="G9:G10"/>
    <mergeCell ref="H9:H10"/>
    <mergeCell ref="I9:I10"/>
    <mergeCell ref="J9:J10"/>
    <mergeCell ref="L9:L10"/>
    <mergeCell ref="N9:N10"/>
    <mergeCell ref="O9:O10"/>
    <mergeCell ref="Q9:Q10"/>
    <mergeCell ref="U9:U10"/>
    <mergeCell ref="AA9:AA10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05F73-036F-4A0E-8097-40F06402F6AC}">
  <sheetPr codeName="Sheet8"/>
  <dimension ref="A1:Q3"/>
  <sheetViews>
    <sheetView workbookViewId="0"/>
  </sheetViews>
  <sheetFormatPr defaultRowHeight="14.5" x14ac:dyDescent="0.35"/>
  <cols>
    <col min="1" max="1" width="23.26953125" bestFit="1" customWidth="1"/>
    <col min="2" max="2" width="12.54296875" bestFit="1" customWidth="1"/>
    <col min="3" max="8" width="11.81640625" bestFit="1" customWidth="1"/>
    <col min="9" max="9" width="15" bestFit="1" customWidth="1"/>
    <col min="10" max="16" width="11.81640625" bestFit="1" customWidth="1"/>
    <col min="17" max="17" width="12.1796875" bestFit="1" customWidth="1"/>
  </cols>
  <sheetData>
    <row r="1" spans="1:17" x14ac:dyDescent="0.35">
      <c r="A1" t="s">
        <v>198</v>
      </c>
      <c r="B1" t="s">
        <v>188</v>
      </c>
      <c r="C1" t="s">
        <v>24</v>
      </c>
      <c r="D1" t="s">
        <v>20</v>
      </c>
      <c r="E1" t="s">
        <v>22</v>
      </c>
      <c r="F1" t="s">
        <v>33</v>
      </c>
      <c r="G1" t="s">
        <v>202</v>
      </c>
      <c r="H1" t="s">
        <v>28</v>
      </c>
      <c r="I1" t="s">
        <v>31</v>
      </c>
      <c r="J1" t="s">
        <v>29</v>
      </c>
      <c r="K1" t="s">
        <v>26</v>
      </c>
      <c r="L1" t="s">
        <v>37</v>
      </c>
      <c r="M1" t="s">
        <v>25</v>
      </c>
      <c r="N1" t="s">
        <v>201</v>
      </c>
      <c r="O1" t="s">
        <v>41</v>
      </c>
      <c r="P1" t="s">
        <v>200</v>
      </c>
      <c r="Q1" t="s">
        <v>239</v>
      </c>
    </row>
    <row r="2" spans="1:17" x14ac:dyDescent="0.35">
      <c r="A2" t="s">
        <v>58</v>
      </c>
      <c r="B2">
        <v>742082.24046022678</v>
      </c>
      <c r="C2">
        <v>98834.641820852383</v>
      </c>
      <c r="D2">
        <v>151322.36043375896</v>
      </c>
      <c r="E2">
        <v>27889.636023025912</v>
      </c>
      <c r="F2">
        <v>8108.8454978650934</v>
      </c>
      <c r="G2">
        <v>4453.6536456837912</v>
      </c>
      <c r="H2">
        <v>11684.36201781208</v>
      </c>
      <c r="I2">
        <v>16136.534749767678</v>
      </c>
      <c r="J2">
        <v>9560.779554092509</v>
      </c>
      <c r="K2">
        <v>35078.116652184428</v>
      </c>
      <c r="L2">
        <v>1034.5750417235797</v>
      </c>
      <c r="M2">
        <v>1503.9974259339226</v>
      </c>
      <c r="N2">
        <v>1881.6632374063042</v>
      </c>
      <c r="O2">
        <v>268.90640917118873</v>
      </c>
      <c r="P2">
        <v>159.615671971176</v>
      </c>
      <c r="Q2">
        <v>21731.826580445486</v>
      </c>
    </row>
    <row r="3" spans="1:17" x14ac:dyDescent="0.35">
      <c r="A3" t="s">
        <v>16</v>
      </c>
      <c r="B3">
        <v>0</v>
      </c>
      <c r="C3">
        <v>73507.200609611682</v>
      </c>
      <c r="D3">
        <v>88658.668646268663</v>
      </c>
      <c r="E3">
        <v>12507.667331927443</v>
      </c>
      <c r="F3">
        <v>7144.7778818892566</v>
      </c>
      <c r="G3">
        <v>3931.7757981012078</v>
      </c>
      <c r="H3">
        <v>9110.5877595493021</v>
      </c>
      <c r="I3">
        <v>8819.3233754549492</v>
      </c>
      <c r="J3">
        <v>8809.6830434924013</v>
      </c>
      <c r="K3">
        <v>23158.567646929132</v>
      </c>
      <c r="L3">
        <v>1034.5546236211371</v>
      </c>
      <c r="M3">
        <v>1496.861299130177</v>
      </c>
      <c r="N3">
        <v>1881.719710906304</v>
      </c>
      <c r="O3">
        <v>268.90640917118873</v>
      </c>
      <c r="P3">
        <v>78.847272271175996</v>
      </c>
      <c r="Q3">
        <v>17132.342372945484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01D9-1EBD-4AAA-9C88-A3788A79329D}">
  <sheetPr codeName="Sheet9"/>
  <dimension ref="A1:H3"/>
  <sheetViews>
    <sheetView workbookViewId="0"/>
  </sheetViews>
  <sheetFormatPr defaultRowHeight="14.5" x14ac:dyDescent="0.35"/>
  <cols>
    <col min="1" max="1" width="23.26953125" bestFit="1" customWidth="1"/>
    <col min="2" max="2" width="18.81640625" bestFit="1" customWidth="1"/>
    <col min="3" max="3" width="10.81640625" bestFit="1" customWidth="1"/>
    <col min="4" max="7" width="11.81640625" bestFit="1" customWidth="1"/>
    <col min="8" max="8" width="10.81640625" bestFit="1" customWidth="1"/>
  </cols>
  <sheetData>
    <row r="1" spans="1:8" x14ac:dyDescent="0.35">
      <c r="A1" t="s">
        <v>198</v>
      </c>
      <c r="B1" t="s">
        <v>21</v>
      </c>
      <c r="C1" t="s">
        <v>38</v>
      </c>
      <c r="D1" t="s">
        <v>36</v>
      </c>
      <c r="E1" t="s">
        <v>35</v>
      </c>
      <c r="F1" t="s">
        <v>27</v>
      </c>
      <c r="G1" t="s">
        <v>23</v>
      </c>
      <c r="H1" t="s">
        <v>192</v>
      </c>
    </row>
    <row r="2" spans="1:8" x14ac:dyDescent="0.35">
      <c r="A2" t="s">
        <v>58</v>
      </c>
      <c r="B2">
        <v>222200.63748993105</v>
      </c>
      <c r="C2">
        <v>11305.109198195427</v>
      </c>
      <c r="D2">
        <v>529365.37188180606</v>
      </c>
      <c r="E2">
        <v>161495.89345690917</v>
      </c>
      <c r="F2">
        <v>85176.309114711214</v>
      </c>
      <c r="G2">
        <v>122008.85686938436</v>
      </c>
      <c r="H2">
        <v>179.57721098410059</v>
      </c>
    </row>
    <row r="3" spans="1:8" x14ac:dyDescent="0.35">
      <c r="A3" t="s">
        <v>16</v>
      </c>
      <c r="B3">
        <v>14053.208210261249</v>
      </c>
      <c r="C3">
        <v>5266.9749001602713</v>
      </c>
      <c r="D3">
        <v>0</v>
      </c>
      <c r="E3">
        <v>75528.229964119339</v>
      </c>
      <c r="F3">
        <v>64781.827889009553</v>
      </c>
      <c r="G3">
        <v>99825.490966984187</v>
      </c>
      <c r="H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D6278-B1BF-4666-A9B0-CCD199A14B44}">
  <sheetPr codeName="Sheet2"/>
  <dimension ref="A1:U176"/>
  <sheetViews>
    <sheetView workbookViewId="0">
      <selection sqref="A1:U1"/>
    </sheetView>
  </sheetViews>
  <sheetFormatPr defaultRowHeight="10" x14ac:dyDescent="0.2"/>
  <cols>
    <col min="1" max="1" width="41.1796875" style="33" bestFit="1" customWidth="1"/>
    <col min="2" max="2" width="11" style="33" bestFit="1" customWidth="1"/>
    <col min="3" max="3" width="8.54296875" style="33" bestFit="1" customWidth="1"/>
    <col min="4" max="4" width="7.7265625" style="33" bestFit="1" customWidth="1"/>
    <col min="5" max="5" width="10.54296875" style="33" bestFit="1" customWidth="1"/>
    <col min="6" max="6" width="8.54296875" style="33" bestFit="1" customWidth="1"/>
    <col min="7" max="7" width="9.36328125" style="33" bestFit="1" customWidth="1"/>
    <col min="8" max="8" width="8.54296875" style="33" bestFit="1" customWidth="1"/>
    <col min="9" max="10" width="7.7265625" style="33" bestFit="1" customWidth="1"/>
    <col min="11" max="11" width="8.81640625" style="33" bestFit="1" customWidth="1"/>
    <col min="12" max="12" width="9.453125" style="33" bestFit="1" customWidth="1"/>
    <col min="13" max="13" width="8.54296875" style="33" bestFit="1" customWidth="1"/>
    <col min="14" max="14" width="11.08984375" style="33" bestFit="1" customWidth="1"/>
    <col min="15" max="15" width="6.54296875" style="33" bestFit="1" customWidth="1"/>
    <col min="16" max="16" width="8.54296875" style="33" bestFit="1" customWidth="1"/>
    <col min="17" max="17" width="9" style="33" bestFit="1" customWidth="1"/>
    <col min="18" max="18" width="8.54296875" style="33" bestFit="1" customWidth="1"/>
    <col min="19" max="19" width="7.7265625" style="33" bestFit="1" customWidth="1"/>
    <col min="20" max="20" width="9.81640625" style="33" bestFit="1" customWidth="1"/>
    <col min="21" max="21" width="10.54296875" style="33" bestFit="1" customWidth="1"/>
    <col min="22" max="16384" width="8.7265625" style="33"/>
  </cols>
  <sheetData>
    <row r="1" spans="1:21" ht="15.5" x14ac:dyDescent="0.35">
      <c r="A1" s="64" t="s">
        <v>0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</row>
    <row r="2" spans="1:21" ht="15.5" x14ac:dyDescent="0.35">
      <c r="A2" s="64" t="s">
        <v>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</row>
    <row r="3" spans="1:21" ht="18" x14ac:dyDescent="0.4">
      <c r="A3" s="65" t="s">
        <v>48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</row>
    <row r="4" spans="1:21" ht="18" x14ac:dyDescent="0.4">
      <c r="A4" s="65" t="s">
        <v>199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</row>
    <row r="5" spans="1:21" ht="18" x14ac:dyDescent="0.4">
      <c r="A5" s="65" t="s">
        <v>2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</row>
    <row r="6" spans="1:21" ht="18" x14ac:dyDescent="0.4">
      <c r="A6" s="65" t="s">
        <v>2</v>
      </c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</row>
    <row r="7" spans="1:21" x14ac:dyDescent="0.2">
      <c r="A7" s="34" t="s">
        <v>3</v>
      </c>
      <c r="B7" s="35" t="s">
        <v>188</v>
      </c>
      <c r="C7" s="35" t="s">
        <v>202</v>
      </c>
      <c r="D7" s="35" t="s">
        <v>201</v>
      </c>
      <c r="E7" s="35" t="s">
        <v>26</v>
      </c>
      <c r="F7" s="35" t="s">
        <v>189</v>
      </c>
      <c r="G7" s="35" t="s">
        <v>20</v>
      </c>
      <c r="H7" s="35" t="s">
        <v>22</v>
      </c>
      <c r="I7" s="35" t="s">
        <v>203</v>
      </c>
      <c r="J7" s="35" t="s">
        <v>37</v>
      </c>
      <c r="K7" s="35" t="s">
        <v>200</v>
      </c>
      <c r="L7" s="35" t="s">
        <v>239</v>
      </c>
      <c r="M7" s="35" t="s">
        <v>33</v>
      </c>
      <c r="N7" s="35" t="s">
        <v>31</v>
      </c>
      <c r="O7" s="35" t="s">
        <v>41</v>
      </c>
      <c r="P7" s="35" t="s">
        <v>29</v>
      </c>
      <c r="Q7" s="35" t="s">
        <v>190</v>
      </c>
      <c r="R7" s="35" t="s">
        <v>28</v>
      </c>
      <c r="S7" s="35" t="s">
        <v>25</v>
      </c>
      <c r="T7" s="35" t="s">
        <v>24</v>
      </c>
      <c r="U7" s="35" t="s">
        <v>51</v>
      </c>
    </row>
    <row r="8" spans="1:21" x14ac:dyDescent="0.2">
      <c r="A8" s="34" t="s">
        <v>49</v>
      </c>
      <c r="B8" s="35" t="s">
        <v>10</v>
      </c>
      <c r="C8" s="35" t="s">
        <v>10</v>
      </c>
      <c r="D8" s="35" t="s">
        <v>10</v>
      </c>
      <c r="E8" s="35" t="s">
        <v>10</v>
      </c>
      <c r="F8" s="35" t="s">
        <v>10</v>
      </c>
      <c r="G8" s="35" t="s">
        <v>10</v>
      </c>
      <c r="H8" s="35" t="s">
        <v>10</v>
      </c>
      <c r="I8" s="35" t="s">
        <v>10</v>
      </c>
      <c r="J8" s="35" t="s">
        <v>10</v>
      </c>
      <c r="K8" s="35" t="s">
        <v>10</v>
      </c>
      <c r="L8" s="35" t="s">
        <v>10</v>
      </c>
      <c r="M8" s="35" t="s">
        <v>10</v>
      </c>
      <c r="N8" s="35" t="s">
        <v>10</v>
      </c>
      <c r="O8" s="35" t="s">
        <v>10</v>
      </c>
      <c r="P8" s="35" t="s">
        <v>10</v>
      </c>
      <c r="Q8" s="35" t="s">
        <v>10</v>
      </c>
      <c r="R8" s="35" t="s">
        <v>10</v>
      </c>
      <c r="S8" s="35" t="s">
        <v>10</v>
      </c>
      <c r="T8" s="35" t="s">
        <v>10</v>
      </c>
      <c r="U8" s="35" t="s">
        <v>10</v>
      </c>
    </row>
    <row r="9" spans="1:21" ht="10.5" x14ac:dyDescent="0.2">
      <c r="A9" s="36" t="s">
        <v>13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</row>
    <row r="10" spans="1:21" ht="10.5" x14ac:dyDescent="0.25">
      <c r="A10" s="38" t="s">
        <v>56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</row>
    <row r="11" spans="1:21" ht="10.5" x14ac:dyDescent="0.25">
      <c r="A11" s="39" t="s">
        <v>57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</row>
    <row r="12" spans="1:21" x14ac:dyDescent="0.2">
      <c r="A12" s="52" t="s">
        <v>58</v>
      </c>
      <c r="B12" s="44">
        <v>732751.68853781559</v>
      </c>
      <c r="C12" s="44">
        <v>18457.391966898569</v>
      </c>
      <c r="D12" s="44">
        <v>7565.8708179379337</v>
      </c>
      <c r="E12" s="44">
        <v>3757556.891630027</v>
      </c>
      <c r="F12" s="44">
        <v>503.67585179999998</v>
      </c>
      <c r="G12" s="44">
        <v>798608.07841515623</v>
      </c>
      <c r="H12" s="44">
        <v>61457.530737406945</v>
      </c>
      <c r="I12" s="44">
        <v>7825.0459030219236</v>
      </c>
      <c r="J12" s="44">
        <v>1239.0185970491411</v>
      </c>
      <c r="K12" s="44">
        <v>15570.093522926043</v>
      </c>
      <c r="L12" s="44">
        <v>51259.320675358889</v>
      </c>
      <c r="M12" s="44">
        <v>67478.828968987946</v>
      </c>
      <c r="N12" s="44">
        <v>-92743.759576295968</v>
      </c>
      <c r="O12" s="44">
        <v>409.56024216413107</v>
      </c>
      <c r="P12" s="44">
        <v>32717.117737698431</v>
      </c>
      <c r="Q12" s="44">
        <v>-35772.082205870975</v>
      </c>
      <c r="R12" s="44">
        <v>89972.604459942508</v>
      </c>
      <c r="S12" s="44">
        <v>7138.4293267830526</v>
      </c>
      <c r="T12" s="44">
        <v>323451.99554912263</v>
      </c>
      <c r="U12" s="44">
        <f>SUM(B12:T12)</f>
        <v>5845447.3011579281</v>
      </c>
    </row>
    <row r="13" spans="1:21" x14ac:dyDescent="0.2">
      <c r="A13" s="52" t="s">
        <v>59</v>
      </c>
      <c r="B13" s="44">
        <v>-20774.347804021469</v>
      </c>
      <c r="C13" s="44">
        <v>0</v>
      </c>
      <c r="D13" s="44">
        <v>0</v>
      </c>
      <c r="E13" s="44">
        <v>228005.35611730811</v>
      </c>
      <c r="F13" s="44">
        <v>0</v>
      </c>
      <c r="G13" s="44">
        <v>5589.2210877276393</v>
      </c>
      <c r="H13" s="44">
        <v>0</v>
      </c>
      <c r="I13" s="44">
        <v>0</v>
      </c>
      <c r="J13" s="44">
        <v>0</v>
      </c>
      <c r="K13" s="44">
        <v>0</v>
      </c>
      <c r="L13" s="44">
        <v>-1518.0076799999999</v>
      </c>
      <c r="M13" s="44">
        <v>0</v>
      </c>
      <c r="N13" s="44">
        <v>1084.1961334538862</v>
      </c>
      <c r="O13" s="44">
        <v>0</v>
      </c>
      <c r="P13" s="44">
        <v>0</v>
      </c>
      <c r="Q13" s="44">
        <v>59388.946090328813</v>
      </c>
      <c r="R13" s="44">
        <v>0</v>
      </c>
      <c r="S13" s="44">
        <v>0</v>
      </c>
      <c r="T13" s="44">
        <v>0</v>
      </c>
      <c r="U13" s="44">
        <f>SUM(B13:T13)</f>
        <v>271775.36394479696</v>
      </c>
    </row>
    <row r="14" spans="1:21" x14ac:dyDescent="0.2">
      <c r="A14" s="52" t="s">
        <v>60</v>
      </c>
      <c r="B14" s="44">
        <v>-18222.416699401561</v>
      </c>
      <c r="C14" s="44">
        <v>0</v>
      </c>
      <c r="D14" s="44">
        <v>0</v>
      </c>
      <c r="E14" s="44">
        <v>-13024.260263820574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-101.6523</v>
      </c>
      <c r="O14" s="44">
        <v>0</v>
      </c>
      <c r="P14" s="44">
        <v>0</v>
      </c>
      <c r="Q14" s="44">
        <v>170.01165455613545</v>
      </c>
      <c r="R14" s="44">
        <v>0</v>
      </c>
      <c r="S14" s="44">
        <v>0</v>
      </c>
      <c r="T14" s="44">
        <v>-64.835254542181161</v>
      </c>
      <c r="U14" s="44">
        <f>SUM(B14:T14)</f>
        <v>-31243.152863208179</v>
      </c>
    </row>
    <row r="15" spans="1:21" x14ac:dyDescent="0.2">
      <c r="A15" s="52" t="s">
        <v>61</v>
      </c>
      <c r="B15" s="44">
        <v>15610.40631209431</v>
      </c>
      <c r="C15" s="44">
        <v>0</v>
      </c>
      <c r="D15" s="44">
        <v>0</v>
      </c>
      <c r="E15" s="44">
        <v>51222.515863264343</v>
      </c>
      <c r="F15" s="44">
        <v>21328.259777251602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170335.63071076453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f>SUM(B15:T15)</f>
        <v>258496.81266337479</v>
      </c>
    </row>
    <row r="16" spans="1:21" ht="10.5" x14ac:dyDescent="0.25">
      <c r="A16" s="47" t="s">
        <v>62</v>
      </c>
      <c r="B16" s="46">
        <f t="shared" ref="B16:U16" si="0">SUM(B12:B15)</f>
        <v>709365.33034648688</v>
      </c>
      <c r="C16" s="46">
        <f t="shared" si="0"/>
        <v>18457.391966898569</v>
      </c>
      <c r="D16" s="46">
        <f t="shared" si="0"/>
        <v>7565.8708179379337</v>
      </c>
      <c r="E16" s="46">
        <f t="shared" si="0"/>
        <v>4023760.5033467789</v>
      </c>
      <c r="F16" s="46">
        <f t="shared" si="0"/>
        <v>21831.935629051601</v>
      </c>
      <c r="G16" s="46">
        <f t="shared" si="0"/>
        <v>804197.29950288392</v>
      </c>
      <c r="H16" s="46">
        <f t="shared" si="0"/>
        <v>61457.530737406945</v>
      </c>
      <c r="I16" s="46">
        <f t="shared" si="0"/>
        <v>7825.0459030219236</v>
      </c>
      <c r="J16" s="46">
        <f t="shared" si="0"/>
        <v>1239.0185970491411</v>
      </c>
      <c r="K16" s="46">
        <f t="shared" si="0"/>
        <v>15570.093522926043</v>
      </c>
      <c r="L16" s="46">
        <f t="shared" si="0"/>
        <v>49741.312995358887</v>
      </c>
      <c r="M16" s="46">
        <f t="shared" si="0"/>
        <v>67478.828968987946</v>
      </c>
      <c r="N16" s="46">
        <f t="shared" si="0"/>
        <v>78574.414967922436</v>
      </c>
      <c r="O16" s="46">
        <f t="shared" si="0"/>
        <v>409.56024216413107</v>
      </c>
      <c r="P16" s="46">
        <f t="shared" si="0"/>
        <v>32717.117737698431</v>
      </c>
      <c r="Q16" s="46">
        <f t="shared" si="0"/>
        <v>23786.875539013974</v>
      </c>
      <c r="R16" s="46">
        <f t="shared" si="0"/>
        <v>89972.604459942508</v>
      </c>
      <c r="S16" s="46">
        <f t="shared" si="0"/>
        <v>7138.4293267830526</v>
      </c>
      <c r="T16" s="46">
        <f t="shared" si="0"/>
        <v>323387.16029458045</v>
      </c>
      <c r="U16" s="46">
        <f t="shared" si="0"/>
        <v>6344476.3249028912</v>
      </c>
    </row>
    <row r="17" spans="1:21" ht="10.5" x14ac:dyDescent="0.25">
      <c r="A17" s="48" t="s">
        <v>63</v>
      </c>
      <c r="B17" s="46">
        <f t="shared" ref="B17:U17" si="1">SUM(B16)</f>
        <v>709365.33034648688</v>
      </c>
      <c r="C17" s="46">
        <f t="shared" si="1"/>
        <v>18457.391966898569</v>
      </c>
      <c r="D17" s="46">
        <f t="shared" si="1"/>
        <v>7565.8708179379337</v>
      </c>
      <c r="E17" s="46">
        <f t="shared" si="1"/>
        <v>4023760.5033467789</v>
      </c>
      <c r="F17" s="46">
        <f t="shared" si="1"/>
        <v>21831.935629051601</v>
      </c>
      <c r="G17" s="46">
        <f t="shared" si="1"/>
        <v>804197.29950288392</v>
      </c>
      <c r="H17" s="46">
        <f t="shared" si="1"/>
        <v>61457.530737406945</v>
      </c>
      <c r="I17" s="46">
        <f t="shared" si="1"/>
        <v>7825.0459030219236</v>
      </c>
      <c r="J17" s="46">
        <f t="shared" si="1"/>
        <v>1239.0185970491411</v>
      </c>
      <c r="K17" s="46">
        <f t="shared" si="1"/>
        <v>15570.093522926043</v>
      </c>
      <c r="L17" s="46">
        <f t="shared" si="1"/>
        <v>49741.312995358887</v>
      </c>
      <c r="M17" s="46">
        <f t="shared" si="1"/>
        <v>67478.828968987946</v>
      </c>
      <c r="N17" s="46">
        <f t="shared" si="1"/>
        <v>78574.414967922436</v>
      </c>
      <c r="O17" s="46">
        <f t="shared" si="1"/>
        <v>409.56024216413107</v>
      </c>
      <c r="P17" s="46">
        <f t="shared" si="1"/>
        <v>32717.117737698431</v>
      </c>
      <c r="Q17" s="46">
        <f t="shared" si="1"/>
        <v>23786.875539013974</v>
      </c>
      <c r="R17" s="46">
        <f t="shared" si="1"/>
        <v>89972.604459942508</v>
      </c>
      <c r="S17" s="46">
        <f t="shared" si="1"/>
        <v>7138.4293267830526</v>
      </c>
      <c r="T17" s="46">
        <f t="shared" si="1"/>
        <v>323387.16029458045</v>
      </c>
      <c r="U17" s="46">
        <f t="shared" si="1"/>
        <v>6344476.3249028912</v>
      </c>
    </row>
    <row r="18" spans="1:21" ht="10.5" x14ac:dyDescent="0.25">
      <c r="A18" s="38" t="s">
        <v>14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</row>
    <row r="19" spans="1:21" ht="10.5" x14ac:dyDescent="0.25">
      <c r="A19" s="39" t="s">
        <v>15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</row>
    <row r="20" spans="1:21" x14ac:dyDescent="0.2">
      <c r="A20" s="52" t="s">
        <v>16</v>
      </c>
      <c r="B20" s="44">
        <v>8981.8473110745654</v>
      </c>
      <c r="C20" s="44">
        <v>13616.776607107866</v>
      </c>
      <c r="D20" s="44">
        <v>5830.164220184477</v>
      </c>
      <c r="E20" s="44">
        <v>888833.18309109274</v>
      </c>
      <c r="F20" s="44">
        <v>185.34602699999999</v>
      </c>
      <c r="G20" s="44">
        <v>505700.51063228736</v>
      </c>
      <c r="H20" s="44">
        <v>42862.074181268683</v>
      </c>
      <c r="I20" s="44">
        <v>3595.2531822149817</v>
      </c>
      <c r="J20" s="44">
        <v>1217.9626008359355</v>
      </c>
      <c r="K20" s="44">
        <v>9665.0459214102066</v>
      </c>
      <c r="L20" s="44">
        <v>39057.936745572792</v>
      </c>
      <c r="M20" s="44">
        <v>54192.067436690595</v>
      </c>
      <c r="N20" s="44">
        <v>18049.402955668993</v>
      </c>
      <c r="O20" s="44">
        <v>352.02542390455341</v>
      </c>
      <c r="P20" s="44">
        <v>26001.237986967168</v>
      </c>
      <c r="Q20" s="44">
        <v>-14025.613139033981</v>
      </c>
      <c r="R20" s="44">
        <v>53781.068634102179</v>
      </c>
      <c r="S20" s="44">
        <v>7078.0451566243592</v>
      </c>
      <c r="T20" s="44">
        <v>204028.40963199356</v>
      </c>
      <c r="U20" s="44">
        <f>SUM(B20:T20)</f>
        <v>1869002.7446069671</v>
      </c>
    </row>
    <row r="21" spans="1:21" x14ac:dyDescent="0.2">
      <c r="A21" s="52" t="s">
        <v>64</v>
      </c>
      <c r="B21" s="44">
        <v>12394.532638715993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f>SUM(B21:T21)</f>
        <v>12394.532638715993</v>
      </c>
    </row>
    <row r="22" spans="1:21" x14ac:dyDescent="0.2">
      <c r="A22" s="52" t="s">
        <v>65</v>
      </c>
      <c r="B22" s="44">
        <v>0</v>
      </c>
      <c r="C22" s="44">
        <v>0</v>
      </c>
      <c r="D22" s="44">
        <v>0</v>
      </c>
      <c r="E22" s="44">
        <v>172847.42818615335</v>
      </c>
      <c r="F22" s="44">
        <v>0</v>
      </c>
      <c r="G22" s="44">
        <v>4694.416759645238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795.8225087850069</v>
      </c>
      <c r="O22" s="44">
        <v>0</v>
      </c>
      <c r="P22" s="44">
        <v>0</v>
      </c>
      <c r="Q22" s="44">
        <v>48181.41231150231</v>
      </c>
      <c r="R22" s="44">
        <v>0</v>
      </c>
      <c r="S22" s="44">
        <v>0</v>
      </c>
      <c r="T22" s="44">
        <v>0</v>
      </c>
      <c r="U22" s="44">
        <f>SUM(B22:T22)</f>
        <v>226519.0797660859</v>
      </c>
    </row>
    <row r="23" spans="1:21" x14ac:dyDescent="0.2">
      <c r="A23" s="52" t="s">
        <v>66</v>
      </c>
      <c r="B23" s="44">
        <v>-8559.7125085264761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f>SUM(B23:T23)</f>
        <v>-8559.7125085264761</v>
      </c>
    </row>
    <row r="24" spans="1:21" ht="10.5" x14ac:dyDescent="0.25">
      <c r="A24" s="40" t="s">
        <v>67</v>
      </c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</row>
    <row r="25" spans="1:21" x14ac:dyDescent="0.2">
      <c r="A25" s="41" t="s">
        <v>270</v>
      </c>
      <c r="B25" s="44">
        <v>14049.854273169318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f>SUM(B25:T25)</f>
        <v>14049.854273169318</v>
      </c>
    </row>
    <row r="26" spans="1:21" x14ac:dyDescent="0.2">
      <c r="A26" s="41" t="s">
        <v>68</v>
      </c>
      <c r="B26" s="44">
        <v>1011.302310503562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f>SUM(B26:T26)</f>
        <v>1011.302310503562</v>
      </c>
    </row>
    <row r="27" spans="1:21" ht="10.5" x14ac:dyDescent="0.25">
      <c r="A27" s="53" t="s">
        <v>271</v>
      </c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1:21" x14ac:dyDescent="0.2">
      <c r="A28" s="54" t="s">
        <v>272</v>
      </c>
      <c r="B28" s="44">
        <v>17987.539677014658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f>SUM(B28:T28)</f>
        <v>17987.539677014658</v>
      </c>
    </row>
    <row r="29" spans="1:21" x14ac:dyDescent="0.2">
      <c r="A29" s="54" t="s">
        <v>273</v>
      </c>
      <c r="B29" s="44">
        <v>5070.6080123549273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0</v>
      </c>
      <c r="R29" s="44">
        <v>0</v>
      </c>
      <c r="S29" s="44">
        <v>0</v>
      </c>
      <c r="T29" s="44">
        <v>0</v>
      </c>
      <c r="U29" s="44">
        <f>SUM(B29:T29)</f>
        <v>5070.6080123549273</v>
      </c>
    </row>
    <row r="30" spans="1:21" ht="10.5" x14ac:dyDescent="0.25">
      <c r="A30" s="55" t="s">
        <v>274</v>
      </c>
      <c r="B30" s="46">
        <f t="shared" ref="B30:U30" si="2">SUM(B28:B29)</f>
        <v>23058.147689369587</v>
      </c>
      <c r="C30" s="46">
        <f t="shared" si="2"/>
        <v>0</v>
      </c>
      <c r="D30" s="46">
        <f t="shared" si="2"/>
        <v>0</v>
      </c>
      <c r="E30" s="46">
        <f t="shared" si="2"/>
        <v>0</v>
      </c>
      <c r="F30" s="46">
        <f t="shared" si="2"/>
        <v>0</v>
      </c>
      <c r="G30" s="46">
        <f t="shared" si="2"/>
        <v>0</v>
      </c>
      <c r="H30" s="46">
        <f t="shared" si="2"/>
        <v>0</v>
      </c>
      <c r="I30" s="46">
        <f t="shared" si="2"/>
        <v>0</v>
      </c>
      <c r="J30" s="46">
        <f t="shared" si="2"/>
        <v>0</v>
      </c>
      <c r="K30" s="46">
        <f t="shared" si="2"/>
        <v>0</v>
      </c>
      <c r="L30" s="46">
        <f t="shared" si="2"/>
        <v>0</v>
      </c>
      <c r="M30" s="46">
        <f t="shared" si="2"/>
        <v>0</v>
      </c>
      <c r="N30" s="46">
        <f t="shared" si="2"/>
        <v>0</v>
      </c>
      <c r="O30" s="46">
        <f t="shared" si="2"/>
        <v>0</v>
      </c>
      <c r="P30" s="46">
        <f t="shared" si="2"/>
        <v>0</v>
      </c>
      <c r="Q30" s="46">
        <f t="shared" si="2"/>
        <v>0</v>
      </c>
      <c r="R30" s="46">
        <f t="shared" si="2"/>
        <v>0</v>
      </c>
      <c r="S30" s="46">
        <f t="shared" si="2"/>
        <v>0</v>
      </c>
      <c r="T30" s="46">
        <f t="shared" si="2"/>
        <v>0</v>
      </c>
      <c r="U30" s="46">
        <f t="shared" si="2"/>
        <v>23058.147689369587</v>
      </c>
    </row>
    <row r="31" spans="1:21" ht="10.5" x14ac:dyDescent="0.25">
      <c r="A31" s="45" t="s">
        <v>69</v>
      </c>
      <c r="B31" s="46">
        <f t="shared" ref="B31:U31" si="3">SUM(B25:B26,B30)</f>
        <v>38119.304273042464</v>
      </c>
      <c r="C31" s="46">
        <f t="shared" si="3"/>
        <v>0</v>
      </c>
      <c r="D31" s="46">
        <f t="shared" si="3"/>
        <v>0</v>
      </c>
      <c r="E31" s="46">
        <f t="shared" si="3"/>
        <v>0</v>
      </c>
      <c r="F31" s="46">
        <f t="shared" si="3"/>
        <v>0</v>
      </c>
      <c r="G31" s="46">
        <f t="shared" si="3"/>
        <v>0</v>
      </c>
      <c r="H31" s="46">
        <f t="shared" si="3"/>
        <v>0</v>
      </c>
      <c r="I31" s="46">
        <f t="shared" si="3"/>
        <v>0</v>
      </c>
      <c r="J31" s="46">
        <f t="shared" si="3"/>
        <v>0</v>
      </c>
      <c r="K31" s="46">
        <f t="shared" si="3"/>
        <v>0</v>
      </c>
      <c r="L31" s="46">
        <f t="shared" si="3"/>
        <v>0</v>
      </c>
      <c r="M31" s="46">
        <f t="shared" si="3"/>
        <v>0</v>
      </c>
      <c r="N31" s="46">
        <f t="shared" si="3"/>
        <v>0</v>
      </c>
      <c r="O31" s="46">
        <f t="shared" si="3"/>
        <v>0</v>
      </c>
      <c r="P31" s="46">
        <f t="shared" si="3"/>
        <v>0</v>
      </c>
      <c r="Q31" s="46">
        <f t="shared" si="3"/>
        <v>0</v>
      </c>
      <c r="R31" s="46">
        <f t="shared" si="3"/>
        <v>0</v>
      </c>
      <c r="S31" s="46">
        <f t="shared" si="3"/>
        <v>0</v>
      </c>
      <c r="T31" s="46">
        <f t="shared" si="3"/>
        <v>0</v>
      </c>
      <c r="U31" s="46">
        <f t="shared" si="3"/>
        <v>38119.304273042464</v>
      </c>
    </row>
    <row r="32" spans="1:21" ht="10.5" x14ac:dyDescent="0.25">
      <c r="A32" s="47" t="s">
        <v>43</v>
      </c>
      <c r="B32" s="46">
        <f t="shared" ref="B32:U32" si="4">SUM(B20:B23,B31)</f>
        <v>50935.971714306543</v>
      </c>
      <c r="C32" s="46">
        <f t="shared" si="4"/>
        <v>13616.776607107866</v>
      </c>
      <c r="D32" s="46">
        <f t="shared" si="4"/>
        <v>5830.164220184477</v>
      </c>
      <c r="E32" s="46">
        <f t="shared" si="4"/>
        <v>1061680.6112772461</v>
      </c>
      <c r="F32" s="46">
        <f t="shared" si="4"/>
        <v>185.34602699999999</v>
      </c>
      <c r="G32" s="46">
        <f t="shared" si="4"/>
        <v>510394.92739193258</v>
      </c>
      <c r="H32" s="46">
        <f t="shared" si="4"/>
        <v>42862.074181268683</v>
      </c>
      <c r="I32" s="46">
        <f t="shared" si="4"/>
        <v>3595.2531822149817</v>
      </c>
      <c r="J32" s="46">
        <f t="shared" si="4"/>
        <v>1217.9626008359355</v>
      </c>
      <c r="K32" s="46">
        <f t="shared" si="4"/>
        <v>9665.0459214102066</v>
      </c>
      <c r="L32" s="46">
        <f t="shared" si="4"/>
        <v>39057.936745572792</v>
      </c>
      <c r="M32" s="46">
        <f t="shared" si="4"/>
        <v>54192.067436690595</v>
      </c>
      <c r="N32" s="46">
        <f t="shared" si="4"/>
        <v>18845.225464454001</v>
      </c>
      <c r="O32" s="46">
        <f t="shared" si="4"/>
        <v>352.02542390455341</v>
      </c>
      <c r="P32" s="46">
        <f t="shared" si="4"/>
        <v>26001.237986967168</v>
      </c>
      <c r="Q32" s="46">
        <f t="shared" si="4"/>
        <v>34155.799172468331</v>
      </c>
      <c r="R32" s="46">
        <f t="shared" si="4"/>
        <v>53781.068634102179</v>
      </c>
      <c r="S32" s="46">
        <f t="shared" si="4"/>
        <v>7078.0451566243592</v>
      </c>
      <c r="T32" s="46">
        <f t="shared" si="4"/>
        <v>204028.40963199356</v>
      </c>
      <c r="U32" s="46">
        <f t="shared" si="4"/>
        <v>2137475.9487762847</v>
      </c>
    </row>
    <row r="33" spans="1:21" ht="10.5" x14ac:dyDescent="0.25">
      <c r="A33" s="48" t="s">
        <v>44</v>
      </c>
      <c r="B33" s="46">
        <f t="shared" ref="B33:U33" si="5">SUM(B32)</f>
        <v>50935.971714306543</v>
      </c>
      <c r="C33" s="46">
        <f t="shared" si="5"/>
        <v>13616.776607107866</v>
      </c>
      <c r="D33" s="46">
        <f t="shared" si="5"/>
        <v>5830.164220184477</v>
      </c>
      <c r="E33" s="46">
        <f t="shared" si="5"/>
        <v>1061680.6112772461</v>
      </c>
      <c r="F33" s="46">
        <f t="shared" si="5"/>
        <v>185.34602699999999</v>
      </c>
      <c r="G33" s="46">
        <f t="shared" si="5"/>
        <v>510394.92739193258</v>
      </c>
      <c r="H33" s="46">
        <f t="shared" si="5"/>
        <v>42862.074181268683</v>
      </c>
      <c r="I33" s="46">
        <f t="shared" si="5"/>
        <v>3595.2531822149817</v>
      </c>
      <c r="J33" s="46">
        <f t="shared" si="5"/>
        <v>1217.9626008359355</v>
      </c>
      <c r="K33" s="46">
        <f t="shared" si="5"/>
        <v>9665.0459214102066</v>
      </c>
      <c r="L33" s="46">
        <f t="shared" si="5"/>
        <v>39057.936745572792</v>
      </c>
      <c r="M33" s="46">
        <f t="shared" si="5"/>
        <v>54192.067436690595</v>
      </c>
      <c r="N33" s="46">
        <f t="shared" si="5"/>
        <v>18845.225464454001</v>
      </c>
      <c r="O33" s="46">
        <f t="shared" si="5"/>
        <v>352.02542390455341</v>
      </c>
      <c r="P33" s="46">
        <f t="shared" si="5"/>
        <v>26001.237986967168</v>
      </c>
      <c r="Q33" s="46">
        <f t="shared" si="5"/>
        <v>34155.799172468331</v>
      </c>
      <c r="R33" s="46">
        <f t="shared" si="5"/>
        <v>53781.068634102179</v>
      </c>
      <c r="S33" s="46">
        <f t="shared" si="5"/>
        <v>7078.0451566243592</v>
      </c>
      <c r="T33" s="46">
        <f t="shared" si="5"/>
        <v>204028.40963199356</v>
      </c>
      <c r="U33" s="46">
        <f t="shared" si="5"/>
        <v>2137475.9487762847</v>
      </c>
    </row>
    <row r="34" spans="1:21" ht="10.5" x14ac:dyDescent="0.25">
      <c r="A34" s="49" t="s">
        <v>45</v>
      </c>
      <c r="B34" s="51">
        <f t="shared" ref="B34:U34" si="6">B17-B33</f>
        <v>658429.35863218037</v>
      </c>
      <c r="C34" s="51">
        <f t="shared" si="6"/>
        <v>4840.6153597907032</v>
      </c>
      <c r="D34" s="51">
        <f t="shared" si="6"/>
        <v>1735.7065977534567</v>
      </c>
      <c r="E34" s="51">
        <f t="shared" si="6"/>
        <v>2962079.8920695325</v>
      </c>
      <c r="F34" s="51">
        <f t="shared" si="6"/>
        <v>21646.589602051601</v>
      </c>
      <c r="G34" s="51">
        <f t="shared" si="6"/>
        <v>293802.37211095134</v>
      </c>
      <c r="H34" s="51">
        <f t="shared" si="6"/>
        <v>18595.456556138262</v>
      </c>
      <c r="I34" s="51">
        <f t="shared" si="6"/>
        <v>4229.7927208069414</v>
      </c>
      <c r="J34" s="51">
        <f t="shared" si="6"/>
        <v>21.055996213205617</v>
      </c>
      <c r="K34" s="51">
        <f t="shared" si="6"/>
        <v>5905.0476015158365</v>
      </c>
      <c r="L34" s="51">
        <f t="shared" si="6"/>
        <v>10683.376249786095</v>
      </c>
      <c r="M34" s="51">
        <f t="shared" si="6"/>
        <v>13286.761532297351</v>
      </c>
      <c r="N34" s="51">
        <f t="shared" si="6"/>
        <v>59729.189503468435</v>
      </c>
      <c r="O34" s="51">
        <f t="shared" si="6"/>
        <v>57.534818259577662</v>
      </c>
      <c r="P34" s="51">
        <f t="shared" si="6"/>
        <v>6715.8797507312629</v>
      </c>
      <c r="Q34" s="51">
        <f t="shared" si="6"/>
        <v>-10368.923633454357</v>
      </c>
      <c r="R34" s="51">
        <f t="shared" si="6"/>
        <v>36191.535825840328</v>
      </c>
      <c r="S34" s="51">
        <f t="shared" si="6"/>
        <v>60.384170158693451</v>
      </c>
      <c r="T34" s="51">
        <f t="shared" si="6"/>
        <v>119358.75066258688</v>
      </c>
      <c r="U34" s="51">
        <f t="shared" si="6"/>
        <v>4207000.376126606</v>
      </c>
    </row>
    <row r="35" spans="1:21" ht="10.5" x14ac:dyDescent="0.25">
      <c r="A35" s="38" t="s">
        <v>70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</row>
    <row r="36" spans="1:21" ht="10.5" x14ac:dyDescent="0.25">
      <c r="A36" s="39" t="s">
        <v>71</v>
      </c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</row>
    <row r="37" spans="1:21" x14ac:dyDescent="0.2">
      <c r="A37" s="52" t="s">
        <v>72</v>
      </c>
      <c r="B37" s="44">
        <v>0</v>
      </c>
      <c r="C37" s="44">
        <v>0</v>
      </c>
      <c r="D37" s="44">
        <v>0</v>
      </c>
      <c r="E37" s="44">
        <v>0</v>
      </c>
      <c r="F37" s="44">
        <v>0</v>
      </c>
      <c r="G37" s="44">
        <v>0</v>
      </c>
      <c r="H37" s="44">
        <v>0</v>
      </c>
      <c r="I37" s="44">
        <v>0</v>
      </c>
      <c r="J37" s="44">
        <v>0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67.751521061645278</v>
      </c>
      <c r="R37" s="44">
        <v>0</v>
      </c>
      <c r="S37" s="44">
        <v>0</v>
      </c>
      <c r="T37" s="44">
        <v>0</v>
      </c>
      <c r="U37" s="44">
        <f>SUM(B37:T37)</f>
        <v>67.751521061645278</v>
      </c>
    </row>
    <row r="38" spans="1:21" ht="10.5" x14ac:dyDescent="0.25">
      <c r="A38" s="40" t="s">
        <v>73</v>
      </c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</row>
    <row r="39" spans="1:21" x14ac:dyDescent="0.2">
      <c r="A39" s="41" t="s">
        <v>74</v>
      </c>
      <c r="B39" s="44">
        <v>475359.17391763051</v>
      </c>
      <c r="C39" s="44">
        <v>0</v>
      </c>
      <c r="D39" s="44">
        <v>0</v>
      </c>
      <c r="E39" s="44">
        <v>0</v>
      </c>
      <c r="F39" s="44">
        <v>0</v>
      </c>
      <c r="G39" s="44">
        <v>0</v>
      </c>
      <c r="H39" s="44">
        <v>0</v>
      </c>
      <c r="I39" s="44">
        <v>0</v>
      </c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0</v>
      </c>
      <c r="R39" s="44">
        <v>0</v>
      </c>
      <c r="S39" s="44">
        <v>0</v>
      </c>
      <c r="T39" s="44">
        <v>0</v>
      </c>
      <c r="U39" s="44">
        <f>SUM(B39:T39)</f>
        <v>475359.17391763051</v>
      </c>
    </row>
    <row r="40" spans="1:21" x14ac:dyDescent="0.2">
      <c r="A40" s="41" t="s">
        <v>75</v>
      </c>
      <c r="B40" s="44">
        <v>746945.3888467974</v>
      </c>
      <c r="C40" s="44">
        <v>0</v>
      </c>
      <c r="D40" s="44">
        <v>0</v>
      </c>
      <c r="E40" s="44">
        <v>0</v>
      </c>
      <c r="F40" s="44">
        <v>0</v>
      </c>
      <c r="G40" s="44">
        <v>0</v>
      </c>
      <c r="H40" s="44">
        <v>0</v>
      </c>
      <c r="I40" s="44">
        <v>0</v>
      </c>
      <c r="J40" s="44">
        <v>0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0</v>
      </c>
      <c r="R40" s="44">
        <v>0</v>
      </c>
      <c r="S40" s="44">
        <v>0</v>
      </c>
      <c r="T40" s="44">
        <v>0</v>
      </c>
      <c r="U40" s="44">
        <f>SUM(B40:T40)</f>
        <v>746945.3888467974</v>
      </c>
    </row>
    <row r="41" spans="1:21" x14ac:dyDescent="0.2">
      <c r="A41" s="41" t="s">
        <v>76</v>
      </c>
      <c r="B41" s="44">
        <v>110009.58568916703</v>
      </c>
      <c r="C41" s="44">
        <v>0</v>
      </c>
      <c r="D41" s="44">
        <v>0</v>
      </c>
      <c r="E41" s="44">
        <v>0</v>
      </c>
      <c r="F41" s="44">
        <v>0</v>
      </c>
      <c r="G41" s="44">
        <v>0</v>
      </c>
      <c r="H41" s="44">
        <v>0</v>
      </c>
      <c r="I41" s="44">
        <v>0</v>
      </c>
      <c r="J41" s="44">
        <v>0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0</v>
      </c>
      <c r="R41" s="44">
        <v>0</v>
      </c>
      <c r="S41" s="44">
        <v>0</v>
      </c>
      <c r="T41" s="44">
        <v>0</v>
      </c>
      <c r="U41" s="44">
        <f>SUM(B41:T41)</f>
        <v>110009.58568916703</v>
      </c>
    </row>
    <row r="42" spans="1:21" x14ac:dyDescent="0.2">
      <c r="A42" s="41" t="s">
        <v>77</v>
      </c>
      <c r="B42" s="44">
        <v>34947.519745029967</v>
      </c>
      <c r="C42" s="44">
        <v>0</v>
      </c>
      <c r="D42" s="44">
        <v>0</v>
      </c>
      <c r="E42" s="44">
        <v>0</v>
      </c>
      <c r="F42" s="44">
        <v>0</v>
      </c>
      <c r="G42" s="44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0</v>
      </c>
      <c r="R42" s="44">
        <v>0</v>
      </c>
      <c r="S42" s="44">
        <v>0</v>
      </c>
      <c r="T42" s="44">
        <v>0</v>
      </c>
      <c r="U42" s="44">
        <f>SUM(B42:T42)</f>
        <v>34947.519745029967</v>
      </c>
    </row>
    <row r="43" spans="1:21" ht="10.5" x14ac:dyDescent="0.25">
      <c r="A43" s="45" t="s">
        <v>78</v>
      </c>
      <c r="B43" s="46">
        <f t="shared" ref="B43:U43" si="7">SUM(B39:B42)</f>
        <v>1367261.6681986249</v>
      </c>
      <c r="C43" s="46">
        <f t="shared" si="7"/>
        <v>0</v>
      </c>
      <c r="D43" s="46">
        <f t="shared" si="7"/>
        <v>0</v>
      </c>
      <c r="E43" s="46">
        <f t="shared" si="7"/>
        <v>0</v>
      </c>
      <c r="F43" s="46">
        <f t="shared" si="7"/>
        <v>0</v>
      </c>
      <c r="G43" s="46">
        <f t="shared" si="7"/>
        <v>0</v>
      </c>
      <c r="H43" s="46">
        <f t="shared" si="7"/>
        <v>0</v>
      </c>
      <c r="I43" s="46">
        <f t="shared" si="7"/>
        <v>0</v>
      </c>
      <c r="J43" s="46">
        <f t="shared" si="7"/>
        <v>0</v>
      </c>
      <c r="K43" s="46">
        <f t="shared" si="7"/>
        <v>0</v>
      </c>
      <c r="L43" s="46">
        <f t="shared" si="7"/>
        <v>0</v>
      </c>
      <c r="M43" s="46">
        <f t="shared" si="7"/>
        <v>0</v>
      </c>
      <c r="N43" s="46">
        <f t="shared" si="7"/>
        <v>0</v>
      </c>
      <c r="O43" s="46">
        <f t="shared" si="7"/>
        <v>0</v>
      </c>
      <c r="P43" s="46">
        <f t="shared" si="7"/>
        <v>0</v>
      </c>
      <c r="Q43" s="46">
        <f t="shared" si="7"/>
        <v>0</v>
      </c>
      <c r="R43" s="46">
        <f t="shared" si="7"/>
        <v>0</v>
      </c>
      <c r="S43" s="46">
        <f t="shared" si="7"/>
        <v>0</v>
      </c>
      <c r="T43" s="46">
        <f t="shared" si="7"/>
        <v>0</v>
      </c>
      <c r="U43" s="46">
        <f t="shared" si="7"/>
        <v>1367261.6681986249</v>
      </c>
    </row>
    <row r="44" spans="1:21" ht="10.5" x14ac:dyDescent="0.25">
      <c r="A44" s="40" t="s">
        <v>79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</row>
    <row r="45" spans="1:21" x14ac:dyDescent="0.2">
      <c r="A45" s="41" t="s">
        <v>80</v>
      </c>
      <c r="B45" s="44">
        <v>2529.2034012613913</v>
      </c>
      <c r="C45" s="44">
        <v>0</v>
      </c>
      <c r="D45" s="44">
        <v>0</v>
      </c>
      <c r="E45" s="44">
        <v>0</v>
      </c>
      <c r="F45" s="44">
        <v>0</v>
      </c>
      <c r="G45" s="44">
        <v>0</v>
      </c>
      <c r="H45" s="44">
        <v>0</v>
      </c>
      <c r="I45" s="44">
        <v>0</v>
      </c>
      <c r="J45" s="44">
        <v>0</v>
      </c>
      <c r="K45" s="44">
        <v>0</v>
      </c>
      <c r="L45" s="44">
        <v>0</v>
      </c>
      <c r="M45" s="44">
        <v>0</v>
      </c>
      <c r="N45" s="44">
        <v>0</v>
      </c>
      <c r="O45" s="44">
        <v>0</v>
      </c>
      <c r="P45" s="44">
        <v>0</v>
      </c>
      <c r="Q45" s="44">
        <v>0</v>
      </c>
      <c r="R45" s="44">
        <v>0</v>
      </c>
      <c r="S45" s="44">
        <v>0</v>
      </c>
      <c r="T45" s="44">
        <v>0</v>
      </c>
      <c r="U45" s="44">
        <f>SUM(B45:T45)</f>
        <v>2529.2034012613913</v>
      </c>
    </row>
    <row r="46" spans="1:21" x14ac:dyDescent="0.2">
      <c r="A46" s="41" t="s">
        <v>81</v>
      </c>
      <c r="B46" s="44">
        <v>16565.234188371644</v>
      </c>
      <c r="C46" s="44">
        <v>0</v>
      </c>
      <c r="D46" s="44">
        <v>0</v>
      </c>
      <c r="E46" s="44">
        <v>0</v>
      </c>
      <c r="F46" s="44">
        <v>0</v>
      </c>
      <c r="G46" s="44">
        <v>0</v>
      </c>
      <c r="H46" s="44">
        <v>0</v>
      </c>
      <c r="I46" s="44">
        <v>0</v>
      </c>
      <c r="J46" s="44">
        <v>0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0</v>
      </c>
      <c r="R46" s="44">
        <v>0</v>
      </c>
      <c r="S46" s="44">
        <v>0</v>
      </c>
      <c r="T46" s="44">
        <v>0</v>
      </c>
      <c r="U46" s="44">
        <f>SUM(B46:T46)</f>
        <v>16565.234188371644</v>
      </c>
    </row>
    <row r="47" spans="1:21" x14ac:dyDescent="0.2">
      <c r="A47" s="41" t="s">
        <v>82</v>
      </c>
      <c r="B47" s="44">
        <v>1383.6877861822206</v>
      </c>
      <c r="C47" s="44">
        <v>0</v>
      </c>
      <c r="D47" s="44">
        <v>0</v>
      </c>
      <c r="E47" s="44">
        <v>0</v>
      </c>
      <c r="F47" s="44">
        <v>0</v>
      </c>
      <c r="G47" s="44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0</v>
      </c>
      <c r="R47" s="44">
        <v>0</v>
      </c>
      <c r="S47" s="44">
        <v>0</v>
      </c>
      <c r="T47" s="44">
        <v>0</v>
      </c>
      <c r="U47" s="44">
        <f>SUM(B47:T47)</f>
        <v>1383.6877861822206</v>
      </c>
    </row>
    <row r="48" spans="1:21" x14ac:dyDescent="0.2">
      <c r="A48" s="41" t="s">
        <v>275</v>
      </c>
      <c r="B48" s="44">
        <v>-0.2118907719454092</v>
      </c>
      <c r="C48" s="44">
        <v>0</v>
      </c>
      <c r="D48" s="44">
        <v>0</v>
      </c>
      <c r="E48" s="44">
        <v>0</v>
      </c>
      <c r="F48" s="44">
        <v>0</v>
      </c>
      <c r="G48" s="44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44">
        <v>0</v>
      </c>
      <c r="N48" s="44">
        <v>0</v>
      </c>
      <c r="O48" s="44">
        <v>0</v>
      </c>
      <c r="P48" s="44">
        <v>0</v>
      </c>
      <c r="Q48" s="44">
        <v>0</v>
      </c>
      <c r="R48" s="44">
        <v>0</v>
      </c>
      <c r="S48" s="44">
        <v>0</v>
      </c>
      <c r="T48" s="44">
        <v>0</v>
      </c>
      <c r="U48" s="44">
        <f>SUM(B48:T48)</f>
        <v>-0.2118907719454092</v>
      </c>
    </row>
    <row r="49" spans="1:21" x14ac:dyDescent="0.2">
      <c r="A49" s="41" t="s">
        <v>276</v>
      </c>
      <c r="B49" s="44">
        <v>1760.7079721381499</v>
      </c>
      <c r="C49" s="44">
        <v>0</v>
      </c>
      <c r="D49" s="44">
        <v>0</v>
      </c>
      <c r="E49" s="44">
        <v>0</v>
      </c>
      <c r="F49" s="44">
        <v>0</v>
      </c>
      <c r="G49" s="44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44">
        <v>0</v>
      </c>
      <c r="N49" s="44">
        <v>0</v>
      </c>
      <c r="O49" s="44">
        <v>0</v>
      </c>
      <c r="P49" s="44">
        <v>0</v>
      </c>
      <c r="Q49" s="44">
        <v>0</v>
      </c>
      <c r="R49" s="44">
        <v>0</v>
      </c>
      <c r="S49" s="44">
        <v>0</v>
      </c>
      <c r="T49" s="44">
        <v>0</v>
      </c>
      <c r="U49" s="44">
        <f>SUM(B49:T49)</f>
        <v>1760.7079721381499</v>
      </c>
    </row>
    <row r="50" spans="1:21" ht="10.5" x14ac:dyDescent="0.25">
      <c r="A50" s="45" t="s">
        <v>83</v>
      </c>
      <c r="B50" s="46">
        <f t="shared" ref="B50:U50" si="8">SUM(B45:B49)</f>
        <v>22238.62145718146</v>
      </c>
      <c r="C50" s="46">
        <f t="shared" si="8"/>
        <v>0</v>
      </c>
      <c r="D50" s="46">
        <f t="shared" si="8"/>
        <v>0</v>
      </c>
      <c r="E50" s="46">
        <f t="shared" si="8"/>
        <v>0</v>
      </c>
      <c r="F50" s="46">
        <f t="shared" si="8"/>
        <v>0</v>
      </c>
      <c r="G50" s="46">
        <f t="shared" si="8"/>
        <v>0</v>
      </c>
      <c r="H50" s="46">
        <f t="shared" si="8"/>
        <v>0</v>
      </c>
      <c r="I50" s="46">
        <f t="shared" si="8"/>
        <v>0</v>
      </c>
      <c r="J50" s="46">
        <f t="shared" si="8"/>
        <v>0</v>
      </c>
      <c r="K50" s="46">
        <f t="shared" si="8"/>
        <v>0</v>
      </c>
      <c r="L50" s="46">
        <f t="shared" si="8"/>
        <v>0</v>
      </c>
      <c r="M50" s="46">
        <f t="shared" si="8"/>
        <v>0</v>
      </c>
      <c r="N50" s="46">
        <f t="shared" si="8"/>
        <v>0</v>
      </c>
      <c r="O50" s="46">
        <f t="shared" si="8"/>
        <v>0</v>
      </c>
      <c r="P50" s="46">
        <f t="shared" si="8"/>
        <v>0</v>
      </c>
      <c r="Q50" s="46">
        <f t="shared" si="8"/>
        <v>0</v>
      </c>
      <c r="R50" s="46">
        <f t="shared" si="8"/>
        <v>0</v>
      </c>
      <c r="S50" s="46">
        <f t="shared" si="8"/>
        <v>0</v>
      </c>
      <c r="T50" s="46">
        <f t="shared" si="8"/>
        <v>0</v>
      </c>
      <c r="U50" s="46">
        <f t="shared" si="8"/>
        <v>22238.62145718146</v>
      </c>
    </row>
    <row r="51" spans="1:21" ht="10.5" x14ac:dyDescent="0.25">
      <c r="A51" s="40" t="s">
        <v>84</v>
      </c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</row>
    <row r="52" spans="1:21" x14ac:dyDescent="0.2">
      <c r="A52" s="41" t="s">
        <v>85</v>
      </c>
      <c r="B52" s="44">
        <v>44341.282364271268</v>
      </c>
      <c r="C52" s="44">
        <v>0</v>
      </c>
      <c r="D52" s="44">
        <v>0</v>
      </c>
      <c r="E52" s="44">
        <v>0</v>
      </c>
      <c r="F52" s="44">
        <v>0</v>
      </c>
      <c r="G52" s="44">
        <v>0</v>
      </c>
      <c r="H52" s="44">
        <v>0</v>
      </c>
      <c r="I52" s="44">
        <v>0</v>
      </c>
      <c r="J52" s="44">
        <v>0</v>
      </c>
      <c r="K52" s="44">
        <v>0</v>
      </c>
      <c r="L52" s="44">
        <v>0</v>
      </c>
      <c r="M52" s="44">
        <v>0</v>
      </c>
      <c r="N52" s="44">
        <v>0</v>
      </c>
      <c r="O52" s="44">
        <v>0</v>
      </c>
      <c r="P52" s="44">
        <v>0</v>
      </c>
      <c r="Q52" s="44">
        <v>38181.513481778085</v>
      </c>
      <c r="R52" s="44">
        <v>0</v>
      </c>
      <c r="S52" s="44">
        <v>0</v>
      </c>
      <c r="T52" s="44">
        <v>0</v>
      </c>
      <c r="U52" s="44">
        <f>SUM(B52:T52)</f>
        <v>82522.795846049354</v>
      </c>
    </row>
    <row r="53" spans="1:21" x14ac:dyDescent="0.2">
      <c r="A53" s="41" t="s">
        <v>86</v>
      </c>
      <c r="B53" s="44">
        <v>5770.0221472798594</v>
      </c>
      <c r="C53" s="44">
        <v>0</v>
      </c>
      <c r="D53" s="44">
        <v>0</v>
      </c>
      <c r="E53" s="44">
        <v>0</v>
      </c>
      <c r="F53" s="44">
        <v>0</v>
      </c>
      <c r="G53" s="44">
        <v>0</v>
      </c>
      <c r="H53" s="44">
        <v>0</v>
      </c>
      <c r="I53" s="44">
        <v>0</v>
      </c>
      <c r="J53" s="44">
        <v>0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0</v>
      </c>
      <c r="R53" s="44">
        <v>0</v>
      </c>
      <c r="S53" s="44">
        <v>0</v>
      </c>
      <c r="T53" s="44">
        <v>0</v>
      </c>
      <c r="U53" s="44">
        <f>SUM(B53:T53)</f>
        <v>5770.0221472798594</v>
      </c>
    </row>
    <row r="54" spans="1:21" x14ac:dyDescent="0.2">
      <c r="A54" s="41" t="s">
        <v>87</v>
      </c>
      <c r="B54" s="44">
        <v>220102.83415828072</v>
      </c>
      <c r="C54" s="44">
        <v>0</v>
      </c>
      <c r="D54" s="44">
        <v>0</v>
      </c>
      <c r="E54" s="44">
        <v>12679.067202741297</v>
      </c>
      <c r="F54" s="44">
        <v>0</v>
      </c>
      <c r="G54" s="44">
        <v>511.64202389484603</v>
      </c>
      <c r="H54" s="44">
        <v>0</v>
      </c>
      <c r="I54" s="44">
        <v>99.890326799999997</v>
      </c>
      <c r="J54" s="44">
        <v>0</v>
      </c>
      <c r="K54" s="44">
        <v>0</v>
      </c>
      <c r="L54" s="44">
        <v>0</v>
      </c>
      <c r="M54" s="44">
        <v>0</v>
      </c>
      <c r="N54" s="44">
        <v>80.725931338914904</v>
      </c>
      <c r="O54" s="44">
        <v>0</v>
      </c>
      <c r="P54" s="44">
        <v>0</v>
      </c>
      <c r="Q54" s="44">
        <v>0</v>
      </c>
      <c r="R54" s="44">
        <v>0</v>
      </c>
      <c r="S54" s="44">
        <v>0</v>
      </c>
      <c r="T54" s="44">
        <v>13134.115271902447</v>
      </c>
      <c r="U54" s="44">
        <f>SUM(B54:T54)</f>
        <v>246608.27491495822</v>
      </c>
    </row>
    <row r="55" spans="1:21" ht="10.5" x14ac:dyDescent="0.25">
      <c r="A55" s="45" t="s">
        <v>88</v>
      </c>
      <c r="B55" s="46">
        <f t="shared" ref="B55:U55" si="9">SUM(B52:B54)</f>
        <v>270214.13866983185</v>
      </c>
      <c r="C55" s="46">
        <f t="shared" si="9"/>
        <v>0</v>
      </c>
      <c r="D55" s="46">
        <f t="shared" si="9"/>
        <v>0</v>
      </c>
      <c r="E55" s="46">
        <f t="shared" si="9"/>
        <v>12679.067202741297</v>
      </c>
      <c r="F55" s="46">
        <f t="shared" si="9"/>
        <v>0</v>
      </c>
      <c r="G55" s="46">
        <f t="shared" si="9"/>
        <v>511.64202389484603</v>
      </c>
      <c r="H55" s="46">
        <f t="shared" si="9"/>
        <v>0</v>
      </c>
      <c r="I55" s="46">
        <f t="shared" si="9"/>
        <v>99.890326799999997</v>
      </c>
      <c r="J55" s="46">
        <f t="shared" si="9"/>
        <v>0</v>
      </c>
      <c r="K55" s="46">
        <f t="shared" si="9"/>
        <v>0</v>
      </c>
      <c r="L55" s="46">
        <f t="shared" si="9"/>
        <v>0</v>
      </c>
      <c r="M55" s="46">
        <f t="shared" si="9"/>
        <v>0</v>
      </c>
      <c r="N55" s="46">
        <f t="shared" si="9"/>
        <v>80.725931338914904</v>
      </c>
      <c r="O55" s="46">
        <f t="shared" si="9"/>
        <v>0</v>
      </c>
      <c r="P55" s="46">
        <f t="shared" si="9"/>
        <v>0</v>
      </c>
      <c r="Q55" s="46">
        <f t="shared" si="9"/>
        <v>38181.513481778085</v>
      </c>
      <c r="R55" s="46">
        <f t="shared" si="9"/>
        <v>0</v>
      </c>
      <c r="S55" s="46">
        <f t="shared" si="9"/>
        <v>0</v>
      </c>
      <c r="T55" s="46">
        <f t="shared" si="9"/>
        <v>13134.115271902447</v>
      </c>
      <c r="U55" s="46">
        <f t="shared" si="9"/>
        <v>334901.09290828742</v>
      </c>
    </row>
    <row r="56" spans="1:21" ht="10.5" x14ac:dyDescent="0.25">
      <c r="A56" s="40" t="s">
        <v>89</v>
      </c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</row>
    <row r="57" spans="1:21" x14ac:dyDescent="0.2">
      <c r="A57" s="41" t="s">
        <v>277</v>
      </c>
      <c r="B57" s="44">
        <v>3185.88026950828</v>
      </c>
      <c r="C57" s="44">
        <v>0</v>
      </c>
      <c r="D57" s="44">
        <v>0</v>
      </c>
      <c r="E57" s="44">
        <v>0</v>
      </c>
      <c r="F57" s="44">
        <v>0</v>
      </c>
      <c r="G57" s="44">
        <v>0</v>
      </c>
      <c r="H57" s="44">
        <v>0</v>
      </c>
      <c r="I57" s="44">
        <v>0</v>
      </c>
      <c r="J57" s="44">
        <v>0</v>
      </c>
      <c r="K57" s="44">
        <v>0</v>
      </c>
      <c r="L57" s="44">
        <v>0</v>
      </c>
      <c r="M57" s="44">
        <v>0</v>
      </c>
      <c r="N57" s="44">
        <v>0</v>
      </c>
      <c r="O57" s="44">
        <v>0</v>
      </c>
      <c r="P57" s="44">
        <v>0</v>
      </c>
      <c r="Q57" s="44">
        <v>0</v>
      </c>
      <c r="R57" s="44">
        <v>0</v>
      </c>
      <c r="S57" s="44">
        <v>0</v>
      </c>
      <c r="T57" s="44">
        <v>0</v>
      </c>
      <c r="U57" s="44">
        <f>SUM(B57:T57)</f>
        <v>3185.88026950828</v>
      </c>
    </row>
    <row r="58" spans="1:21" x14ac:dyDescent="0.2">
      <c r="A58" s="41" t="s">
        <v>90</v>
      </c>
      <c r="B58" s="44">
        <v>3532.8210630406602</v>
      </c>
      <c r="C58" s="44">
        <v>0</v>
      </c>
      <c r="D58" s="44">
        <v>0</v>
      </c>
      <c r="E58" s="44">
        <v>0</v>
      </c>
      <c r="F58" s="44">
        <v>0</v>
      </c>
      <c r="G58" s="44">
        <v>0</v>
      </c>
      <c r="H58" s="44">
        <v>0</v>
      </c>
      <c r="I58" s="44">
        <v>0</v>
      </c>
      <c r="J58" s="44">
        <v>0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0</v>
      </c>
      <c r="R58" s="44">
        <v>0</v>
      </c>
      <c r="S58" s="44">
        <v>0</v>
      </c>
      <c r="T58" s="44">
        <v>0</v>
      </c>
      <c r="U58" s="44">
        <f>SUM(B58:T58)</f>
        <v>3532.8210630406602</v>
      </c>
    </row>
    <row r="59" spans="1:21" ht="10.5" x14ac:dyDescent="0.25">
      <c r="A59" s="45" t="s">
        <v>91</v>
      </c>
      <c r="B59" s="46">
        <f t="shared" ref="B59:U59" si="10">SUM(B57:B58)</f>
        <v>6718.7013325489406</v>
      </c>
      <c r="C59" s="46">
        <f t="shared" si="10"/>
        <v>0</v>
      </c>
      <c r="D59" s="46">
        <f t="shared" si="10"/>
        <v>0</v>
      </c>
      <c r="E59" s="46">
        <f t="shared" si="10"/>
        <v>0</v>
      </c>
      <c r="F59" s="46">
        <f t="shared" si="10"/>
        <v>0</v>
      </c>
      <c r="G59" s="46">
        <f t="shared" si="10"/>
        <v>0</v>
      </c>
      <c r="H59" s="46">
        <f t="shared" si="10"/>
        <v>0</v>
      </c>
      <c r="I59" s="46">
        <f t="shared" si="10"/>
        <v>0</v>
      </c>
      <c r="J59" s="46">
        <f t="shared" si="10"/>
        <v>0</v>
      </c>
      <c r="K59" s="46">
        <f t="shared" si="10"/>
        <v>0</v>
      </c>
      <c r="L59" s="46">
        <f t="shared" si="10"/>
        <v>0</v>
      </c>
      <c r="M59" s="46">
        <f t="shared" si="10"/>
        <v>0</v>
      </c>
      <c r="N59" s="46">
        <f t="shared" si="10"/>
        <v>0</v>
      </c>
      <c r="O59" s="46">
        <f t="shared" si="10"/>
        <v>0</v>
      </c>
      <c r="P59" s="46">
        <f t="shared" si="10"/>
        <v>0</v>
      </c>
      <c r="Q59" s="46">
        <f t="shared" si="10"/>
        <v>0</v>
      </c>
      <c r="R59" s="46">
        <f t="shared" si="10"/>
        <v>0</v>
      </c>
      <c r="S59" s="46">
        <f t="shared" si="10"/>
        <v>0</v>
      </c>
      <c r="T59" s="46">
        <f t="shared" si="10"/>
        <v>0</v>
      </c>
      <c r="U59" s="46">
        <f t="shared" si="10"/>
        <v>6718.7013325489406</v>
      </c>
    </row>
    <row r="60" spans="1:21" ht="10.5" x14ac:dyDescent="0.25">
      <c r="A60" s="40" t="s">
        <v>92</v>
      </c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</row>
    <row r="61" spans="1:21" x14ac:dyDescent="0.2">
      <c r="A61" s="41" t="s">
        <v>93</v>
      </c>
      <c r="B61" s="44">
        <v>25908.231499111658</v>
      </c>
      <c r="C61" s="44">
        <v>0</v>
      </c>
      <c r="D61" s="44">
        <v>0</v>
      </c>
      <c r="E61" s="44">
        <v>0</v>
      </c>
      <c r="F61" s="44">
        <v>0</v>
      </c>
      <c r="G61" s="44">
        <v>0</v>
      </c>
      <c r="H61" s="44">
        <v>0</v>
      </c>
      <c r="I61" s="44">
        <v>0</v>
      </c>
      <c r="J61" s="44">
        <v>0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0</v>
      </c>
      <c r="R61" s="44">
        <v>0</v>
      </c>
      <c r="S61" s="44">
        <v>0</v>
      </c>
      <c r="T61" s="44">
        <v>562.82695180061251</v>
      </c>
      <c r="U61" s="44">
        <f t="shared" ref="U61:U69" si="11">SUM(B61:T61)</f>
        <v>26471.058450912271</v>
      </c>
    </row>
    <row r="62" spans="1:21" x14ac:dyDescent="0.2">
      <c r="A62" s="41" t="s">
        <v>94</v>
      </c>
      <c r="B62" s="44">
        <v>55694.090906885678</v>
      </c>
      <c r="C62" s="44">
        <v>0</v>
      </c>
      <c r="D62" s="44">
        <v>0</v>
      </c>
      <c r="E62" s="44">
        <v>0</v>
      </c>
      <c r="F62" s="44">
        <v>0</v>
      </c>
      <c r="G62" s="44">
        <v>0</v>
      </c>
      <c r="H62" s="44">
        <v>0</v>
      </c>
      <c r="I62" s="44">
        <v>0</v>
      </c>
      <c r="J62" s="44">
        <v>0</v>
      </c>
      <c r="K62" s="44">
        <v>0</v>
      </c>
      <c r="L62" s="44">
        <v>0</v>
      </c>
      <c r="M62" s="44">
        <v>0</v>
      </c>
      <c r="N62" s="44">
        <v>0</v>
      </c>
      <c r="O62" s="44">
        <v>0</v>
      </c>
      <c r="P62" s="44">
        <v>0</v>
      </c>
      <c r="Q62" s="44">
        <v>0</v>
      </c>
      <c r="R62" s="44">
        <v>0</v>
      </c>
      <c r="S62" s="44">
        <v>0</v>
      </c>
      <c r="T62" s="44">
        <v>1717.1995171312826</v>
      </c>
      <c r="U62" s="44">
        <f t="shared" si="11"/>
        <v>57411.290424016959</v>
      </c>
    </row>
    <row r="63" spans="1:21" x14ac:dyDescent="0.2">
      <c r="A63" s="41" t="s">
        <v>95</v>
      </c>
      <c r="B63" s="44">
        <v>64699.289285971099</v>
      </c>
      <c r="C63" s="44">
        <v>0</v>
      </c>
      <c r="D63" s="44">
        <v>0</v>
      </c>
      <c r="E63" s="44">
        <v>0</v>
      </c>
      <c r="F63" s="44">
        <v>0</v>
      </c>
      <c r="G63" s="44">
        <v>0</v>
      </c>
      <c r="H63" s="44">
        <v>0</v>
      </c>
      <c r="I63" s="44">
        <v>0</v>
      </c>
      <c r="J63" s="44">
        <v>0</v>
      </c>
      <c r="K63" s="44">
        <v>0</v>
      </c>
      <c r="L63" s="44">
        <v>0</v>
      </c>
      <c r="M63" s="44">
        <v>0</v>
      </c>
      <c r="N63" s="44">
        <v>0</v>
      </c>
      <c r="O63" s="44">
        <v>0</v>
      </c>
      <c r="P63" s="44">
        <v>0</v>
      </c>
      <c r="Q63" s="44">
        <v>0</v>
      </c>
      <c r="R63" s="44">
        <v>0</v>
      </c>
      <c r="S63" s="44">
        <v>0</v>
      </c>
      <c r="T63" s="44">
        <v>1339.4603797369502</v>
      </c>
      <c r="U63" s="44">
        <f t="shared" si="11"/>
        <v>66038.749665708048</v>
      </c>
    </row>
    <row r="64" spans="1:21" x14ac:dyDescent="0.2">
      <c r="A64" s="41" t="s">
        <v>96</v>
      </c>
      <c r="B64" s="44">
        <v>14571.335844769157</v>
      </c>
      <c r="C64" s="44">
        <v>0</v>
      </c>
      <c r="D64" s="44">
        <v>0</v>
      </c>
      <c r="E64" s="44">
        <v>0</v>
      </c>
      <c r="F64" s="44">
        <v>0</v>
      </c>
      <c r="G64" s="44">
        <v>0</v>
      </c>
      <c r="H64" s="44">
        <v>0</v>
      </c>
      <c r="I64" s="44">
        <v>0</v>
      </c>
      <c r="J64" s="44">
        <v>0</v>
      </c>
      <c r="K64" s="44">
        <v>0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0</v>
      </c>
      <c r="R64" s="44">
        <v>0</v>
      </c>
      <c r="S64" s="44">
        <v>0</v>
      </c>
      <c r="T64" s="44">
        <v>361.96892840082705</v>
      </c>
      <c r="U64" s="44">
        <f t="shared" si="11"/>
        <v>14933.304773169984</v>
      </c>
    </row>
    <row r="65" spans="1:21" x14ac:dyDescent="0.2">
      <c r="A65" s="41" t="s">
        <v>97</v>
      </c>
      <c r="B65" s="44">
        <v>2855.9891470753646</v>
      </c>
      <c r="C65" s="44">
        <v>0</v>
      </c>
      <c r="D65" s="44">
        <v>0</v>
      </c>
      <c r="E65" s="44">
        <v>0</v>
      </c>
      <c r="F65" s="44">
        <v>0</v>
      </c>
      <c r="G65" s="44">
        <v>0</v>
      </c>
      <c r="H65" s="44">
        <v>0</v>
      </c>
      <c r="I65" s="44">
        <v>0</v>
      </c>
      <c r="J65" s="44">
        <v>0</v>
      </c>
      <c r="K65" s="44">
        <v>0</v>
      </c>
      <c r="L65" s="44">
        <v>0</v>
      </c>
      <c r="M65" s="44">
        <v>0</v>
      </c>
      <c r="N65" s="44">
        <v>0</v>
      </c>
      <c r="O65" s="44">
        <v>0</v>
      </c>
      <c r="P65" s="44">
        <v>0</v>
      </c>
      <c r="Q65" s="44">
        <v>0</v>
      </c>
      <c r="R65" s="44">
        <v>0</v>
      </c>
      <c r="S65" s="44">
        <v>0</v>
      </c>
      <c r="T65" s="44">
        <v>301.74321197502252</v>
      </c>
      <c r="U65" s="44">
        <f t="shared" si="11"/>
        <v>3157.732359050387</v>
      </c>
    </row>
    <row r="66" spans="1:21" x14ac:dyDescent="0.2">
      <c r="A66" s="41" t="s">
        <v>98</v>
      </c>
      <c r="B66" s="44">
        <v>7766.5042145074658</v>
      </c>
      <c r="C66" s="44">
        <v>0</v>
      </c>
      <c r="D66" s="44">
        <v>0</v>
      </c>
      <c r="E66" s="44">
        <v>0</v>
      </c>
      <c r="F66" s="44">
        <v>0</v>
      </c>
      <c r="G66" s="44">
        <v>0</v>
      </c>
      <c r="H66" s="44">
        <v>0</v>
      </c>
      <c r="I66" s="44">
        <v>0</v>
      </c>
      <c r="J66" s="44">
        <v>0</v>
      </c>
      <c r="K66" s="44">
        <v>0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0</v>
      </c>
      <c r="R66" s="44">
        <v>0</v>
      </c>
      <c r="S66" s="44">
        <v>0</v>
      </c>
      <c r="T66" s="44">
        <v>0</v>
      </c>
      <c r="U66" s="44">
        <f t="shared" si="11"/>
        <v>7766.5042145074658</v>
      </c>
    </row>
    <row r="67" spans="1:21" x14ac:dyDescent="0.2">
      <c r="A67" s="41" t="s">
        <v>99</v>
      </c>
      <c r="B67" s="44">
        <v>2404.7808425746825</v>
      </c>
      <c r="C67" s="44">
        <v>0</v>
      </c>
      <c r="D67" s="44">
        <v>0</v>
      </c>
      <c r="E67" s="44">
        <v>0</v>
      </c>
      <c r="F67" s="44">
        <v>0</v>
      </c>
      <c r="G67" s="44">
        <v>0</v>
      </c>
      <c r="H67" s="44">
        <v>0</v>
      </c>
      <c r="I67" s="44">
        <v>0</v>
      </c>
      <c r="J67" s="44">
        <v>0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0</v>
      </c>
      <c r="R67" s="44">
        <v>0</v>
      </c>
      <c r="S67" s="44">
        <v>0</v>
      </c>
      <c r="T67" s="44">
        <v>0</v>
      </c>
      <c r="U67" s="44">
        <f t="shared" si="11"/>
        <v>2404.7808425746825</v>
      </c>
    </row>
    <row r="68" spans="1:21" x14ac:dyDescent="0.2">
      <c r="A68" s="41" t="s">
        <v>278</v>
      </c>
      <c r="B68" s="44">
        <v>14424.330860458222</v>
      </c>
      <c r="C68" s="44">
        <v>0</v>
      </c>
      <c r="D68" s="44">
        <v>0</v>
      </c>
      <c r="E68" s="44">
        <v>0</v>
      </c>
      <c r="F68" s="44">
        <v>0</v>
      </c>
      <c r="G68" s="44">
        <v>0</v>
      </c>
      <c r="H68" s="44">
        <v>0</v>
      </c>
      <c r="I68" s="44">
        <v>0</v>
      </c>
      <c r="J68" s="44">
        <v>0</v>
      </c>
      <c r="K68" s="44">
        <v>0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0</v>
      </c>
      <c r="R68" s="44">
        <v>0</v>
      </c>
      <c r="S68" s="44">
        <v>0</v>
      </c>
      <c r="T68" s="44">
        <v>0</v>
      </c>
      <c r="U68" s="44">
        <f t="shared" si="11"/>
        <v>14424.330860458222</v>
      </c>
    </row>
    <row r="69" spans="1:21" x14ac:dyDescent="0.2">
      <c r="A69" s="41" t="s">
        <v>100</v>
      </c>
      <c r="B69" s="44">
        <v>17258.670735276319</v>
      </c>
      <c r="C69" s="44">
        <v>0</v>
      </c>
      <c r="D69" s="44">
        <v>0</v>
      </c>
      <c r="E69" s="44">
        <v>0</v>
      </c>
      <c r="F69" s="44">
        <v>0</v>
      </c>
      <c r="G69" s="44">
        <v>0</v>
      </c>
      <c r="H69" s="44">
        <v>0</v>
      </c>
      <c r="I69" s="44">
        <v>0</v>
      </c>
      <c r="J69" s="44">
        <v>0</v>
      </c>
      <c r="K69" s="44">
        <v>0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0</v>
      </c>
      <c r="R69" s="44">
        <v>0</v>
      </c>
      <c r="S69" s="44">
        <v>0</v>
      </c>
      <c r="T69" s="44">
        <v>65.69550930466059</v>
      </c>
      <c r="U69" s="44">
        <f t="shared" si="11"/>
        <v>17324.366244580979</v>
      </c>
    </row>
    <row r="70" spans="1:21" ht="10.5" x14ac:dyDescent="0.25">
      <c r="A70" s="45" t="s">
        <v>101</v>
      </c>
      <c r="B70" s="46">
        <f t="shared" ref="B70:U70" si="12">SUM(B61:B69)</f>
        <v>205583.22333662969</v>
      </c>
      <c r="C70" s="46">
        <f t="shared" si="12"/>
        <v>0</v>
      </c>
      <c r="D70" s="46">
        <f t="shared" si="12"/>
        <v>0</v>
      </c>
      <c r="E70" s="46">
        <f t="shared" si="12"/>
        <v>0</v>
      </c>
      <c r="F70" s="46">
        <f t="shared" si="12"/>
        <v>0</v>
      </c>
      <c r="G70" s="46">
        <f t="shared" si="12"/>
        <v>0</v>
      </c>
      <c r="H70" s="46">
        <f t="shared" si="12"/>
        <v>0</v>
      </c>
      <c r="I70" s="46">
        <f t="shared" si="12"/>
        <v>0</v>
      </c>
      <c r="J70" s="46">
        <f t="shared" si="12"/>
        <v>0</v>
      </c>
      <c r="K70" s="46">
        <f t="shared" si="12"/>
        <v>0</v>
      </c>
      <c r="L70" s="46">
        <f t="shared" si="12"/>
        <v>0</v>
      </c>
      <c r="M70" s="46">
        <f t="shared" si="12"/>
        <v>0</v>
      </c>
      <c r="N70" s="46">
        <f t="shared" si="12"/>
        <v>0</v>
      </c>
      <c r="O70" s="46">
        <f t="shared" si="12"/>
        <v>0</v>
      </c>
      <c r="P70" s="46">
        <f t="shared" si="12"/>
        <v>0</v>
      </c>
      <c r="Q70" s="46">
        <f t="shared" si="12"/>
        <v>0</v>
      </c>
      <c r="R70" s="46">
        <f t="shared" si="12"/>
        <v>0</v>
      </c>
      <c r="S70" s="46">
        <f t="shared" si="12"/>
        <v>0</v>
      </c>
      <c r="T70" s="46">
        <f t="shared" si="12"/>
        <v>4348.8944983493566</v>
      </c>
      <c r="U70" s="46">
        <f t="shared" si="12"/>
        <v>209932.11783497903</v>
      </c>
    </row>
    <row r="71" spans="1:21" ht="10.5" x14ac:dyDescent="0.25">
      <c r="A71" s="40" t="s">
        <v>102</v>
      </c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</row>
    <row r="72" spans="1:21" x14ac:dyDescent="0.2">
      <c r="A72" s="41" t="s">
        <v>103</v>
      </c>
      <c r="B72" s="44">
        <v>66195.740479111395</v>
      </c>
      <c r="C72" s="44">
        <v>0</v>
      </c>
      <c r="D72" s="44">
        <v>0</v>
      </c>
      <c r="E72" s="44">
        <v>7479.9034282477623</v>
      </c>
      <c r="F72" s="44">
        <v>0</v>
      </c>
      <c r="G72" s="44">
        <v>7479.9034282477623</v>
      </c>
      <c r="H72" s="44">
        <v>0</v>
      </c>
      <c r="I72" s="44">
        <v>0</v>
      </c>
      <c r="J72" s="44">
        <v>0</v>
      </c>
      <c r="K72" s="44">
        <v>0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0</v>
      </c>
      <c r="R72" s="44">
        <v>0</v>
      </c>
      <c r="S72" s="44">
        <v>0</v>
      </c>
      <c r="T72" s="44">
        <v>0</v>
      </c>
      <c r="U72" s="44">
        <f t="shared" ref="U72:U77" si="13">SUM(B72:T72)</f>
        <v>81155.547335606927</v>
      </c>
    </row>
    <row r="73" spans="1:21" x14ac:dyDescent="0.2">
      <c r="A73" s="41" t="s">
        <v>104</v>
      </c>
      <c r="B73" s="44">
        <v>6292.8305427548557</v>
      </c>
      <c r="C73" s="44">
        <v>0</v>
      </c>
      <c r="D73" s="44">
        <v>0</v>
      </c>
      <c r="E73" s="44">
        <v>15064.763222169719</v>
      </c>
      <c r="F73" s="44">
        <v>0</v>
      </c>
      <c r="G73" s="44">
        <v>2511.3809223364165</v>
      </c>
      <c r="H73" s="44">
        <v>463.65861720657495</v>
      </c>
      <c r="I73" s="44">
        <v>0</v>
      </c>
      <c r="J73" s="44">
        <v>0</v>
      </c>
      <c r="K73" s="44">
        <v>0</v>
      </c>
      <c r="L73" s="44">
        <v>0</v>
      </c>
      <c r="M73" s="44">
        <v>0</v>
      </c>
      <c r="N73" s="44">
        <v>11106.593340679727</v>
      </c>
      <c r="O73" s="44">
        <v>0</v>
      </c>
      <c r="P73" s="44">
        <v>0</v>
      </c>
      <c r="Q73" s="44">
        <v>0</v>
      </c>
      <c r="R73" s="44">
        <v>0</v>
      </c>
      <c r="S73" s="44">
        <v>0</v>
      </c>
      <c r="T73" s="44">
        <v>3297.4915770837524</v>
      </c>
      <c r="U73" s="44">
        <f t="shared" si="13"/>
        <v>38736.718222231051</v>
      </c>
    </row>
    <row r="74" spans="1:21" x14ac:dyDescent="0.2">
      <c r="A74" s="41" t="s">
        <v>105</v>
      </c>
      <c r="B74" s="44">
        <v>186987.34440819224</v>
      </c>
      <c r="C74" s="44">
        <v>0</v>
      </c>
      <c r="D74" s="44">
        <v>0</v>
      </c>
      <c r="E74" s="44">
        <v>0</v>
      </c>
      <c r="F74" s="44">
        <v>0</v>
      </c>
      <c r="G74" s="44">
        <v>0</v>
      </c>
      <c r="H74" s="44">
        <v>0</v>
      </c>
      <c r="I74" s="44">
        <v>0</v>
      </c>
      <c r="J74" s="44">
        <v>0</v>
      </c>
      <c r="K74" s="44">
        <v>0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0</v>
      </c>
      <c r="R74" s="44">
        <v>0</v>
      </c>
      <c r="S74" s="44">
        <v>0</v>
      </c>
      <c r="T74" s="44">
        <v>3680.6517229109913</v>
      </c>
      <c r="U74" s="44">
        <f t="shared" si="13"/>
        <v>190667.99613110322</v>
      </c>
    </row>
    <row r="75" spans="1:21" x14ac:dyDescent="0.2">
      <c r="A75" s="41" t="s">
        <v>279</v>
      </c>
      <c r="B75" s="44">
        <v>1526.2233957886494</v>
      </c>
      <c r="C75" s="44">
        <v>0</v>
      </c>
      <c r="D75" s="44">
        <v>0</v>
      </c>
      <c r="E75" s="44">
        <v>0</v>
      </c>
      <c r="F75" s="44">
        <v>0</v>
      </c>
      <c r="G75" s="44">
        <v>0</v>
      </c>
      <c r="H75" s="44">
        <v>0</v>
      </c>
      <c r="I75" s="44">
        <v>0</v>
      </c>
      <c r="J75" s="44">
        <v>0</v>
      </c>
      <c r="K75" s="44">
        <v>0</v>
      </c>
      <c r="L75" s="44">
        <v>0</v>
      </c>
      <c r="M75" s="44">
        <v>0</v>
      </c>
      <c r="N75" s="44">
        <v>0</v>
      </c>
      <c r="O75" s="44">
        <v>0</v>
      </c>
      <c r="P75" s="44">
        <v>0</v>
      </c>
      <c r="Q75" s="44">
        <v>0</v>
      </c>
      <c r="R75" s="44">
        <v>0</v>
      </c>
      <c r="S75" s="44">
        <v>0</v>
      </c>
      <c r="T75" s="44">
        <v>0</v>
      </c>
      <c r="U75" s="44">
        <f t="shared" si="13"/>
        <v>1526.2233957886494</v>
      </c>
    </row>
    <row r="76" spans="1:21" x14ac:dyDescent="0.2">
      <c r="A76" s="41" t="s">
        <v>106</v>
      </c>
      <c r="B76" s="44">
        <v>68461.652137397905</v>
      </c>
      <c r="C76" s="44">
        <v>0</v>
      </c>
      <c r="D76" s="44">
        <v>0</v>
      </c>
      <c r="E76" s="44">
        <v>0</v>
      </c>
      <c r="F76" s="44">
        <v>0</v>
      </c>
      <c r="G76" s="44">
        <v>0</v>
      </c>
      <c r="H76" s="44">
        <v>0</v>
      </c>
      <c r="I76" s="44">
        <v>0</v>
      </c>
      <c r="J76" s="44">
        <v>0</v>
      </c>
      <c r="K76" s="44">
        <v>0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0</v>
      </c>
      <c r="R76" s="44">
        <v>0</v>
      </c>
      <c r="S76" s="44">
        <v>0</v>
      </c>
      <c r="T76" s="44">
        <v>1192.6321800354908</v>
      </c>
      <c r="U76" s="44">
        <f t="shared" si="13"/>
        <v>69654.284317433398</v>
      </c>
    </row>
    <row r="77" spans="1:21" x14ac:dyDescent="0.2">
      <c r="A77" s="41" t="s">
        <v>107</v>
      </c>
      <c r="B77" s="44">
        <v>65000</v>
      </c>
      <c r="C77" s="44">
        <v>0</v>
      </c>
      <c r="D77" s="44">
        <v>0</v>
      </c>
      <c r="E77" s="44">
        <v>0</v>
      </c>
      <c r="F77" s="44">
        <v>0</v>
      </c>
      <c r="G77" s="44">
        <v>0</v>
      </c>
      <c r="H77" s="44">
        <v>0</v>
      </c>
      <c r="I77" s="44">
        <v>0</v>
      </c>
      <c r="J77" s="44">
        <v>0</v>
      </c>
      <c r="K77" s="44">
        <v>0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0</v>
      </c>
      <c r="R77" s="44">
        <v>0</v>
      </c>
      <c r="S77" s="44">
        <v>0</v>
      </c>
      <c r="T77" s="44">
        <v>0</v>
      </c>
      <c r="U77" s="44">
        <f t="shared" si="13"/>
        <v>65000</v>
      </c>
    </row>
    <row r="78" spans="1:21" ht="10.5" x14ac:dyDescent="0.25">
      <c r="A78" s="45" t="s">
        <v>108</v>
      </c>
      <c r="B78" s="46">
        <f t="shared" ref="B78:U78" si="14">SUM(B72:B77)</f>
        <v>394463.79096324509</v>
      </c>
      <c r="C78" s="46">
        <f t="shared" si="14"/>
        <v>0</v>
      </c>
      <c r="D78" s="46">
        <f t="shared" si="14"/>
        <v>0</v>
      </c>
      <c r="E78" s="46">
        <f t="shared" si="14"/>
        <v>22544.666650417479</v>
      </c>
      <c r="F78" s="46">
        <f t="shared" si="14"/>
        <v>0</v>
      </c>
      <c r="G78" s="46">
        <f t="shared" si="14"/>
        <v>9991.2843505841793</v>
      </c>
      <c r="H78" s="46">
        <f t="shared" si="14"/>
        <v>463.65861720657495</v>
      </c>
      <c r="I78" s="46">
        <f t="shared" si="14"/>
        <v>0</v>
      </c>
      <c r="J78" s="46">
        <f t="shared" si="14"/>
        <v>0</v>
      </c>
      <c r="K78" s="46">
        <f t="shared" si="14"/>
        <v>0</v>
      </c>
      <c r="L78" s="46">
        <f t="shared" si="14"/>
        <v>0</v>
      </c>
      <c r="M78" s="46">
        <f t="shared" si="14"/>
        <v>0</v>
      </c>
      <c r="N78" s="46">
        <f t="shared" si="14"/>
        <v>11106.593340679727</v>
      </c>
      <c r="O78" s="46">
        <f t="shared" si="14"/>
        <v>0</v>
      </c>
      <c r="P78" s="46">
        <f t="shared" si="14"/>
        <v>0</v>
      </c>
      <c r="Q78" s="46">
        <f t="shared" si="14"/>
        <v>0</v>
      </c>
      <c r="R78" s="46">
        <f t="shared" si="14"/>
        <v>0</v>
      </c>
      <c r="S78" s="46">
        <f t="shared" si="14"/>
        <v>0</v>
      </c>
      <c r="T78" s="46">
        <f t="shared" si="14"/>
        <v>8170.7754800302346</v>
      </c>
      <c r="U78" s="46">
        <f t="shared" si="14"/>
        <v>446740.76940216322</v>
      </c>
    </row>
    <row r="79" spans="1:21" ht="10.5" x14ac:dyDescent="0.25">
      <c r="A79" s="40" t="s">
        <v>109</v>
      </c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</row>
    <row r="80" spans="1:21" x14ac:dyDescent="0.2">
      <c r="A80" s="41" t="s">
        <v>110</v>
      </c>
      <c r="B80" s="44">
        <v>19161.401584244311</v>
      </c>
      <c r="C80" s="44">
        <v>0</v>
      </c>
      <c r="D80" s="44">
        <v>0</v>
      </c>
      <c r="E80" s="44">
        <v>0</v>
      </c>
      <c r="F80" s="44">
        <v>0</v>
      </c>
      <c r="G80" s="44">
        <v>0</v>
      </c>
      <c r="H80" s="44">
        <v>0</v>
      </c>
      <c r="I80" s="44">
        <v>0</v>
      </c>
      <c r="J80" s="44">
        <v>0</v>
      </c>
      <c r="K80" s="44">
        <v>0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0</v>
      </c>
      <c r="R80" s="44">
        <v>0</v>
      </c>
      <c r="S80" s="44">
        <v>0</v>
      </c>
      <c r="T80" s="44">
        <v>0</v>
      </c>
      <c r="U80" s="44">
        <f t="shared" ref="U80:U85" si="15">SUM(B80:T80)</f>
        <v>19161.401584244311</v>
      </c>
    </row>
    <row r="81" spans="1:21" x14ac:dyDescent="0.2">
      <c r="A81" s="41" t="s">
        <v>111</v>
      </c>
      <c r="B81" s="44">
        <v>9907.4889838891777</v>
      </c>
      <c r="C81" s="44">
        <v>0</v>
      </c>
      <c r="D81" s="44">
        <v>0</v>
      </c>
      <c r="E81" s="44">
        <v>0</v>
      </c>
      <c r="F81" s="44">
        <v>0</v>
      </c>
      <c r="G81" s="44">
        <v>0</v>
      </c>
      <c r="H81" s="44">
        <v>0</v>
      </c>
      <c r="I81" s="44">
        <v>0</v>
      </c>
      <c r="J81" s="44">
        <v>0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0</v>
      </c>
      <c r="R81" s="44">
        <v>0</v>
      </c>
      <c r="S81" s="44">
        <v>0</v>
      </c>
      <c r="T81" s="44">
        <v>0</v>
      </c>
      <c r="U81" s="44">
        <f t="shared" si="15"/>
        <v>9907.4889838891777</v>
      </c>
    </row>
    <row r="82" spans="1:21" x14ac:dyDescent="0.2">
      <c r="A82" s="41" t="s">
        <v>112</v>
      </c>
      <c r="B82" s="44">
        <v>6372.4114496956372</v>
      </c>
      <c r="C82" s="44">
        <v>0</v>
      </c>
      <c r="D82" s="44">
        <v>0</v>
      </c>
      <c r="E82" s="44">
        <v>0</v>
      </c>
      <c r="F82" s="44">
        <v>0</v>
      </c>
      <c r="G82" s="44">
        <v>0</v>
      </c>
      <c r="H82" s="44">
        <v>0</v>
      </c>
      <c r="I82" s="44">
        <v>0</v>
      </c>
      <c r="J82" s="44">
        <v>0</v>
      </c>
      <c r="K82" s="44">
        <v>0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0</v>
      </c>
      <c r="R82" s="44">
        <v>0</v>
      </c>
      <c r="S82" s="44">
        <v>0</v>
      </c>
      <c r="T82" s="44">
        <v>0</v>
      </c>
      <c r="U82" s="44">
        <f t="shared" si="15"/>
        <v>6372.4114496956372</v>
      </c>
    </row>
    <row r="83" spans="1:21" x14ac:dyDescent="0.2">
      <c r="A83" s="41" t="s">
        <v>113</v>
      </c>
      <c r="B83" s="44">
        <v>159451.22777020087</v>
      </c>
      <c r="C83" s="44">
        <v>0</v>
      </c>
      <c r="D83" s="44">
        <v>0</v>
      </c>
      <c r="E83" s="44">
        <v>1472.8638245739658</v>
      </c>
      <c r="F83" s="44">
        <v>0</v>
      </c>
      <c r="G83" s="44">
        <v>339.00828358871343</v>
      </c>
      <c r="H83" s="44">
        <v>0</v>
      </c>
      <c r="I83" s="44">
        <v>0</v>
      </c>
      <c r="J83" s="44">
        <v>0</v>
      </c>
      <c r="K83" s="44">
        <v>0</v>
      </c>
      <c r="L83" s="44">
        <v>0</v>
      </c>
      <c r="M83" s="44">
        <v>0</v>
      </c>
      <c r="N83" s="44">
        <v>1400.2085214533918</v>
      </c>
      <c r="O83" s="44">
        <v>0</v>
      </c>
      <c r="P83" s="44">
        <v>0</v>
      </c>
      <c r="Q83" s="44">
        <v>0</v>
      </c>
      <c r="R83" s="44">
        <v>0</v>
      </c>
      <c r="S83" s="44">
        <v>0</v>
      </c>
      <c r="T83" s="44">
        <v>31.460091618982801</v>
      </c>
      <c r="U83" s="44">
        <f t="shared" si="15"/>
        <v>162694.76849143594</v>
      </c>
    </row>
    <row r="84" spans="1:21" x14ac:dyDescent="0.2">
      <c r="A84" s="41" t="s">
        <v>114</v>
      </c>
      <c r="B84" s="44">
        <v>344.92836125887209</v>
      </c>
      <c r="C84" s="44">
        <v>0</v>
      </c>
      <c r="D84" s="44">
        <v>0</v>
      </c>
      <c r="E84" s="44">
        <v>0</v>
      </c>
      <c r="F84" s="44">
        <v>0</v>
      </c>
      <c r="G84" s="44">
        <v>0</v>
      </c>
      <c r="H84" s="44">
        <v>0</v>
      </c>
      <c r="I84" s="44">
        <v>0</v>
      </c>
      <c r="J84" s="44">
        <v>0</v>
      </c>
      <c r="K84" s="44">
        <v>0</v>
      </c>
      <c r="L84" s="44">
        <v>0</v>
      </c>
      <c r="M84" s="44">
        <v>0</v>
      </c>
      <c r="N84" s="44">
        <v>0</v>
      </c>
      <c r="O84" s="44">
        <v>0</v>
      </c>
      <c r="P84" s="44">
        <v>0</v>
      </c>
      <c r="Q84" s="44">
        <v>0</v>
      </c>
      <c r="R84" s="44">
        <v>0</v>
      </c>
      <c r="S84" s="44">
        <v>0</v>
      </c>
      <c r="T84" s="44">
        <v>0</v>
      </c>
      <c r="U84" s="44">
        <f t="shared" si="15"/>
        <v>344.92836125887209</v>
      </c>
    </row>
    <row r="85" spans="1:21" x14ac:dyDescent="0.2">
      <c r="A85" s="41" t="s">
        <v>280</v>
      </c>
      <c r="B85" s="44">
        <v>1698.5526819315389</v>
      </c>
      <c r="C85" s="44">
        <v>0</v>
      </c>
      <c r="D85" s="44">
        <v>0</v>
      </c>
      <c r="E85" s="44">
        <v>0</v>
      </c>
      <c r="F85" s="44">
        <v>0</v>
      </c>
      <c r="G85" s="44">
        <v>0</v>
      </c>
      <c r="H85" s="44">
        <v>0</v>
      </c>
      <c r="I85" s="44">
        <v>0</v>
      </c>
      <c r="J85" s="44">
        <v>0</v>
      </c>
      <c r="K85" s="44">
        <v>0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0</v>
      </c>
      <c r="R85" s="44">
        <v>0</v>
      </c>
      <c r="S85" s="44">
        <v>0</v>
      </c>
      <c r="T85" s="44">
        <v>0</v>
      </c>
      <c r="U85" s="44">
        <f t="shared" si="15"/>
        <v>1698.5526819315389</v>
      </c>
    </row>
    <row r="86" spans="1:21" ht="10.5" x14ac:dyDescent="0.25">
      <c r="A86" s="45" t="s">
        <v>115</v>
      </c>
      <c r="B86" s="46">
        <f t="shared" ref="B86:U86" si="16">SUM(B80:B85)</f>
        <v>196936.0108312204</v>
      </c>
      <c r="C86" s="46">
        <f t="shared" si="16"/>
        <v>0</v>
      </c>
      <c r="D86" s="46">
        <f t="shared" si="16"/>
        <v>0</v>
      </c>
      <c r="E86" s="46">
        <f t="shared" si="16"/>
        <v>1472.8638245739658</v>
      </c>
      <c r="F86" s="46">
        <f t="shared" si="16"/>
        <v>0</v>
      </c>
      <c r="G86" s="46">
        <f t="shared" si="16"/>
        <v>339.00828358871343</v>
      </c>
      <c r="H86" s="46">
        <f t="shared" si="16"/>
        <v>0</v>
      </c>
      <c r="I86" s="46">
        <f t="shared" si="16"/>
        <v>0</v>
      </c>
      <c r="J86" s="46">
        <f t="shared" si="16"/>
        <v>0</v>
      </c>
      <c r="K86" s="46">
        <f t="shared" si="16"/>
        <v>0</v>
      </c>
      <c r="L86" s="46">
        <f t="shared" si="16"/>
        <v>0</v>
      </c>
      <c r="M86" s="46">
        <f t="shared" si="16"/>
        <v>0</v>
      </c>
      <c r="N86" s="46">
        <f t="shared" si="16"/>
        <v>1400.2085214533918</v>
      </c>
      <c r="O86" s="46">
        <f t="shared" si="16"/>
        <v>0</v>
      </c>
      <c r="P86" s="46">
        <f t="shared" si="16"/>
        <v>0</v>
      </c>
      <c r="Q86" s="46">
        <f t="shared" si="16"/>
        <v>0</v>
      </c>
      <c r="R86" s="46">
        <f t="shared" si="16"/>
        <v>0</v>
      </c>
      <c r="S86" s="46">
        <f t="shared" si="16"/>
        <v>0</v>
      </c>
      <c r="T86" s="46">
        <f t="shared" si="16"/>
        <v>31.460091618982801</v>
      </c>
      <c r="U86" s="46">
        <f t="shared" si="16"/>
        <v>200179.55155245546</v>
      </c>
    </row>
    <row r="87" spans="1:21" ht="10.5" x14ac:dyDescent="0.25">
      <c r="A87" s="40" t="s">
        <v>116</v>
      </c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</row>
    <row r="88" spans="1:21" x14ac:dyDescent="0.2">
      <c r="A88" s="41" t="s">
        <v>117</v>
      </c>
      <c r="B88" s="44">
        <v>68073.97123430566</v>
      </c>
      <c r="C88" s="44">
        <v>0</v>
      </c>
      <c r="D88" s="44">
        <v>0</v>
      </c>
      <c r="E88" s="44">
        <v>0</v>
      </c>
      <c r="F88" s="44">
        <v>0</v>
      </c>
      <c r="G88" s="44">
        <v>0</v>
      </c>
      <c r="H88" s="44">
        <v>0</v>
      </c>
      <c r="I88" s="44">
        <v>0</v>
      </c>
      <c r="J88" s="44">
        <v>0</v>
      </c>
      <c r="K88" s="44">
        <v>0</v>
      </c>
      <c r="L88" s="44">
        <v>0</v>
      </c>
      <c r="M88" s="44">
        <v>0</v>
      </c>
      <c r="N88" s="44">
        <v>0</v>
      </c>
      <c r="O88" s="44">
        <v>0</v>
      </c>
      <c r="P88" s="44">
        <v>0</v>
      </c>
      <c r="Q88" s="44">
        <v>0</v>
      </c>
      <c r="R88" s="44">
        <v>0</v>
      </c>
      <c r="S88" s="44">
        <v>0</v>
      </c>
      <c r="T88" s="44">
        <v>0</v>
      </c>
      <c r="U88" s="44">
        <f t="shared" ref="U88:U98" si="17">SUM(B88:T88)</f>
        <v>68073.97123430566</v>
      </c>
    </row>
    <row r="89" spans="1:21" x14ac:dyDescent="0.2">
      <c r="A89" s="41" t="s">
        <v>118</v>
      </c>
      <c r="B89" s="44">
        <v>15305.946703310326</v>
      </c>
      <c r="C89" s="44">
        <v>0</v>
      </c>
      <c r="D89" s="44">
        <v>0</v>
      </c>
      <c r="E89" s="44">
        <v>0</v>
      </c>
      <c r="F89" s="44">
        <v>0</v>
      </c>
      <c r="G89" s="44">
        <v>0</v>
      </c>
      <c r="H89" s="44">
        <v>0</v>
      </c>
      <c r="I89" s="44">
        <v>0</v>
      </c>
      <c r="J89" s="44">
        <v>0</v>
      </c>
      <c r="K89" s="44">
        <v>0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0</v>
      </c>
      <c r="R89" s="44">
        <v>0</v>
      </c>
      <c r="S89" s="44">
        <v>0</v>
      </c>
      <c r="T89" s="44">
        <v>0</v>
      </c>
      <c r="U89" s="44">
        <f t="shared" si="17"/>
        <v>15305.946703310326</v>
      </c>
    </row>
    <row r="90" spans="1:21" x14ac:dyDescent="0.2">
      <c r="A90" s="41" t="s">
        <v>119</v>
      </c>
      <c r="B90" s="44">
        <v>1362.27</v>
      </c>
      <c r="C90" s="44">
        <v>0</v>
      </c>
      <c r="D90" s="44">
        <v>0</v>
      </c>
      <c r="E90" s="44">
        <v>0</v>
      </c>
      <c r="F90" s="44">
        <v>0</v>
      </c>
      <c r="G90" s="44">
        <v>0</v>
      </c>
      <c r="H90" s="44">
        <v>0</v>
      </c>
      <c r="I90" s="44">
        <v>0</v>
      </c>
      <c r="J90" s="44">
        <v>0</v>
      </c>
      <c r="K90" s="44">
        <v>0</v>
      </c>
      <c r="L90" s="44">
        <v>0</v>
      </c>
      <c r="M90" s="44">
        <v>0</v>
      </c>
      <c r="N90" s="44">
        <v>0</v>
      </c>
      <c r="O90" s="44">
        <v>0</v>
      </c>
      <c r="P90" s="44">
        <v>0</v>
      </c>
      <c r="Q90" s="44">
        <v>0</v>
      </c>
      <c r="R90" s="44">
        <v>0</v>
      </c>
      <c r="S90" s="44">
        <v>0</v>
      </c>
      <c r="T90" s="44">
        <v>0</v>
      </c>
      <c r="U90" s="44">
        <f t="shared" si="17"/>
        <v>1362.27</v>
      </c>
    </row>
    <row r="91" spans="1:21" x14ac:dyDescent="0.2">
      <c r="A91" s="41" t="s">
        <v>120</v>
      </c>
      <c r="B91" s="44">
        <v>6617.734893201643</v>
      </c>
      <c r="C91" s="44">
        <v>0</v>
      </c>
      <c r="D91" s="44">
        <v>0</v>
      </c>
      <c r="E91" s="44">
        <v>0</v>
      </c>
      <c r="F91" s="44">
        <v>0</v>
      </c>
      <c r="G91" s="44">
        <v>0</v>
      </c>
      <c r="H91" s="44">
        <v>0</v>
      </c>
      <c r="I91" s="44">
        <v>0</v>
      </c>
      <c r="J91" s="44">
        <v>0</v>
      </c>
      <c r="K91" s="44">
        <v>0</v>
      </c>
      <c r="L91" s="44">
        <v>0</v>
      </c>
      <c r="M91" s="44">
        <v>0</v>
      </c>
      <c r="N91" s="44">
        <v>0</v>
      </c>
      <c r="O91" s="44">
        <v>0</v>
      </c>
      <c r="P91" s="44">
        <v>0</v>
      </c>
      <c r="Q91" s="44">
        <v>0</v>
      </c>
      <c r="R91" s="44">
        <v>0</v>
      </c>
      <c r="S91" s="44">
        <v>0</v>
      </c>
      <c r="T91" s="44">
        <v>0</v>
      </c>
      <c r="U91" s="44">
        <f t="shared" si="17"/>
        <v>6617.734893201643</v>
      </c>
    </row>
    <row r="92" spans="1:21" x14ac:dyDescent="0.2">
      <c r="A92" s="41" t="s">
        <v>121</v>
      </c>
      <c r="B92" s="44">
        <v>6133.413515475524</v>
      </c>
      <c r="C92" s="44">
        <v>0</v>
      </c>
      <c r="D92" s="44">
        <v>0</v>
      </c>
      <c r="E92" s="44">
        <v>0</v>
      </c>
      <c r="F92" s="44">
        <v>0</v>
      </c>
      <c r="G92" s="44">
        <v>0</v>
      </c>
      <c r="H92" s="44">
        <v>0</v>
      </c>
      <c r="I92" s="44">
        <v>0</v>
      </c>
      <c r="J92" s="44">
        <v>0</v>
      </c>
      <c r="K92" s="44">
        <v>0</v>
      </c>
      <c r="L92" s="44">
        <v>0</v>
      </c>
      <c r="M92" s="44">
        <v>0</v>
      </c>
      <c r="N92" s="44">
        <v>0</v>
      </c>
      <c r="O92" s="44">
        <v>0</v>
      </c>
      <c r="P92" s="44">
        <v>0</v>
      </c>
      <c r="Q92" s="44">
        <v>0</v>
      </c>
      <c r="R92" s="44">
        <v>0</v>
      </c>
      <c r="S92" s="44">
        <v>0</v>
      </c>
      <c r="T92" s="44">
        <v>0</v>
      </c>
      <c r="U92" s="44">
        <f t="shared" si="17"/>
        <v>6133.413515475524</v>
      </c>
    </row>
    <row r="93" spans="1:21" x14ac:dyDescent="0.2">
      <c r="A93" s="41" t="s">
        <v>122</v>
      </c>
      <c r="B93" s="44">
        <v>166.47899826706811</v>
      </c>
      <c r="C93" s="44">
        <v>0</v>
      </c>
      <c r="D93" s="44">
        <v>0</v>
      </c>
      <c r="E93" s="44">
        <v>0</v>
      </c>
      <c r="F93" s="44">
        <v>0</v>
      </c>
      <c r="G93" s="44">
        <v>0</v>
      </c>
      <c r="H93" s="44">
        <v>0</v>
      </c>
      <c r="I93" s="44">
        <v>0</v>
      </c>
      <c r="J93" s="44">
        <v>0</v>
      </c>
      <c r="K93" s="44">
        <v>0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0</v>
      </c>
      <c r="R93" s="44">
        <v>0</v>
      </c>
      <c r="S93" s="44">
        <v>0</v>
      </c>
      <c r="T93" s="44">
        <v>1342.5</v>
      </c>
      <c r="U93" s="44">
        <f t="shared" si="17"/>
        <v>1508.9789982670682</v>
      </c>
    </row>
    <row r="94" spans="1:21" x14ac:dyDescent="0.2">
      <c r="A94" s="41" t="s">
        <v>281</v>
      </c>
      <c r="B94" s="44">
        <v>238.13843007132749</v>
      </c>
      <c r="C94" s="44">
        <v>0</v>
      </c>
      <c r="D94" s="44">
        <v>0</v>
      </c>
      <c r="E94" s="44">
        <v>0</v>
      </c>
      <c r="F94" s="44">
        <v>0</v>
      </c>
      <c r="G94" s="44">
        <v>0</v>
      </c>
      <c r="H94" s="44">
        <v>0</v>
      </c>
      <c r="I94" s="44">
        <v>0</v>
      </c>
      <c r="J94" s="44">
        <v>0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0</v>
      </c>
      <c r="R94" s="44">
        <v>0</v>
      </c>
      <c r="S94" s="44">
        <v>0</v>
      </c>
      <c r="T94" s="44">
        <v>0</v>
      </c>
      <c r="U94" s="44">
        <f t="shared" si="17"/>
        <v>238.13843007132749</v>
      </c>
    </row>
    <row r="95" spans="1:21" x14ac:dyDescent="0.2">
      <c r="A95" s="41" t="s">
        <v>123</v>
      </c>
      <c r="B95" s="44">
        <v>20332.238286299627</v>
      </c>
      <c r="C95" s="44">
        <v>0</v>
      </c>
      <c r="D95" s="44">
        <v>0</v>
      </c>
      <c r="E95" s="44">
        <v>0</v>
      </c>
      <c r="F95" s="44">
        <v>0</v>
      </c>
      <c r="G95" s="44">
        <v>0</v>
      </c>
      <c r="H95" s="44">
        <v>0</v>
      </c>
      <c r="I95" s="44">
        <v>0</v>
      </c>
      <c r="J95" s="44">
        <v>0</v>
      </c>
      <c r="K95" s="44">
        <v>0</v>
      </c>
      <c r="L95" s="44">
        <v>0</v>
      </c>
      <c r="M95" s="44">
        <v>0</v>
      </c>
      <c r="N95" s="44">
        <v>0</v>
      </c>
      <c r="O95" s="44">
        <v>0</v>
      </c>
      <c r="P95" s="44">
        <v>0</v>
      </c>
      <c r="Q95" s="44">
        <v>0</v>
      </c>
      <c r="R95" s="44">
        <v>0</v>
      </c>
      <c r="S95" s="44">
        <v>0</v>
      </c>
      <c r="T95" s="44">
        <v>191.69466098907654</v>
      </c>
      <c r="U95" s="44">
        <f t="shared" si="17"/>
        <v>20523.932947288704</v>
      </c>
    </row>
    <row r="96" spans="1:21" x14ac:dyDescent="0.2">
      <c r="A96" s="41" t="s">
        <v>282</v>
      </c>
      <c r="B96" s="44">
        <v>8.1369035582039995E-3</v>
      </c>
      <c r="C96" s="44">
        <v>0</v>
      </c>
      <c r="D96" s="44">
        <v>0</v>
      </c>
      <c r="E96" s="44">
        <v>0</v>
      </c>
      <c r="F96" s="44">
        <v>0</v>
      </c>
      <c r="G96" s="44">
        <v>0</v>
      </c>
      <c r="H96" s="44">
        <v>0</v>
      </c>
      <c r="I96" s="44">
        <v>0</v>
      </c>
      <c r="J96" s="44">
        <v>0</v>
      </c>
      <c r="K96" s="44">
        <v>0</v>
      </c>
      <c r="L96" s="44">
        <v>0</v>
      </c>
      <c r="M96" s="44">
        <v>0</v>
      </c>
      <c r="N96" s="44">
        <v>0</v>
      </c>
      <c r="O96" s="44">
        <v>0</v>
      </c>
      <c r="P96" s="44">
        <v>0</v>
      </c>
      <c r="Q96" s="44">
        <v>0</v>
      </c>
      <c r="R96" s="44">
        <v>0</v>
      </c>
      <c r="S96" s="44">
        <v>0</v>
      </c>
      <c r="T96" s="44">
        <v>0</v>
      </c>
      <c r="U96" s="44">
        <f t="shared" si="17"/>
        <v>8.1369035582039995E-3</v>
      </c>
    </row>
    <row r="97" spans="1:21" x14ac:dyDescent="0.2">
      <c r="A97" s="41" t="s">
        <v>124</v>
      </c>
      <c r="B97" s="44">
        <v>5013.1667444990062</v>
      </c>
      <c r="C97" s="44">
        <v>0</v>
      </c>
      <c r="D97" s="44">
        <v>0</v>
      </c>
      <c r="E97" s="44">
        <v>0</v>
      </c>
      <c r="F97" s="44">
        <v>0</v>
      </c>
      <c r="G97" s="44">
        <v>0</v>
      </c>
      <c r="H97" s="44">
        <v>0</v>
      </c>
      <c r="I97" s="44">
        <v>0</v>
      </c>
      <c r="J97" s="44">
        <v>0</v>
      </c>
      <c r="K97" s="44">
        <v>0</v>
      </c>
      <c r="L97" s="44">
        <v>0</v>
      </c>
      <c r="M97" s="44">
        <v>0</v>
      </c>
      <c r="N97" s="44">
        <v>0</v>
      </c>
      <c r="O97" s="44">
        <v>0</v>
      </c>
      <c r="P97" s="44">
        <v>0</v>
      </c>
      <c r="Q97" s="44">
        <v>0</v>
      </c>
      <c r="R97" s="44">
        <v>0</v>
      </c>
      <c r="S97" s="44">
        <v>0</v>
      </c>
      <c r="T97" s="44">
        <v>2894.21266044</v>
      </c>
      <c r="U97" s="44">
        <f t="shared" si="17"/>
        <v>7907.3794049390062</v>
      </c>
    </row>
    <row r="98" spans="1:21" x14ac:dyDescent="0.2">
      <c r="A98" s="41" t="s">
        <v>125</v>
      </c>
      <c r="B98" s="44">
        <v>212.46048057505163</v>
      </c>
      <c r="C98" s="44">
        <v>0</v>
      </c>
      <c r="D98" s="44">
        <v>0</v>
      </c>
      <c r="E98" s="44">
        <v>0</v>
      </c>
      <c r="F98" s="44">
        <v>0</v>
      </c>
      <c r="G98" s="44">
        <v>0</v>
      </c>
      <c r="H98" s="44">
        <v>0</v>
      </c>
      <c r="I98" s="44">
        <v>0</v>
      </c>
      <c r="J98" s="44">
        <v>0</v>
      </c>
      <c r="K98" s="44">
        <v>0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0</v>
      </c>
      <c r="R98" s="44">
        <v>0</v>
      </c>
      <c r="S98" s="44">
        <v>0</v>
      </c>
      <c r="T98" s="44">
        <v>0</v>
      </c>
      <c r="U98" s="44">
        <f t="shared" si="17"/>
        <v>212.46048057505163</v>
      </c>
    </row>
    <row r="99" spans="1:21" ht="10.5" x14ac:dyDescent="0.25">
      <c r="A99" s="45" t="s">
        <v>126</v>
      </c>
      <c r="B99" s="46">
        <f t="shared" ref="B99:U99" si="18">SUM(B88:B98)</f>
        <v>123455.8274229088</v>
      </c>
      <c r="C99" s="46">
        <f t="shared" si="18"/>
        <v>0</v>
      </c>
      <c r="D99" s="46">
        <f t="shared" si="18"/>
        <v>0</v>
      </c>
      <c r="E99" s="46">
        <f t="shared" si="18"/>
        <v>0</v>
      </c>
      <c r="F99" s="46">
        <f t="shared" si="18"/>
        <v>0</v>
      </c>
      <c r="G99" s="46">
        <f t="shared" si="18"/>
        <v>0</v>
      </c>
      <c r="H99" s="46">
        <f t="shared" si="18"/>
        <v>0</v>
      </c>
      <c r="I99" s="46">
        <f t="shared" si="18"/>
        <v>0</v>
      </c>
      <c r="J99" s="46">
        <f t="shared" si="18"/>
        <v>0</v>
      </c>
      <c r="K99" s="46">
        <f t="shared" si="18"/>
        <v>0</v>
      </c>
      <c r="L99" s="46">
        <f t="shared" si="18"/>
        <v>0</v>
      </c>
      <c r="M99" s="46">
        <f t="shared" si="18"/>
        <v>0</v>
      </c>
      <c r="N99" s="46">
        <f t="shared" si="18"/>
        <v>0</v>
      </c>
      <c r="O99" s="46">
        <f t="shared" si="18"/>
        <v>0</v>
      </c>
      <c r="P99" s="46">
        <f t="shared" si="18"/>
        <v>0</v>
      </c>
      <c r="Q99" s="46">
        <f t="shared" si="18"/>
        <v>0</v>
      </c>
      <c r="R99" s="46">
        <f t="shared" si="18"/>
        <v>0</v>
      </c>
      <c r="S99" s="46">
        <f t="shared" si="18"/>
        <v>0</v>
      </c>
      <c r="T99" s="46">
        <f t="shared" si="18"/>
        <v>4428.4073214290765</v>
      </c>
      <c r="U99" s="46">
        <f t="shared" si="18"/>
        <v>127884.23474433788</v>
      </c>
    </row>
    <row r="100" spans="1:21" ht="10.5" x14ac:dyDescent="0.25">
      <c r="A100" s="40" t="s">
        <v>127</v>
      </c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</row>
    <row r="101" spans="1:21" x14ac:dyDescent="0.2">
      <c r="A101" s="41" t="s">
        <v>283</v>
      </c>
      <c r="B101" s="44">
        <v>1041.3512074900523</v>
      </c>
      <c r="C101" s="44">
        <v>0</v>
      </c>
      <c r="D101" s="44">
        <v>0</v>
      </c>
      <c r="E101" s="44">
        <v>0</v>
      </c>
      <c r="F101" s="44">
        <v>0</v>
      </c>
      <c r="G101" s="44">
        <v>0</v>
      </c>
      <c r="H101" s="44">
        <v>0</v>
      </c>
      <c r="I101" s="44">
        <v>0</v>
      </c>
      <c r="J101" s="44">
        <v>0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0</v>
      </c>
      <c r="R101" s="44">
        <v>0</v>
      </c>
      <c r="S101" s="44">
        <v>0</v>
      </c>
      <c r="T101" s="44">
        <v>0</v>
      </c>
      <c r="U101" s="44">
        <f>SUM(B101:T101)</f>
        <v>1041.3512074900523</v>
      </c>
    </row>
    <row r="102" spans="1:21" ht="10.5" x14ac:dyDescent="0.25">
      <c r="A102" s="45" t="s">
        <v>128</v>
      </c>
      <c r="B102" s="46">
        <f t="shared" ref="B102:U102" si="19">SUM(B101)</f>
        <v>1041.3512074900523</v>
      </c>
      <c r="C102" s="46">
        <f t="shared" si="19"/>
        <v>0</v>
      </c>
      <c r="D102" s="46">
        <f t="shared" si="19"/>
        <v>0</v>
      </c>
      <c r="E102" s="46">
        <f t="shared" si="19"/>
        <v>0</v>
      </c>
      <c r="F102" s="46">
        <f t="shared" si="19"/>
        <v>0</v>
      </c>
      <c r="G102" s="46">
        <f t="shared" si="19"/>
        <v>0</v>
      </c>
      <c r="H102" s="46">
        <f t="shared" si="19"/>
        <v>0</v>
      </c>
      <c r="I102" s="46">
        <f t="shared" si="19"/>
        <v>0</v>
      </c>
      <c r="J102" s="46">
        <f t="shared" si="19"/>
        <v>0</v>
      </c>
      <c r="K102" s="46">
        <f t="shared" si="19"/>
        <v>0</v>
      </c>
      <c r="L102" s="46">
        <f t="shared" si="19"/>
        <v>0</v>
      </c>
      <c r="M102" s="46">
        <f t="shared" si="19"/>
        <v>0</v>
      </c>
      <c r="N102" s="46">
        <f t="shared" si="19"/>
        <v>0</v>
      </c>
      <c r="O102" s="46">
        <f t="shared" si="19"/>
        <v>0</v>
      </c>
      <c r="P102" s="46">
        <f t="shared" si="19"/>
        <v>0</v>
      </c>
      <c r="Q102" s="46">
        <f t="shared" si="19"/>
        <v>0</v>
      </c>
      <c r="R102" s="46">
        <f t="shared" si="19"/>
        <v>0</v>
      </c>
      <c r="S102" s="46">
        <f t="shared" si="19"/>
        <v>0</v>
      </c>
      <c r="T102" s="46">
        <f t="shared" si="19"/>
        <v>0</v>
      </c>
      <c r="U102" s="46">
        <f t="shared" si="19"/>
        <v>1041.3512074900523</v>
      </c>
    </row>
    <row r="103" spans="1:21" ht="10.5" x14ac:dyDescent="0.25">
      <c r="A103" s="40" t="s">
        <v>284</v>
      </c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</row>
    <row r="104" spans="1:21" x14ac:dyDescent="0.2">
      <c r="A104" s="41" t="s">
        <v>285</v>
      </c>
      <c r="B104" s="44">
        <v>0</v>
      </c>
      <c r="C104" s="44">
        <v>0</v>
      </c>
      <c r="D104" s="44">
        <v>0</v>
      </c>
      <c r="E104" s="44">
        <v>3907.409870099048</v>
      </c>
      <c r="F104" s="44">
        <v>0</v>
      </c>
      <c r="G104" s="44">
        <v>0</v>
      </c>
      <c r="H104" s="44">
        <v>0</v>
      </c>
      <c r="I104" s="44">
        <v>0</v>
      </c>
      <c r="J104" s="44">
        <v>0</v>
      </c>
      <c r="K104" s="44">
        <v>0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0</v>
      </c>
      <c r="R104" s="44">
        <v>0</v>
      </c>
      <c r="S104" s="44">
        <v>0</v>
      </c>
      <c r="T104" s="44">
        <v>0</v>
      </c>
      <c r="U104" s="44">
        <f>SUM(B104:T104)</f>
        <v>3907.409870099048</v>
      </c>
    </row>
    <row r="105" spans="1:21" ht="10.5" x14ac:dyDescent="0.25">
      <c r="A105" s="45" t="s">
        <v>286</v>
      </c>
      <c r="B105" s="46">
        <f t="shared" ref="B105:U105" si="20">SUM(B104)</f>
        <v>0</v>
      </c>
      <c r="C105" s="46">
        <f t="shared" si="20"/>
        <v>0</v>
      </c>
      <c r="D105" s="46">
        <f t="shared" si="20"/>
        <v>0</v>
      </c>
      <c r="E105" s="46">
        <f t="shared" si="20"/>
        <v>3907.409870099048</v>
      </c>
      <c r="F105" s="46">
        <f t="shared" si="20"/>
        <v>0</v>
      </c>
      <c r="G105" s="46">
        <f t="shared" si="20"/>
        <v>0</v>
      </c>
      <c r="H105" s="46">
        <f t="shared" si="20"/>
        <v>0</v>
      </c>
      <c r="I105" s="46">
        <f t="shared" si="20"/>
        <v>0</v>
      </c>
      <c r="J105" s="46">
        <f t="shared" si="20"/>
        <v>0</v>
      </c>
      <c r="K105" s="46">
        <f t="shared" si="20"/>
        <v>0</v>
      </c>
      <c r="L105" s="46">
        <f t="shared" si="20"/>
        <v>0</v>
      </c>
      <c r="M105" s="46">
        <f t="shared" si="20"/>
        <v>0</v>
      </c>
      <c r="N105" s="46">
        <f t="shared" si="20"/>
        <v>0</v>
      </c>
      <c r="O105" s="46">
        <f t="shared" si="20"/>
        <v>0</v>
      </c>
      <c r="P105" s="46">
        <f t="shared" si="20"/>
        <v>0</v>
      </c>
      <c r="Q105" s="46">
        <f t="shared" si="20"/>
        <v>0</v>
      </c>
      <c r="R105" s="46">
        <f t="shared" si="20"/>
        <v>0</v>
      </c>
      <c r="S105" s="46">
        <f t="shared" si="20"/>
        <v>0</v>
      </c>
      <c r="T105" s="46">
        <f t="shared" si="20"/>
        <v>0</v>
      </c>
      <c r="U105" s="46">
        <f t="shared" si="20"/>
        <v>3907.409870099048</v>
      </c>
    </row>
    <row r="106" spans="1:21" ht="10.5" x14ac:dyDescent="0.25">
      <c r="A106" s="40" t="s">
        <v>129</v>
      </c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</row>
    <row r="107" spans="1:21" x14ac:dyDescent="0.2">
      <c r="A107" s="41" t="s">
        <v>130</v>
      </c>
      <c r="B107" s="44">
        <v>14029.470121524388</v>
      </c>
      <c r="C107" s="44">
        <v>0</v>
      </c>
      <c r="D107" s="44">
        <v>0</v>
      </c>
      <c r="E107" s="44">
        <v>0</v>
      </c>
      <c r="F107" s="44">
        <v>0</v>
      </c>
      <c r="G107" s="44">
        <v>0</v>
      </c>
      <c r="H107" s="44">
        <v>0</v>
      </c>
      <c r="I107" s="44">
        <v>0</v>
      </c>
      <c r="J107" s="44">
        <v>0</v>
      </c>
      <c r="K107" s="44">
        <v>0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0</v>
      </c>
      <c r="R107" s="44">
        <v>0</v>
      </c>
      <c r="S107" s="44">
        <v>0</v>
      </c>
      <c r="T107" s="44">
        <v>0</v>
      </c>
      <c r="U107" s="44">
        <f t="shared" ref="U107:U119" si="21">SUM(B107:T107)</f>
        <v>14029.470121524388</v>
      </c>
    </row>
    <row r="108" spans="1:21" x14ac:dyDescent="0.2">
      <c r="A108" s="41" t="s">
        <v>131</v>
      </c>
      <c r="B108" s="44">
        <v>163802.52041340707</v>
      </c>
      <c r="C108" s="44">
        <v>0</v>
      </c>
      <c r="D108" s="44">
        <v>0</v>
      </c>
      <c r="E108" s="44">
        <v>16128.236196514814</v>
      </c>
      <c r="F108" s="44">
        <v>0</v>
      </c>
      <c r="G108" s="44">
        <v>941.10529596973254</v>
      </c>
      <c r="H108" s="44">
        <v>0</v>
      </c>
      <c r="I108" s="44">
        <v>0</v>
      </c>
      <c r="J108" s="44">
        <v>0</v>
      </c>
      <c r="K108" s="44">
        <v>0</v>
      </c>
      <c r="L108" s="44">
        <v>0</v>
      </c>
      <c r="M108" s="44">
        <v>0</v>
      </c>
      <c r="N108" s="44">
        <v>136.46690128591607</v>
      </c>
      <c r="O108" s="44">
        <v>0</v>
      </c>
      <c r="P108" s="44">
        <v>0</v>
      </c>
      <c r="Q108" s="44">
        <v>0</v>
      </c>
      <c r="R108" s="44">
        <v>0</v>
      </c>
      <c r="S108" s="44">
        <v>0</v>
      </c>
      <c r="T108" s="44">
        <v>2118.6581519062916</v>
      </c>
      <c r="U108" s="44">
        <f t="shared" si="21"/>
        <v>183126.98695908382</v>
      </c>
    </row>
    <row r="109" spans="1:21" x14ac:dyDescent="0.2">
      <c r="A109" s="41" t="s">
        <v>287</v>
      </c>
      <c r="B109" s="44">
        <v>1237.2884119401904</v>
      </c>
      <c r="C109" s="44">
        <v>0</v>
      </c>
      <c r="D109" s="44">
        <v>0</v>
      </c>
      <c r="E109" s="44">
        <v>0</v>
      </c>
      <c r="F109" s="44">
        <v>0</v>
      </c>
      <c r="G109" s="44">
        <v>0</v>
      </c>
      <c r="H109" s="44">
        <v>0</v>
      </c>
      <c r="I109" s="44">
        <v>0</v>
      </c>
      <c r="J109" s="44">
        <v>0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0</v>
      </c>
      <c r="R109" s="44">
        <v>0</v>
      </c>
      <c r="S109" s="44">
        <v>0</v>
      </c>
      <c r="T109" s="44">
        <v>0</v>
      </c>
      <c r="U109" s="44">
        <f t="shared" si="21"/>
        <v>1237.2884119401904</v>
      </c>
    </row>
    <row r="110" spans="1:21" x14ac:dyDescent="0.2">
      <c r="A110" s="41" t="s">
        <v>132</v>
      </c>
      <c r="B110" s="44">
        <v>6042.9003279929739</v>
      </c>
      <c r="C110" s="44">
        <v>0</v>
      </c>
      <c r="D110" s="44">
        <v>0</v>
      </c>
      <c r="E110" s="44">
        <v>0</v>
      </c>
      <c r="F110" s="44">
        <v>0</v>
      </c>
      <c r="G110" s="44">
        <v>0</v>
      </c>
      <c r="H110" s="44">
        <v>680.56220901028269</v>
      </c>
      <c r="I110" s="44">
        <v>0</v>
      </c>
      <c r="J110" s="44">
        <v>0</v>
      </c>
      <c r="K110" s="44">
        <v>0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0</v>
      </c>
      <c r="R110" s="44">
        <v>0</v>
      </c>
      <c r="S110" s="44">
        <v>0</v>
      </c>
      <c r="T110" s="44">
        <v>311.31354620026599</v>
      </c>
      <c r="U110" s="44">
        <f t="shared" si="21"/>
        <v>7034.7760832035219</v>
      </c>
    </row>
    <row r="111" spans="1:21" x14ac:dyDescent="0.2">
      <c r="A111" s="41" t="s">
        <v>133</v>
      </c>
      <c r="B111" s="44">
        <v>3235.841513878911</v>
      </c>
      <c r="C111" s="44">
        <v>0</v>
      </c>
      <c r="D111" s="44">
        <v>0</v>
      </c>
      <c r="E111" s="44">
        <v>0</v>
      </c>
      <c r="F111" s="44">
        <v>0</v>
      </c>
      <c r="G111" s="44">
        <v>0</v>
      </c>
      <c r="H111" s="44">
        <v>0</v>
      </c>
      <c r="I111" s="44">
        <v>0</v>
      </c>
      <c r="J111" s="44">
        <v>0</v>
      </c>
      <c r="K111" s="44">
        <v>0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0</v>
      </c>
      <c r="R111" s="44">
        <v>0</v>
      </c>
      <c r="S111" s="44">
        <v>0</v>
      </c>
      <c r="T111" s="44">
        <v>0</v>
      </c>
      <c r="U111" s="44">
        <f t="shared" si="21"/>
        <v>3235.841513878911</v>
      </c>
    </row>
    <row r="112" spans="1:21" x14ac:dyDescent="0.2">
      <c r="A112" s="41" t="s">
        <v>134</v>
      </c>
      <c r="B112" s="44">
        <v>9318.1570813529597</v>
      </c>
      <c r="C112" s="44">
        <v>0</v>
      </c>
      <c r="D112" s="44">
        <v>0</v>
      </c>
      <c r="E112" s="44">
        <v>0</v>
      </c>
      <c r="F112" s="44">
        <v>0</v>
      </c>
      <c r="G112" s="44">
        <v>0</v>
      </c>
      <c r="H112" s="44">
        <v>0</v>
      </c>
      <c r="I112" s="44">
        <v>0</v>
      </c>
      <c r="J112" s="44">
        <v>0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0</v>
      </c>
      <c r="R112" s="44">
        <v>0</v>
      </c>
      <c r="S112" s="44">
        <v>0</v>
      </c>
      <c r="T112" s="44">
        <v>0</v>
      </c>
      <c r="U112" s="44">
        <f t="shared" si="21"/>
        <v>9318.1570813529597</v>
      </c>
    </row>
    <row r="113" spans="1:21" x14ac:dyDescent="0.2">
      <c r="A113" s="41" t="s">
        <v>135</v>
      </c>
      <c r="B113" s="44">
        <v>4091.4712003516443</v>
      </c>
      <c r="C113" s="44">
        <v>0</v>
      </c>
      <c r="D113" s="44">
        <v>0</v>
      </c>
      <c r="E113" s="44">
        <v>1392.3512445483882</v>
      </c>
      <c r="F113" s="44">
        <v>0</v>
      </c>
      <c r="G113" s="44">
        <v>0</v>
      </c>
      <c r="H113" s="44">
        <v>323.91134747439975</v>
      </c>
      <c r="I113" s="44">
        <v>0</v>
      </c>
      <c r="J113" s="44">
        <v>0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0</v>
      </c>
      <c r="R113" s="44">
        <v>0</v>
      </c>
      <c r="S113" s="44">
        <v>0</v>
      </c>
      <c r="T113" s="44">
        <v>0</v>
      </c>
      <c r="U113" s="44">
        <f t="shared" si="21"/>
        <v>5807.7337923744326</v>
      </c>
    </row>
    <row r="114" spans="1:21" x14ac:dyDescent="0.2">
      <c r="A114" s="41" t="s">
        <v>288</v>
      </c>
      <c r="B114" s="44">
        <v>88.592131350012821</v>
      </c>
      <c r="C114" s="44">
        <v>0</v>
      </c>
      <c r="D114" s="44">
        <v>0</v>
      </c>
      <c r="E114" s="44">
        <v>291.35808120000002</v>
      </c>
      <c r="F114" s="44">
        <v>0</v>
      </c>
      <c r="G114" s="44">
        <v>0</v>
      </c>
      <c r="H114" s="44">
        <v>74.504893954144151</v>
      </c>
      <c r="I114" s="44">
        <v>0</v>
      </c>
      <c r="J114" s="44">
        <v>0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0</v>
      </c>
      <c r="R114" s="44">
        <v>0</v>
      </c>
      <c r="S114" s="44">
        <v>0</v>
      </c>
      <c r="T114" s="44">
        <v>0</v>
      </c>
      <c r="U114" s="44">
        <f t="shared" si="21"/>
        <v>454.45510650415702</v>
      </c>
    </row>
    <row r="115" spans="1:21" x14ac:dyDescent="0.2">
      <c r="A115" s="41" t="s">
        <v>289</v>
      </c>
      <c r="B115" s="44">
        <v>6852.4466848468173</v>
      </c>
      <c r="C115" s="44">
        <v>0</v>
      </c>
      <c r="D115" s="44">
        <v>0</v>
      </c>
      <c r="E115" s="44">
        <v>0</v>
      </c>
      <c r="F115" s="44">
        <v>0</v>
      </c>
      <c r="G115" s="44">
        <v>0</v>
      </c>
      <c r="H115" s="44">
        <v>0</v>
      </c>
      <c r="I115" s="44">
        <v>0</v>
      </c>
      <c r="J115" s="44">
        <v>0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0</v>
      </c>
      <c r="R115" s="44">
        <v>0</v>
      </c>
      <c r="S115" s="44">
        <v>0</v>
      </c>
      <c r="T115" s="44">
        <v>0</v>
      </c>
      <c r="U115" s="44">
        <f t="shared" si="21"/>
        <v>6852.4466848468173</v>
      </c>
    </row>
    <row r="116" spans="1:21" x14ac:dyDescent="0.2">
      <c r="A116" s="41" t="s">
        <v>136</v>
      </c>
      <c r="B116" s="44">
        <v>8500.4162001908426</v>
      </c>
      <c r="C116" s="44">
        <v>0</v>
      </c>
      <c r="D116" s="44">
        <v>0</v>
      </c>
      <c r="E116" s="44">
        <v>0</v>
      </c>
      <c r="F116" s="44">
        <v>0</v>
      </c>
      <c r="G116" s="44">
        <v>0</v>
      </c>
      <c r="H116" s="44">
        <v>0</v>
      </c>
      <c r="I116" s="44">
        <v>0</v>
      </c>
      <c r="J116" s="44">
        <v>0</v>
      </c>
      <c r="K116" s="44">
        <v>0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0</v>
      </c>
      <c r="R116" s="44">
        <v>0</v>
      </c>
      <c r="S116" s="44">
        <v>0</v>
      </c>
      <c r="T116" s="44">
        <v>11761.995963577074</v>
      </c>
      <c r="U116" s="44">
        <f t="shared" si="21"/>
        <v>20262.412163767916</v>
      </c>
    </row>
    <row r="117" spans="1:21" x14ac:dyDescent="0.2">
      <c r="A117" s="41" t="s">
        <v>290</v>
      </c>
      <c r="B117" s="44">
        <v>5795.2124368346513</v>
      </c>
      <c r="C117" s="44">
        <v>0</v>
      </c>
      <c r="D117" s="44">
        <v>0</v>
      </c>
      <c r="E117" s="44">
        <v>0</v>
      </c>
      <c r="F117" s="44">
        <v>0</v>
      </c>
      <c r="G117" s="44">
        <v>0</v>
      </c>
      <c r="H117" s="44">
        <v>0</v>
      </c>
      <c r="I117" s="44">
        <v>0</v>
      </c>
      <c r="J117" s="44">
        <v>0</v>
      </c>
      <c r="K117" s="44">
        <v>0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0</v>
      </c>
      <c r="R117" s="44">
        <v>0</v>
      </c>
      <c r="S117" s="44">
        <v>0</v>
      </c>
      <c r="T117" s="44">
        <v>0</v>
      </c>
      <c r="U117" s="44">
        <f t="shared" si="21"/>
        <v>5795.2124368346513</v>
      </c>
    </row>
    <row r="118" spans="1:21" x14ac:dyDescent="0.2">
      <c r="A118" s="41" t="s">
        <v>137</v>
      </c>
      <c r="B118" s="44">
        <v>27020.515912169227</v>
      </c>
      <c r="C118" s="44">
        <v>0</v>
      </c>
      <c r="D118" s="44">
        <v>0</v>
      </c>
      <c r="E118" s="44">
        <v>0</v>
      </c>
      <c r="F118" s="44">
        <v>0</v>
      </c>
      <c r="G118" s="44">
        <v>0</v>
      </c>
      <c r="H118" s="44">
        <v>0</v>
      </c>
      <c r="I118" s="44">
        <v>0</v>
      </c>
      <c r="J118" s="44">
        <v>0</v>
      </c>
      <c r="K118" s="44">
        <v>0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0</v>
      </c>
      <c r="R118" s="44">
        <v>0</v>
      </c>
      <c r="S118" s="44">
        <v>0</v>
      </c>
      <c r="T118" s="44">
        <v>0</v>
      </c>
      <c r="U118" s="44">
        <f t="shared" si="21"/>
        <v>27020.515912169227</v>
      </c>
    </row>
    <row r="119" spans="1:21" x14ac:dyDescent="0.2">
      <c r="A119" s="41" t="s">
        <v>138</v>
      </c>
      <c r="B119" s="44">
        <v>15589.575679843369</v>
      </c>
      <c r="C119" s="44">
        <v>0</v>
      </c>
      <c r="D119" s="44">
        <v>0</v>
      </c>
      <c r="E119" s="44">
        <v>0</v>
      </c>
      <c r="F119" s="44">
        <v>0</v>
      </c>
      <c r="G119" s="44">
        <v>0</v>
      </c>
      <c r="H119" s="44">
        <v>0</v>
      </c>
      <c r="I119" s="44">
        <v>0</v>
      </c>
      <c r="J119" s="44">
        <v>0</v>
      </c>
      <c r="K119" s="44">
        <v>0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0</v>
      </c>
      <c r="R119" s="44">
        <v>0</v>
      </c>
      <c r="S119" s="44">
        <v>0</v>
      </c>
      <c r="T119" s="44">
        <v>0</v>
      </c>
      <c r="U119" s="44">
        <f t="shared" si="21"/>
        <v>15589.575679843369</v>
      </c>
    </row>
    <row r="120" spans="1:21" ht="10.5" x14ac:dyDescent="0.25">
      <c r="A120" s="45" t="s">
        <v>139</v>
      </c>
      <c r="B120" s="46">
        <f t="shared" ref="B120:U120" si="22">SUM(B107:B119)</f>
        <v>265604.40811568301</v>
      </c>
      <c r="C120" s="46">
        <f t="shared" si="22"/>
        <v>0</v>
      </c>
      <c r="D120" s="46">
        <f t="shared" si="22"/>
        <v>0</v>
      </c>
      <c r="E120" s="46">
        <f t="shared" si="22"/>
        <v>17811.945522263202</v>
      </c>
      <c r="F120" s="46">
        <f t="shared" si="22"/>
        <v>0</v>
      </c>
      <c r="G120" s="46">
        <f t="shared" si="22"/>
        <v>941.10529596973254</v>
      </c>
      <c r="H120" s="46">
        <f t="shared" si="22"/>
        <v>1078.9784504388265</v>
      </c>
      <c r="I120" s="46">
        <f t="shared" si="22"/>
        <v>0</v>
      </c>
      <c r="J120" s="46">
        <f t="shared" si="22"/>
        <v>0</v>
      </c>
      <c r="K120" s="46">
        <f t="shared" si="22"/>
        <v>0</v>
      </c>
      <c r="L120" s="46">
        <f t="shared" si="22"/>
        <v>0</v>
      </c>
      <c r="M120" s="46">
        <f t="shared" si="22"/>
        <v>0</v>
      </c>
      <c r="N120" s="46">
        <f t="shared" si="22"/>
        <v>136.46690128591607</v>
      </c>
      <c r="O120" s="46">
        <f t="shared" si="22"/>
        <v>0</v>
      </c>
      <c r="P120" s="46">
        <f t="shared" si="22"/>
        <v>0</v>
      </c>
      <c r="Q120" s="46">
        <f t="shared" si="22"/>
        <v>0</v>
      </c>
      <c r="R120" s="46">
        <f t="shared" si="22"/>
        <v>0</v>
      </c>
      <c r="S120" s="46">
        <f t="shared" si="22"/>
        <v>0</v>
      </c>
      <c r="T120" s="46">
        <f t="shared" si="22"/>
        <v>14191.967661683631</v>
      </c>
      <c r="U120" s="46">
        <f t="shared" si="22"/>
        <v>299764.87194732431</v>
      </c>
    </row>
    <row r="121" spans="1:21" ht="10.5" x14ac:dyDescent="0.25">
      <c r="A121" s="40" t="s">
        <v>140</v>
      </c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</row>
    <row r="122" spans="1:21" x14ac:dyDescent="0.2">
      <c r="A122" s="41" t="s">
        <v>141</v>
      </c>
      <c r="B122" s="44">
        <v>25118.290040085307</v>
      </c>
      <c r="C122" s="44">
        <v>0</v>
      </c>
      <c r="D122" s="44">
        <v>0</v>
      </c>
      <c r="E122" s="44">
        <v>0</v>
      </c>
      <c r="F122" s="44">
        <v>0</v>
      </c>
      <c r="G122" s="44">
        <v>0</v>
      </c>
      <c r="H122" s="44">
        <v>0</v>
      </c>
      <c r="I122" s="44">
        <v>0</v>
      </c>
      <c r="J122" s="44">
        <v>0</v>
      </c>
      <c r="K122" s="44">
        <v>0</v>
      </c>
      <c r="L122" s="44">
        <v>0</v>
      </c>
      <c r="M122" s="44">
        <v>0</v>
      </c>
      <c r="N122" s="44">
        <v>0</v>
      </c>
      <c r="O122" s="44">
        <v>0</v>
      </c>
      <c r="P122" s="44">
        <v>0</v>
      </c>
      <c r="Q122" s="44">
        <v>0</v>
      </c>
      <c r="R122" s="44">
        <v>0</v>
      </c>
      <c r="S122" s="44">
        <v>0</v>
      </c>
      <c r="T122" s="44">
        <v>0</v>
      </c>
      <c r="U122" s="44">
        <f>SUM(B122:T122)</f>
        <v>25118.290040085307</v>
      </c>
    </row>
    <row r="123" spans="1:21" x14ac:dyDescent="0.2">
      <c r="A123" s="41" t="s">
        <v>142</v>
      </c>
      <c r="B123" s="44">
        <v>79629.047011872128</v>
      </c>
      <c r="C123" s="44">
        <v>0</v>
      </c>
      <c r="D123" s="44">
        <v>0</v>
      </c>
      <c r="E123" s="44">
        <v>0</v>
      </c>
      <c r="F123" s="44">
        <v>0</v>
      </c>
      <c r="G123" s="44">
        <v>0</v>
      </c>
      <c r="H123" s="44">
        <v>0</v>
      </c>
      <c r="I123" s="44">
        <v>0</v>
      </c>
      <c r="J123" s="44">
        <v>0</v>
      </c>
      <c r="K123" s="44">
        <v>0</v>
      </c>
      <c r="L123" s="44">
        <v>0</v>
      </c>
      <c r="M123" s="44">
        <v>0</v>
      </c>
      <c r="N123" s="44">
        <v>0</v>
      </c>
      <c r="O123" s="44">
        <v>0</v>
      </c>
      <c r="P123" s="44">
        <v>0</v>
      </c>
      <c r="Q123" s="44">
        <v>0</v>
      </c>
      <c r="R123" s="44">
        <v>0</v>
      </c>
      <c r="S123" s="44">
        <v>0</v>
      </c>
      <c r="T123" s="44">
        <v>0</v>
      </c>
      <c r="U123" s="44">
        <f>SUM(B123:T123)</f>
        <v>79629.047011872128</v>
      </c>
    </row>
    <row r="124" spans="1:21" x14ac:dyDescent="0.2">
      <c r="A124" s="41" t="s">
        <v>143</v>
      </c>
      <c r="B124" s="44">
        <v>18074.459850138323</v>
      </c>
      <c r="C124" s="44">
        <v>0</v>
      </c>
      <c r="D124" s="44">
        <v>0</v>
      </c>
      <c r="E124" s="44">
        <v>0</v>
      </c>
      <c r="F124" s="44">
        <v>0</v>
      </c>
      <c r="G124" s="44">
        <v>0</v>
      </c>
      <c r="H124" s="44">
        <v>0</v>
      </c>
      <c r="I124" s="44">
        <v>0</v>
      </c>
      <c r="J124" s="44">
        <v>0</v>
      </c>
      <c r="K124" s="44">
        <v>0</v>
      </c>
      <c r="L124" s="44">
        <v>0</v>
      </c>
      <c r="M124" s="44">
        <v>0</v>
      </c>
      <c r="N124" s="44">
        <v>0</v>
      </c>
      <c r="O124" s="44">
        <v>0</v>
      </c>
      <c r="P124" s="44">
        <v>0</v>
      </c>
      <c r="Q124" s="44">
        <v>0</v>
      </c>
      <c r="R124" s="44">
        <v>0</v>
      </c>
      <c r="S124" s="44">
        <v>0</v>
      </c>
      <c r="T124" s="44">
        <v>0</v>
      </c>
      <c r="U124" s="44">
        <f>SUM(B124:T124)</f>
        <v>18074.459850138323</v>
      </c>
    </row>
    <row r="125" spans="1:21" x14ac:dyDescent="0.2">
      <c r="A125" s="41" t="s">
        <v>144</v>
      </c>
      <c r="B125" s="44">
        <v>-16.89834403300376</v>
      </c>
      <c r="C125" s="44">
        <v>0</v>
      </c>
      <c r="D125" s="44">
        <v>0</v>
      </c>
      <c r="E125" s="44">
        <v>0</v>
      </c>
      <c r="F125" s="44">
        <v>0</v>
      </c>
      <c r="G125" s="44">
        <v>0</v>
      </c>
      <c r="H125" s="44">
        <v>0</v>
      </c>
      <c r="I125" s="44">
        <v>0</v>
      </c>
      <c r="J125" s="44">
        <v>0</v>
      </c>
      <c r="K125" s="44">
        <v>0</v>
      </c>
      <c r="L125" s="44">
        <v>0</v>
      </c>
      <c r="M125" s="44">
        <v>0</v>
      </c>
      <c r="N125" s="44">
        <v>0</v>
      </c>
      <c r="O125" s="44">
        <v>0</v>
      </c>
      <c r="P125" s="44">
        <v>0</v>
      </c>
      <c r="Q125" s="44">
        <v>0</v>
      </c>
      <c r="R125" s="44">
        <v>0</v>
      </c>
      <c r="S125" s="44">
        <v>0</v>
      </c>
      <c r="T125" s="44">
        <v>0</v>
      </c>
      <c r="U125" s="44">
        <f>SUM(B125:T125)</f>
        <v>-16.89834403300376</v>
      </c>
    </row>
    <row r="126" spans="1:21" ht="10.5" x14ac:dyDescent="0.25">
      <c r="A126" s="45" t="s">
        <v>145</v>
      </c>
      <c r="B126" s="46">
        <f t="shared" ref="B126:U126" si="23">SUM(B122:B125)</f>
        <v>122804.89855806275</v>
      </c>
      <c r="C126" s="46">
        <f t="shared" si="23"/>
        <v>0</v>
      </c>
      <c r="D126" s="46">
        <f t="shared" si="23"/>
        <v>0</v>
      </c>
      <c r="E126" s="46">
        <f t="shared" si="23"/>
        <v>0</v>
      </c>
      <c r="F126" s="46">
        <f t="shared" si="23"/>
        <v>0</v>
      </c>
      <c r="G126" s="46">
        <f t="shared" si="23"/>
        <v>0</v>
      </c>
      <c r="H126" s="46">
        <f t="shared" si="23"/>
        <v>0</v>
      </c>
      <c r="I126" s="46">
        <f t="shared" si="23"/>
        <v>0</v>
      </c>
      <c r="J126" s="46">
        <f t="shared" si="23"/>
        <v>0</v>
      </c>
      <c r="K126" s="46">
        <f t="shared" si="23"/>
        <v>0</v>
      </c>
      <c r="L126" s="46">
        <f t="shared" si="23"/>
        <v>0</v>
      </c>
      <c r="M126" s="46">
        <f t="shared" si="23"/>
        <v>0</v>
      </c>
      <c r="N126" s="46">
        <f t="shared" si="23"/>
        <v>0</v>
      </c>
      <c r="O126" s="46">
        <f t="shared" si="23"/>
        <v>0</v>
      </c>
      <c r="P126" s="46">
        <f t="shared" si="23"/>
        <v>0</v>
      </c>
      <c r="Q126" s="46">
        <f t="shared" si="23"/>
        <v>0</v>
      </c>
      <c r="R126" s="46">
        <f t="shared" si="23"/>
        <v>0</v>
      </c>
      <c r="S126" s="46">
        <f t="shared" si="23"/>
        <v>0</v>
      </c>
      <c r="T126" s="46">
        <f t="shared" si="23"/>
        <v>0</v>
      </c>
      <c r="U126" s="46">
        <f t="shared" si="23"/>
        <v>122804.89855806275</v>
      </c>
    </row>
    <row r="127" spans="1:21" ht="10.5" x14ac:dyDescent="0.25">
      <c r="A127" s="47" t="s">
        <v>146</v>
      </c>
      <c r="B127" s="46">
        <f t="shared" ref="B127:U127" si="24">SUM(B37,B43,B50,B55,B59,B70,B78,B86,B99,B102,B105,B120,B126)</f>
        <v>2976322.6400934276</v>
      </c>
      <c r="C127" s="46">
        <f t="shared" si="24"/>
        <v>0</v>
      </c>
      <c r="D127" s="46">
        <f t="shared" si="24"/>
        <v>0</v>
      </c>
      <c r="E127" s="46">
        <f t="shared" si="24"/>
        <v>58415.953070094991</v>
      </c>
      <c r="F127" s="46">
        <f t="shared" si="24"/>
        <v>0</v>
      </c>
      <c r="G127" s="46">
        <f t="shared" si="24"/>
        <v>11783.039954037471</v>
      </c>
      <c r="H127" s="46">
        <f t="shared" si="24"/>
        <v>1542.6370676454014</v>
      </c>
      <c r="I127" s="46">
        <f t="shared" si="24"/>
        <v>99.890326799999997</v>
      </c>
      <c r="J127" s="46">
        <f t="shared" si="24"/>
        <v>0</v>
      </c>
      <c r="K127" s="46">
        <f t="shared" si="24"/>
        <v>0</v>
      </c>
      <c r="L127" s="46">
        <f t="shared" si="24"/>
        <v>0</v>
      </c>
      <c r="M127" s="46">
        <f t="shared" si="24"/>
        <v>0</v>
      </c>
      <c r="N127" s="46">
        <f t="shared" si="24"/>
        <v>12723.994694757948</v>
      </c>
      <c r="O127" s="46">
        <f t="shared" si="24"/>
        <v>0</v>
      </c>
      <c r="P127" s="46">
        <f t="shared" si="24"/>
        <v>0</v>
      </c>
      <c r="Q127" s="46">
        <f t="shared" si="24"/>
        <v>38249.265002839733</v>
      </c>
      <c r="R127" s="46">
        <f t="shared" si="24"/>
        <v>0</v>
      </c>
      <c r="S127" s="46">
        <f t="shared" si="24"/>
        <v>0</v>
      </c>
      <c r="T127" s="46">
        <f t="shared" si="24"/>
        <v>44305.620325013726</v>
      </c>
      <c r="U127" s="46">
        <f t="shared" si="24"/>
        <v>3143443.0405346164</v>
      </c>
    </row>
    <row r="128" spans="1:21" ht="10.5" x14ac:dyDescent="0.25">
      <c r="A128" s="39" t="s">
        <v>147</v>
      </c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</row>
    <row r="129" spans="1:21" x14ac:dyDescent="0.2">
      <c r="A129" s="52" t="s">
        <v>148</v>
      </c>
      <c r="B129" s="44">
        <v>5290.4640641626929</v>
      </c>
      <c r="C129" s="44">
        <v>0</v>
      </c>
      <c r="D129" s="44">
        <v>0</v>
      </c>
      <c r="E129" s="44">
        <v>189.18622500000001</v>
      </c>
      <c r="F129" s="44">
        <v>0</v>
      </c>
      <c r="G129" s="44">
        <v>20561.853904507094</v>
      </c>
      <c r="H129" s="44">
        <v>0</v>
      </c>
      <c r="I129" s="44">
        <v>0</v>
      </c>
      <c r="J129" s="44">
        <v>0</v>
      </c>
      <c r="K129" s="44">
        <v>0</v>
      </c>
      <c r="L129" s="44">
        <v>5048.7106600749139</v>
      </c>
      <c r="M129" s="44">
        <v>0</v>
      </c>
      <c r="N129" s="44">
        <v>5836.3621031098319</v>
      </c>
      <c r="O129" s="44">
        <v>0</v>
      </c>
      <c r="P129" s="44">
        <v>0</v>
      </c>
      <c r="Q129" s="44">
        <v>0</v>
      </c>
      <c r="R129" s="44">
        <v>0</v>
      </c>
      <c r="S129" s="44">
        <v>0</v>
      </c>
      <c r="T129" s="44">
        <v>5584.4946343980382</v>
      </c>
      <c r="U129" s="44">
        <f t="shared" ref="U129:U146" si="25">SUM(B129:T129)</f>
        <v>42511.071591252577</v>
      </c>
    </row>
    <row r="130" spans="1:21" x14ac:dyDescent="0.2">
      <c r="A130" s="52" t="s">
        <v>149</v>
      </c>
      <c r="B130" s="44">
        <v>6657.2753231322167</v>
      </c>
      <c r="C130" s="44">
        <v>0</v>
      </c>
      <c r="D130" s="44">
        <v>0</v>
      </c>
      <c r="E130" s="44">
        <v>12488.34480052208</v>
      </c>
      <c r="F130" s="44">
        <v>0</v>
      </c>
      <c r="G130" s="44">
        <v>0</v>
      </c>
      <c r="H130" s="44">
        <v>0</v>
      </c>
      <c r="I130" s="44">
        <v>0</v>
      </c>
      <c r="J130" s="44">
        <v>0</v>
      </c>
      <c r="K130" s="44">
        <v>0</v>
      </c>
      <c r="L130" s="44">
        <v>0</v>
      </c>
      <c r="M130" s="44">
        <v>0</v>
      </c>
      <c r="N130" s="44">
        <v>2849.2715651859726</v>
      </c>
      <c r="O130" s="44">
        <v>0</v>
      </c>
      <c r="P130" s="44">
        <v>0</v>
      </c>
      <c r="Q130" s="44">
        <v>0</v>
      </c>
      <c r="R130" s="44">
        <v>0</v>
      </c>
      <c r="S130" s="44">
        <v>0</v>
      </c>
      <c r="T130" s="44">
        <v>0</v>
      </c>
      <c r="U130" s="44">
        <f t="shared" si="25"/>
        <v>21994.891688840271</v>
      </c>
    </row>
    <row r="131" spans="1:21" x14ac:dyDescent="0.2">
      <c r="A131" s="52" t="s">
        <v>291</v>
      </c>
      <c r="B131" s="44">
        <v>592.09511848319949</v>
      </c>
      <c r="C131" s="44">
        <v>0</v>
      </c>
      <c r="D131" s="44">
        <v>0</v>
      </c>
      <c r="E131" s="44">
        <v>677.5056426997096</v>
      </c>
      <c r="F131" s="44">
        <v>0</v>
      </c>
      <c r="G131" s="44">
        <v>662.23085516448566</v>
      </c>
      <c r="H131" s="44">
        <v>0</v>
      </c>
      <c r="I131" s="44">
        <v>0</v>
      </c>
      <c r="J131" s="44">
        <v>0</v>
      </c>
      <c r="K131" s="44">
        <v>0</v>
      </c>
      <c r="L131" s="44">
        <v>0</v>
      </c>
      <c r="M131" s="44">
        <v>0</v>
      </c>
      <c r="N131" s="44">
        <v>76.780062012358854</v>
      </c>
      <c r="O131" s="44">
        <v>0</v>
      </c>
      <c r="P131" s="44">
        <v>0</v>
      </c>
      <c r="Q131" s="44">
        <v>0</v>
      </c>
      <c r="R131" s="44">
        <v>0</v>
      </c>
      <c r="S131" s="44">
        <v>0</v>
      </c>
      <c r="T131" s="44">
        <v>0</v>
      </c>
      <c r="U131" s="44">
        <f t="shared" si="25"/>
        <v>2008.6116783597536</v>
      </c>
    </row>
    <row r="132" spans="1:21" x14ac:dyDescent="0.2">
      <c r="A132" s="52" t="s">
        <v>150</v>
      </c>
      <c r="B132" s="44">
        <v>8277.5167641456828</v>
      </c>
      <c r="C132" s="44">
        <v>0</v>
      </c>
      <c r="D132" s="44">
        <v>0</v>
      </c>
      <c r="E132" s="44">
        <v>128.35283510593163</v>
      </c>
      <c r="F132" s="44">
        <v>0</v>
      </c>
      <c r="G132" s="44">
        <v>0</v>
      </c>
      <c r="H132" s="44">
        <v>571.49111372423079</v>
      </c>
      <c r="I132" s="44">
        <v>0</v>
      </c>
      <c r="J132" s="44">
        <v>0</v>
      </c>
      <c r="K132" s="44">
        <v>0</v>
      </c>
      <c r="L132" s="44">
        <v>0</v>
      </c>
      <c r="M132" s="44">
        <v>0</v>
      </c>
      <c r="N132" s="44">
        <v>556.69176512023751</v>
      </c>
      <c r="O132" s="44">
        <v>0</v>
      </c>
      <c r="P132" s="44">
        <v>0</v>
      </c>
      <c r="Q132" s="44">
        <v>0</v>
      </c>
      <c r="R132" s="44">
        <v>0</v>
      </c>
      <c r="S132" s="44">
        <v>0</v>
      </c>
      <c r="T132" s="44">
        <v>308.93263439999998</v>
      </c>
      <c r="U132" s="44">
        <f t="shared" si="25"/>
        <v>9842.9851124960842</v>
      </c>
    </row>
    <row r="133" spans="1:21" x14ac:dyDescent="0.2">
      <c r="A133" s="52" t="s">
        <v>292</v>
      </c>
      <c r="B133" s="44">
        <v>5297.2692986352304</v>
      </c>
      <c r="C133" s="44">
        <v>0</v>
      </c>
      <c r="D133" s="44">
        <v>0</v>
      </c>
      <c r="E133" s="44">
        <v>0</v>
      </c>
      <c r="F133" s="44">
        <v>0</v>
      </c>
      <c r="G133" s="44">
        <v>0</v>
      </c>
      <c r="H133" s="44">
        <v>0</v>
      </c>
      <c r="I133" s="44">
        <v>0</v>
      </c>
      <c r="J133" s="44">
        <v>0</v>
      </c>
      <c r="K133" s="44">
        <v>0</v>
      </c>
      <c r="L133" s="44">
        <v>0</v>
      </c>
      <c r="M133" s="44">
        <v>0</v>
      </c>
      <c r="N133" s="44">
        <v>0</v>
      </c>
      <c r="O133" s="44">
        <v>0</v>
      </c>
      <c r="P133" s="44">
        <v>0</v>
      </c>
      <c r="Q133" s="44">
        <v>0</v>
      </c>
      <c r="R133" s="44">
        <v>0</v>
      </c>
      <c r="S133" s="44">
        <v>0</v>
      </c>
      <c r="T133" s="44">
        <v>2490.6879225950024</v>
      </c>
      <c r="U133" s="44">
        <f t="shared" si="25"/>
        <v>7787.9572212302328</v>
      </c>
    </row>
    <row r="134" spans="1:21" x14ac:dyDescent="0.2">
      <c r="A134" s="52" t="s">
        <v>151</v>
      </c>
      <c r="B134" s="44">
        <v>25284.047344842205</v>
      </c>
      <c r="C134" s="44">
        <v>0</v>
      </c>
      <c r="D134" s="44">
        <v>0</v>
      </c>
      <c r="E134" s="44">
        <v>0</v>
      </c>
      <c r="F134" s="44">
        <v>0</v>
      </c>
      <c r="G134" s="44">
        <v>1863.6255000000001</v>
      </c>
      <c r="H134" s="44">
        <v>0</v>
      </c>
      <c r="I134" s="44">
        <v>0</v>
      </c>
      <c r="J134" s="44">
        <v>0</v>
      </c>
      <c r="K134" s="44">
        <v>0</v>
      </c>
      <c r="L134" s="44">
        <v>306.27153664144498</v>
      </c>
      <c r="M134" s="44">
        <v>0</v>
      </c>
      <c r="N134" s="44">
        <v>529.72692986352297</v>
      </c>
      <c r="O134" s="44">
        <v>0</v>
      </c>
      <c r="P134" s="44">
        <v>903.57600000000002</v>
      </c>
      <c r="Q134" s="44">
        <v>0</v>
      </c>
      <c r="R134" s="44">
        <v>0</v>
      </c>
      <c r="S134" s="44">
        <v>0</v>
      </c>
      <c r="T134" s="44">
        <v>8554.3266092659687</v>
      </c>
      <c r="U134" s="44">
        <f t="shared" si="25"/>
        <v>37441.57392061314</v>
      </c>
    </row>
    <row r="135" spans="1:21" x14ac:dyDescent="0.2">
      <c r="A135" s="52" t="s">
        <v>152</v>
      </c>
      <c r="B135" s="44">
        <v>13666.557737857813</v>
      </c>
      <c r="C135" s="44">
        <v>0</v>
      </c>
      <c r="D135" s="44">
        <v>0</v>
      </c>
      <c r="E135" s="44">
        <v>0</v>
      </c>
      <c r="F135" s="44">
        <v>0</v>
      </c>
      <c r="G135" s="44">
        <v>0</v>
      </c>
      <c r="H135" s="44">
        <v>0</v>
      </c>
      <c r="I135" s="44">
        <v>0</v>
      </c>
      <c r="J135" s="44">
        <v>0</v>
      </c>
      <c r="K135" s="44">
        <v>0</v>
      </c>
      <c r="L135" s="44">
        <v>0</v>
      </c>
      <c r="M135" s="44">
        <v>0</v>
      </c>
      <c r="N135" s="44">
        <v>0</v>
      </c>
      <c r="O135" s="44">
        <v>0</v>
      </c>
      <c r="P135" s="44">
        <v>0</v>
      </c>
      <c r="Q135" s="44">
        <v>0</v>
      </c>
      <c r="R135" s="44">
        <v>0</v>
      </c>
      <c r="S135" s="44">
        <v>0</v>
      </c>
      <c r="T135" s="44">
        <v>0</v>
      </c>
      <c r="U135" s="44">
        <f t="shared" si="25"/>
        <v>13666.557737857813</v>
      </c>
    </row>
    <row r="136" spans="1:21" x14ac:dyDescent="0.2">
      <c r="A136" s="52" t="s">
        <v>153</v>
      </c>
      <c r="B136" s="44">
        <v>25339.583983383087</v>
      </c>
      <c r="C136" s="44">
        <v>0</v>
      </c>
      <c r="D136" s="44">
        <v>0</v>
      </c>
      <c r="E136" s="44">
        <v>14374.213802664186</v>
      </c>
      <c r="F136" s="44">
        <v>0</v>
      </c>
      <c r="G136" s="44">
        <v>0</v>
      </c>
      <c r="H136" s="44">
        <v>0</v>
      </c>
      <c r="I136" s="44">
        <v>0</v>
      </c>
      <c r="J136" s="44">
        <v>0</v>
      </c>
      <c r="K136" s="44">
        <v>0</v>
      </c>
      <c r="L136" s="44">
        <v>765.67884160361245</v>
      </c>
      <c r="M136" s="44">
        <v>0</v>
      </c>
      <c r="N136" s="44">
        <v>22339.380427522756</v>
      </c>
      <c r="O136" s="44">
        <v>0</v>
      </c>
      <c r="P136" s="44">
        <v>0</v>
      </c>
      <c r="Q136" s="44">
        <v>0</v>
      </c>
      <c r="R136" s="44">
        <v>0</v>
      </c>
      <c r="S136" s="44">
        <v>0</v>
      </c>
      <c r="T136" s="44">
        <v>0</v>
      </c>
      <c r="U136" s="44">
        <f t="shared" si="25"/>
        <v>62818.857055173648</v>
      </c>
    </row>
    <row r="137" spans="1:21" x14ac:dyDescent="0.2">
      <c r="A137" s="52" t="s">
        <v>154</v>
      </c>
      <c r="B137" s="44">
        <v>1558.9175645856781</v>
      </c>
      <c r="C137" s="44">
        <v>0</v>
      </c>
      <c r="D137" s="44">
        <v>0</v>
      </c>
      <c r="E137" s="44">
        <v>191.86909373179785</v>
      </c>
      <c r="F137" s="44">
        <v>0</v>
      </c>
      <c r="G137" s="44">
        <v>0</v>
      </c>
      <c r="H137" s="44">
        <v>0</v>
      </c>
      <c r="I137" s="44">
        <v>0</v>
      </c>
      <c r="J137" s="44">
        <v>0</v>
      </c>
      <c r="K137" s="44">
        <v>0</v>
      </c>
      <c r="L137" s="44">
        <v>0</v>
      </c>
      <c r="M137" s="44">
        <v>0</v>
      </c>
      <c r="N137" s="44">
        <v>0</v>
      </c>
      <c r="O137" s="44">
        <v>0</v>
      </c>
      <c r="P137" s="44">
        <v>0</v>
      </c>
      <c r="Q137" s="44">
        <v>0</v>
      </c>
      <c r="R137" s="44">
        <v>0</v>
      </c>
      <c r="S137" s="44">
        <v>0</v>
      </c>
      <c r="T137" s="44">
        <v>0</v>
      </c>
      <c r="U137" s="44">
        <f t="shared" si="25"/>
        <v>1750.7866583174759</v>
      </c>
    </row>
    <row r="138" spans="1:21" x14ac:dyDescent="0.2">
      <c r="A138" s="52" t="s">
        <v>155</v>
      </c>
      <c r="B138" s="44">
        <v>21866.828825624234</v>
      </c>
      <c r="C138" s="44">
        <v>0</v>
      </c>
      <c r="D138" s="44">
        <v>0</v>
      </c>
      <c r="E138" s="44">
        <v>20293.653940379463</v>
      </c>
      <c r="F138" s="44">
        <v>3316.0176990727909</v>
      </c>
      <c r="G138" s="44">
        <v>0</v>
      </c>
      <c r="H138" s="44">
        <v>0</v>
      </c>
      <c r="I138" s="44">
        <v>0</v>
      </c>
      <c r="J138" s="44">
        <v>0</v>
      </c>
      <c r="K138" s="44">
        <v>0</v>
      </c>
      <c r="L138" s="44">
        <v>11441.201952844962</v>
      </c>
      <c r="M138" s="44">
        <v>0</v>
      </c>
      <c r="N138" s="44">
        <v>24805.667772715162</v>
      </c>
      <c r="O138" s="44">
        <v>0</v>
      </c>
      <c r="P138" s="44">
        <v>0</v>
      </c>
      <c r="Q138" s="44">
        <v>0</v>
      </c>
      <c r="R138" s="44">
        <v>0</v>
      </c>
      <c r="S138" s="44">
        <v>0</v>
      </c>
      <c r="T138" s="44">
        <v>8641.9121611005285</v>
      </c>
      <c r="U138" s="44">
        <f t="shared" si="25"/>
        <v>90365.282351737129</v>
      </c>
    </row>
    <row r="139" spans="1:21" x14ac:dyDescent="0.2">
      <c r="A139" s="52" t="s">
        <v>156</v>
      </c>
      <c r="B139" s="44">
        <v>4496.9719669514689</v>
      </c>
      <c r="C139" s="44">
        <v>0</v>
      </c>
      <c r="D139" s="44">
        <v>0</v>
      </c>
      <c r="E139" s="44">
        <v>0</v>
      </c>
      <c r="F139" s="44">
        <v>0</v>
      </c>
      <c r="G139" s="44">
        <v>0</v>
      </c>
      <c r="H139" s="44">
        <v>0</v>
      </c>
      <c r="I139" s="44">
        <v>0</v>
      </c>
      <c r="J139" s="44">
        <v>0</v>
      </c>
      <c r="K139" s="44">
        <v>0</v>
      </c>
      <c r="L139" s="44">
        <v>0</v>
      </c>
      <c r="M139" s="44">
        <v>0</v>
      </c>
      <c r="N139" s="44">
        <v>0</v>
      </c>
      <c r="O139" s="44">
        <v>0</v>
      </c>
      <c r="P139" s="44">
        <v>0</v>
      </c>
      <c r="Q139" s="44">
        <v>0</v>
      </c>
      <c r="R139" s="44">
        <v>0</v>
      </c>
      <c r="S139" s="44">
        <v>0</v>
      </c>
      <c r="T139" s="44">
        <v>0</v>
      </c>
      <c r="U139" s="44">
        <f t="shared" si="25"/>
        <v>4496.9719669514689</v>
      </c>
    </row>
    <row r="140" spans="1:21" x14ac:dyDescent="0.2">
      <c r="A140" s="52" t="s">
        <v>157</v>
      </c>
      <c r="B140" s="44">
        <v>84751.878907781094</v>
      </c>
      <c r="C140" s="44">
        <v>0</v>
      </c>
      <c r="D140" s="44">
        <v>0</v>
      </c>
      <c r="E140" s="44">
        <v>3679.404227697702</v>
      </c>
      <c r="F140" s="44">
        <v>0</v>
      </c>
      <c r="G140" s="44">
        <v>4951.2049844154626</v>
      </c>
      <c r="H140" s="44">
        <v>0</v>
      </c>
      <c r="I140" s="44">
        <v>0</v>
      </c>
      <c r="J140" s="44">
        <v>0</v>
      </c>
      <c r="K140" s="44">
        <v>0</v>
      </c>
      <c r="L140" s="44">
        <v>1400.5427999999999</v>
      </c>
      <c r="M140" s="44">
        <v>0</v>
      </c>
      <c r="N140" s="44">
        <v>11024.528320619223</v>
      </c>
      <c r="O140" s="44">
        <v>0</v>
      </c>
      <c r="P140" s="44">
        <v>0</v>
      </c>
      <c r="Q140" s="44">
        <v>0</v>
      </c>
      <c r="R140" s="44">
        <v>0</v>
      </c>
      <c r="S140" s="44">
        <v>0</v>
      </c>
      <c r="T140" s="44">
        <v>2351.2183713111758</v>
      </c>
      <c r="U140" s="44">
        <f t="shared" si="25"/>
        <v>108158.77761182465</v>
      </c>
    </row>
    <row r="141" spans="1:21" x14ac:dyDescent="0.2">
      <c r="A141" s="52" t="s">
        <v>158</v>
      </c>
      <c r="B141" s="44">
        <v>4552.3176532469997</v>
      </c>
      <c r="C141" s="44">
        <v>0</v>
      </c>
      <c r="D141" s="44">
        <v>0</v>
      </c>
      <c r="E141" s="44">
        <v>0</v>
      </c>
      <c r="F141" s="44">
        <v>0</v>
      </c>
      <c r="G141" s="44">
        <v>0</v>
      </c>
      <c r="H141" s="44">
        <v>0</v>
      </c>
      <c r="I141" s="44">
        <v>0</v>
      </c>
      <c r="J141" s="44">
        <v>0</v>
      </c>
      <c r="K141" s="44">
        <v>0</v>
      </c>
      <c r="L141" s="44">
        <v>0</v>
      </c>
      <c r="M141" s="44">
        <v>0</v>
      </c>
      <c r="N141" s="44">
        <v>2009.7076964077521</v>
      </c>
      <c r="O141" s="44">
        <v>0</v>
      </c>
      <c r="P141" s="44">
        <v>0</v>
      </c>
      <c r="Q141" s="44">
        <v>0</v>
      </c>
      <c r="R141" s="44">
        <v>0</v>
      </c>
      <c r="S141" s="44">
        <v>0</v>
      </c>
      <c r="T141" s="44">
        <v>730.85535602278901</v>
      </c>
      <c r="U141" s="44">
        <f t="shared" si="25"/>
        <v>7292.8807056775413</v>
      </c>
    </row>
    <row r="142" spans="1:21" x14ac:dyDescent="0.2">
      <c r="A142" s="52" t="s">
        <v>159</v>
      </c>
      <c r="B142" s="44">
        <v>764418.25844072143</v>
      </c>
      <c r="C142" s="44">
        <v>0</v>
      </c>
      <c r="D142" s="44">
        <v>0</v>
      </c>
      <c r="E142" s="44">
        <v>2373.640426840544</v>
      </c>
      <c r="F142" s="44">
        <v>0</v>
      </c>
      <c r="G142" s="44">
        <v>3153.4949890653402</v>
      </c>
      <c r="H142" s="44">
        <v>0</v>
      </c>
      <c r="I142" s="44">
        <v>0</v>
      </c>
      <c r="J142" s="44">
        <v>0</v>
      </c>
      <c r="K142" s="44">
        <v>0</v>
      </c>
      <c r="L142" s="44">
        <v>3140.4528048763191</v>
      </c>
      <c r="M142" s="44">
        <v>0</v>
      </c>
      <c r="N142" s="44">
        <v>7863.8154418165241</v>
      </c>
      <c r="O142" s="44">
        <v>0</v>
      </c>
      <c r="P142" s="44">
        <v>225.89400000000001</v>
      </c>
      <c r="Q142" s="44">
        <v>0</v>
      </c>
      <c r="R142" s="44">
        <v>0</v>
      </c>
      <c r="S142" s="44">
        <v>0</v>
      </c>
      <c r="T142" s="44">
        <v>23222.345731222256</v>
      </c>
      <c r="U142" s="44">
        <f t="shared" si="25"/>
        <v>804397.90183454251</v>
      </c>
    </row>
    <row r="143" spans="1:21" x14ac:dyDescent="0.2">
      <c r="A143" s="52" t="s">
        <v>293</v>
      </c>
      <c r="B143" s="44">
        <v>110.7685887061007</v>
      </c>
      <c r="C143" s="44">
        <v>0</v>
      </c>
      <c r="D143" s="44">
        <v>0</v>
      </c>
      <c r="E143" s="44">
        <v>1107.685887061007</v>
      </c>
      <c r="F143" s="44">
        <v>0</v>
      </c>
      <c r="G143" s="44">
        <v>3018.1258776653103</v>
      </c>
      <c r="H143" s="44">
        <v>845.44560515340879</v>
      </c>
      <c r="I143" s="44">
        <v>0</v>
      </c>
      <c r="J143" s="44">
        <v>0</v>
      </c>
      <c r="K143" s="44">
        <v>0</v>
      </c>
      <c r="L143" s="44">
        <v>10865.938892516737</v>
      </c>
      <c r="M143" s="44">
        <v>0</v>
      </c>
      <c r="N143" s="44">
        <v>1052.3015927079566</v>
      </c>
      <c r="O143" s="44">
        <v>0</v>
      </c>
      <c r="P143" s="44">
        <v>0</v>
      </c>
      <c r="Q143" s="44">
        <v>0</v>
      </c>
      <c r="R143" s="44">
        <v>0</v>
      </c>
      <c r="S143" s="44">
        <v>0</v>
      </c>
      <c r="T143" s="44">
        <v>2780.4271054688666</v>
      </c>
      <c r="U143" s="44">
        <f t="shared" si="25"/>
        <v>19780.693549279385</v>
      </c>
    </row>
    <row r="144" spans="1:21" x14ac:dyDescent="0.2">
      <c r="A144" s="52" t="s">
        <v>160</v>
      </c>
      <c r="B144" s="44">
        <v>91627.225521296117</v>
      </c>
      <c r="C144" s="44">
        <v>0</v>
      </c>
      <c r="D144" s="44">
        <v>197.42155233856599</v>
      </c>
      <c r="E144" s="44">
        <v>0</v>
      </c>
      <c r="F144" s="44">
        <v>0</v>
      </c>
      <c r="G144" s="44">
        <v>0</v>
      </c>
      <c r="H144" s="44">
        <v>2377.086003124698</v>
      </c>
      <c r="I144" s="44">
        <v>0</v>
      </c>
      <c r="J144" s="44">
        <v>0</v>
      </c>
      <c r="K144" s="44">
        <v>0</v>
      </c>
      <c r="L144" s="44">
        <v>6643.3957088999996</v>
      </c>
      <c r="M144" s="44">
        <v>0</v>
      </c>
      <c r="N144" s="44">
        <v>0</v>
      </c>
      <c r="O144" s="44">
        <v>0</v>
      </c>
      <c r="P144" s="44">
        <v>0</v>
      </c>
      <c r="Q144" s="44">
        <v>0</v>
      </c>
      <c r="R144" s="44">
        <v>0</v>
      </c>
      <c r="S144" s="44">
        <v>0</v>
      </c>
      <c r="T144" s="44">
        <v>92299.787190704141</v>
      </c>
      <c r="U144" s="44">
        <f t="shared" si="25"/>
        <v>193144.91597636353</v>
      </c>
    </row>
    <row r="145" spans="1:21" x14ac:dyDescent="0.2">
      <c r="A145" s="52" t="s">
        <v>294</v>
      </c>
      <c r="B145" s="44">
        <v>12215.900541712663</v>
      </c>
      <c r="C145" s="44">
        <v>0</v>
      </c>
      <c r="D145" s="44">
        <v>0</v>
      </c>
      <c r="E145" s="44">
        <v>401.58666244786917</v>
      </c>
      <c r="F145" s="44">
        <v>0</v>
      </c>
      <c r="G145" s="44">
        <v>401.58666244786917</v>
      </c>
      <c r="H145" s="44">
        <v>0</v>
      </c>
      <c r="I145" s="44">
        <v>0</v>
      </c>
      <c r="J145" s="44">
        <v>0</v>
      </c>
      <c r="K145" s="44">
        <v>0</v>
      </c>
      <c r="L145" s="44">
        <v>2340.7361686037407</v>
      </c>
      <c r="M145" s="44">
        <v>0</v>
      </c>
      <c r="N145" s="44">
        <v>9161.9464192352225</v>
      </c>
      <c r="O145" s="44">
        <v>0</v>
      </c>
      <c r="P145" s="44">
        <v>0</v>
      </c>
      <c r="Q145" s="44">
        <v>0</v>
      </c>
      <c r="R145" s="44">
        <v>0</v>
      </c>
      <c r="S145" s="44">
        <v>0</v>
      </c>
      <c r="T145" s="44">
        <v>0</v>
      </c>
      <c r="U145" s="44">
        <f t="shared" si="25"/>
        <v>24521.756454447364</v>
      </c>
    </row>
    <row r="146" spans="1:21" x14ac:dyDescent="0.2">
      <c r="A146" s="52" t="s">
        <v>161</v>
      </c>
      <c r="B146" s="44">
        <v>78307.212047351713</v>
      </c>
      <c r="C146" s="44">
        <v>0</v>
      </c>
      <c r="D146" s="44">
        <v>0</v>
      </c>
      <c r="E146" s="44">
        <v>0</v>
      </c>
      <c r="F146" s="44">
        <v>0</v>
      </c>
      <c r="G146" s="44">
        <v>0</v>
      </c>
      <c r="H146" s="44">
        <v>0</v>
      </c>
      <c r="I146" s="44">
        <v>0</v>
      </c>
      <c r="J146" s="44">
        <v>0</v>
      </c>
      <c r="K146" s="44">
        <v>0</v>
      </c>
      <c r="L146" s="44">
        <v>0</v>
      </c>
      <c r="M146" s="44">
        <v>0</v>
      </c>
      <c r="N146" s="44">
        <v>0</v>
      </c>
      <c r="O146" s="44">
        <v>0</v>
      </c>
      <c r="P146" s="44">
        <v>0</v>
      </c>
      <c r="Q146" s="44">
        <v>0</v>
      </c>
      <c r="R146" s="44">
        <v>0</v>
      </c>
      <c r="S146" s="44">
        <v>0</v>
      </c>
      <c r="T146" s="44">
        <v>371.00188541015251</v>
      </c>
      <c r="U146" s="44">
        <f t="shared" si="25"/>
        <v>78678.213932761864</v>
      </c>
    </row>
    <row r="147" spans="1:21" ht="10.5" x14ac:dyDescent="0.25">
      <c r="A147" s="40" t="s">
        <v>162</v>
      </c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</row>
    <row r="148" spans="1:21" x14ac:dyDescent="0.2">
      <c r="A148" s="41" t="s">
        <v>163</v>
      </c>
      <c r="B148" s="44">
        <v>133001.22163272146</v>
      </c>
      <c r="C148" s="44">
        <v>0</v>
      </c>
      <c r="D148" s="44">
        <v>0</v>
      </c>
      <c r="E148" s="44">
        <v>694.62405000000001</v>
      </c>
      <c r="F148" s="44">
        <v>0</v>
      </c>
      <c r="G148" s="44">
        <v>0</v>
      </c>
      <c r="H148" s="44">
        <v>1052.9958412440444</v>
      </c>
      <c r="I148" s="44">
        <v>0</v>
      </c>
      <c r="J148" s="44">
        <v>0</v>
      </c>
      <c r="K148" s="44">
        <v>0</v>
      </c>
      <c r="L148" s="44">
        <v>16169.266842879486</v>
      </c>
      <c r="M148" s="44">
        <v>0</v>
      </c>
      <c r="N148" s="44">
        <v>1839.6725562424303</v>
      </c>
      <c r="O148" s="44">
        <v>0</v>
      </c>
      <c r="P148" s="44">
        <v>0</v>
      </c>
      <c r="Q148" s="44">
        <v>0</v>
      </c>
      <c r="R148" s="44">
        <v>0</v>
      </c>
      <c r="S148" s="44">
        <v>0</v>
      </c>
      <c r="T148" s="44">
        <v>91527.05864668345</v>
      </c>
      <c r="U148" s="44">
        <f>SUM(B148:T148)</f>
        <v>244284.83956977091</v>
      </c>
    </row>
    <row r="149" spans="1:21" x14ac:dyDescent="0.2">
      <c r="A149" s="41" t="s">
        <v>295</v>
      </c>
      <c r="B149" s="44">
        <v>169.4205</v>
      </c>
      <c r="C149" s="44">
        <v>0</v>
      </c>
      <c r="D149" s="44">
        <v>0</v>
      </c>
      <c r="E149" s="44">
        <v>0</v>
      </c>
      <c r="F149" s="44">
        <v>0</v>
      </c>
      <c r="G149" s="44">
        <v>0</v>
      </c>
      <c r="H149" s="44">
        <v>0</v>
      </c>
      <c r="I149" s="44">
        <v>0</v>
      </c>
      <c r="J149" s="44">
        <v>0</v>
      </c>
      <c r="K149" s="44">
        <v>0</v>
      </c>
      <c r="L149" s="44">
        <v>5934.308212898939</v>
      </c>
      <c r="M149" s="44">
        <v>0</v>
      </c>
      <c r="N149" s="44">
        <v>0</v>
      </c>
      <c r="O149" s="44">
        <v>0</v>
      </c>
      <c r="P149" s="44">
        <v>0</v>
      </c>
      <c r="Q149" s="44">
        <v>0</v>
      </c>
      <c r="R149" s="44">
        <v>0</v>
      </c>
      <c r="S149" s="44">
        <v>0</v>
      </c>
      <c r="T149" s="44">
        <v>0</v>
      </c>
      <c r="U149" s="44">
        <f>SUM(B149:T149)</f>
        <v>6103.7287128989392</v>
      </c>
    </row>
    <row r="150" spans="1:21" x14ac:dyDescent="0.2">
      <c r="A150" s="41" t="s">
        <v>296</v>
      </c>
      <c r="B150" s="44">
        <v>772.21863900000005</v>
      </c>
      <c r="C150" s="44">
        <v>0</v>
      </c>
      <c r="D150" s="44">
        <v>0</v>
      </c>
      <c r="E150" s="44">
        <v>0</v>
      </c>
      <c r="F150" s="44">
        <v>0</v>
      </c>
      <c r="G150" s="44">
        <v>0</v>
      </c>
      <c r="H150" s="44">
        <v>0</v>
      </c>
      <c r="I150" s="44">
        <v>0</v>
      </c>
      <c r="J150" s="44">
        <v>0</v>
      </c>
      <c r="K150" s="44">
        <v>0</v>
      </c>
      <c r="L150" s="44">
        <v>201.27155400000001</v>
      </c>
      <c r="M150" s="44">
        <v>0</v>
      </c>
      <c r="N150" s="44">
        <v>0</v>
      </c>
      <c r="O150" s="44">
        <v>0</v>
      </c>
      <c r="P150" s="44">
        <v>0</v>
      </c>
      <c r="Q150" s="44">
        <v>0</v>
      </c>
      <c r="R150" s="44">
        <v>0</v>
      </c>
      <c r="S150" s="44">
        <v>0</v>
      </c>
      <c r="T150" s="44">
        <v>1739.667977626947</v>
      </c>
      <c r="U150" s="44">
        <f>SUM(B150:T150)</f>
        <v>2713.1581706269471</v>
      </c>
    </row>
    <row r="151" spans="1:21" ht="10.5" x14ac:dyDescent="0.25">
      <c r="A151" s="45" t="s">
        <v>164</v>
      </c>
      <c r="B151" s="46">
        <f t="shared" ref="B151:U151" si="26">SUM(B148:B150)</f>
        <v>133942.86077172146</v>
      </c>
      <c r="C151" s="46">
        <f t="shared" si="26"/>
        <v>0</v>
      </c>
      <c r="D151" s="46">
        <f t="shared" si="26"/>
        <v>0</v>
      </c>
      <c r="E151" s="46">
        <f t="shared" si="26"/>
        <v>694.62405000000001</v>
      </c>
      <c r="F151" s="46">
        <f t="shared" si="26"/>
        <v>0</v>
      </c>
      <c r="G151" s="46">
        <f t="shared" si="26"/>
        <v>0</v>
      </c>
      <c r="H151" s="46">
        <f t="shared" si="26"/>
        <v>1052.9958412440444</v>
      </c>
      <c r="I151" s="46">
        <f t="shared" si="26"/>
        <v>0</v>
      </c>
      <c r="J151" s="46">
        <f t="shared" si="26"/>
        <v>0</v>
      </c>
      <c r="K151" s="46">
        <f t="shared" si="26"/>
        <v>0</v>
      </c>
      <c r="L151" s="46">
        <f t="shared" si="26"/>
        <v>22304.846609778426</v>
      </c>
      <c r="M151" s="46">
        <f t="shared" si="26"/>
        <v>0</v>
      </c>
      <c r="N151" s="46">
        <f t="shared" si="26"/>
        <v>1839.6725562424303</v>
      </c>
      <c r="O151" s="46">
        <f t="shared" si="26"/>
        <v>0</v>
      </c>
      <c r="P151" s="46">
        <f t="shared" si="26"/>
        <v>0</v>
      </c>
      <c r="Q151" s="46">
        <f t="shared" si="26"/>
        <v>0</v>
      </c>
      <c r="R151" s="46">
        <f t="shared" si="26"/>
        <v>0</v>
      </c>
      <c r="S151" s="46">
        <f t="shared" si="26"/>
        <v>0</v>
      </c>
      <c r="T151" s="46">
        <f t="shared" si="26"/>
        <v>93266.726624310395</v>
      </c>
      <c r="U151" s="46">
        <f t="shared" si="26"/>
        <v>253101.72645329678</v>
      </c>
    </row>
    <row r="152" spans="1:21" ht="10.5" x14ac:dyDescent="0.25">
      <c r="A152" s="40" t="s">
        <v>165</v>
      </c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</row>
    <row r="153" spans="1:21" x14ac:dyDescent="0.2">
      <c r="A153" s="41" t="s">
        <v>166</v>
      </c>
      <c r="B153" s="44">
        <v>-168309.36652873745</v>
      </c>
      <c r="C153" s="44">
        <v>0</v>
      </c>
      <c r="D153" s="44">
        <v>0</v>
      </c>
      <c r="E153" s="44">
        <v>0</v>
      </c>
      <c r="F153" s="44">
        <v>0</v>
      </c>
      <c r="G153" s="44">
        <v>0</v>
      </c>
      <c r="H153" s="44">
        <v>0</v>
      </c>
      <c r="I153" s="44">
        <v>0</v>
      </c>
      <c r="J153" s="44">
        <v>0</v>
      </c>
      <c r="K153" s="44">
        <v>0</v>
      </c>
      <c r="L153" s="44">
        <v>0</v>
      </c>
      <c r="M153" s="44">
        <v>0</v>
      </c>
      <c r="N153" s="44">
        <v>0</v>
      </c>
      <c r="O153" s="44">
        <v>0</v>
      </c>
      <c r="P153" s="44">
        <v>0</v>
      </c>
      <c r="Q153" s="44">
        <v>0</v>
      </c>
      <c r="R153" s="44">
        <v>0</v>
      </c>
      <c r="S153" s="44">
        <v>0</v>
      </c>
      <c r="T153" s="44">
        <v>0</v>
      </c>
      <c r="U153" s="44">
        <f>SUM(B153:T153)</f>
        <v>-168309.36652873745</v>
      </c>
    </row>
    <row r="154" spans="1:21" x14ac:dyDescent="0.2">
      <c r="A154" s="41" t="s">
        <v>167</v>
      </c>
      <c r="B154" s="44">
        <v>266035.17781891703</v>
      </c>
      <c r="C154" s="44">
        <v>0</v>
      </c>
      <c r="D154" s="44">
        <v>0</v>
      </c>
      <c r="E154" s="44">
        <v>5259.28261510828</v>
      </c>
      <c r="F154" s="44">
        <v>0</v>
      </c>
      <c r="G154" s="44">
        <v>68527.166309051725</v>
      </c>
      <c r="H154" s="44">
        <v>0</v>
      </c>
      <c r="I154" s="44">
        <v>0</v>
      </c>
      <c r="J154" s="44">
        <v>0</v>
      </c>
      <c r="K154" s="44">
        <v>0</v>
      </c>
      <c r="L154" s="44">
        <v>0</v>
      </c>
      <c r="M154" s="44">
        <v>0</v>
      </c>
      <c r="N154" s="44">
        <v>14979.817387851093</v>
      </c>
      <c r="O154" s="44">
        <v>0</v>
      </c>
      <c r="P154" s="44">
        <v>1579.3724187085279</v>
      </c>
      <c r="Q154" s="44">
        <v>0</v>
      </c>
      <c r="R154" s="44">
        <v>0</v>
      </c>
      <c r="S154" s="44">
        <v>0</v>
      </c>
      <c r="T154" s="44">
        <v>34994.918501360924</v>
      </c>
      <c r="U154" s="44">
        <f>SUM(B154:T154)</f>
        <v>391375.73505099758</v>
      </c>
    </row>
    <row r="155" spans="1:21" ht="10.5" x14ac:dyDescent="0.25">
      <c r="A155" s="45" t="s">
        <v>168</v>
      </c>
      <c r="B155" s="46">
        <f t="shared" ref="B155:U155" si="27">SUM(B153:B154)</f>
        <v>97725.811290179583</v>
      </c>
      <c r="C155" s="46">
        <f t="shared" si="27"/>
        <v>0</v>
      </c>
      <c r="D155" s="46">
        <f t="shared" si="27"/>
        <v>0</v>
      </c>
      <c r="E155" s="46">
        <f t="shared" si="27"/>
        <v>5259.28261510828</v>
      </c>
      <c r="F155" s="46">
        <f t="shared" si="27"/>
        <v>0</v>
      </c>
      <c r="G155" s="46">
        <f t="shared" si="27"/>
        <v>68527.166309051725</v>
      </c>
      <c r="H155" s="46">
        <f t="shared" si="27"/>
        <v>0</v>
      </c>
      <c r="I155" s="46">
        <f t="shared" si="27"/>
        <v>0</v>
      </c>
      <c r="J155" s="46">
        <f t="shared" si="27"/>
        <v>0</v>
      </c>
      <c r="K155" s="46">
        <f t="shared" si="27"/>
        <v>0</v>
      </c>
      <c r="L155" s="46">
        <f t="shared" si="27"/>
        <v>0</v>
      </c>
      <c r="M155" s="46">
        <f t="shared" si="27"/>
        <v>0</v>
      </c>
      <c r="N155" s="46">
        <f t="shared" si="27"/>
        <v>14979.817387851093</v>
      </c>
      <c r="O155" s="46">
        <f t="shared" si="27"/>
        <v>0</v>
      </c>
      <c r="P155" s="46">
        <f t="shared" si="27"/>
        <v>1579.3724187085279</v>
      </c>
      <c r="Q155" s="46">
        <f t="shared" si="27"/>
        <v>0</v>
      </c>
      <c r="R155" s="46">
        <f t="shared" si="27"/>
        <v>0</v>
      </c>
      <c r="S155" s="46">
        <f t="shared" si="27"/>
        <v>0</v>
      </c>
      <c r="T155" s="46">
        <f t="shared" si="27"/>
        <v>34994.918501360924</v>
      </c>
      <c r="U155" s="46">
        <f t="shared" si="27"/>
        <v>223066.36852226013</v>
      </c>
    </row>
    <row r="156" spans="1:21" ht="10.5" x14ac:dyDescent="0.25">
      <c r="A156" s="47" t="s">
        <v>169</v>
      </c>
      <c r="B156" s="46">
        <f t="shared" ref="B156:U156" si="28">SUM(B129:B146,B151,B155)</f>
        <v>1385979.7617545209</v>
      </c>
      <c r="C156" s="46">
        <f t="shared" si="28"/>
        <v>0</v>
      </c>
      <c r="D156" s="46">
        <f t="shared" si="28"/>
        <v>197.42155233856599</v>
      </c>
      <c r="E156" s="46">
        <f t="shared" si="28"/>
        <v>61859.35020925857</v>
      </c>
      <c r="F156" s="46">
        <f t="shared" si="28"/>
        <v>3316.0176990727909</v>
      </c>
      <c r="G156" s="46">
        <f t="shared" si="28"/>
        <v>103139.28908231728</v>
      </c>
      <c r="H156" s="46">
        <f t="shared" si="28"/>
        <v>4847.0185632463817</v>
      </c>
      <c r="I156" s="46">
        <f t="shared" si="28"/>
        <v>0</v>
      </c>
      <c r="J156" s="46">
        <f t="shared" si="28"/>
        <v>0</v>
      </c>
      <c r="K156" s="46">
        <f t="shared" si="28"/>
        <v>0</v>
      </c>
      <c r="L156" s="46">
        <f t="shared" si="28"/>
        <v>64257.775975840159</v>
      </c>
      <c r="M156" s="46">
        <f t="shared" si="28"/>
        <v>0</v>
      </c>
      <c r="N156" s="46">
        <f t="shared" si="28"/>
        <v>104925.67004041004</v>
      </c>
      <c r="O156" s="46">
        <f t="shared" si="28"/>
        <v>0</v>
      </c>
      <c r="P156" s="46">
        <f t="shared" si="28"/>
        <v>2708.8424187085279</v>
      </c>
      <c r="Q156" s="46">
        <f t="shared" si="28"/>
        <v>0</v>
      </c>
      <c r="R156" s="46">
        <f t="shared" si="28"/>
        <v>0</v>
      </c>
      <c r="S156" s="46">
        <f t="shared" si="28"/>
        <v>0</v>
      </c>
      <c r="T156" s="46">
        <f t="shared" si="28"/>
        <v>275597.63472757023</v>
      </c>
      <c r="U156" s="46">
        <f t="shared" si="28"/>
        <v>2006828.7820232832</v>
      </c>
    </row>
    <row r="157" spans="1:21" ht="10.5" x14ac:dyDescent="0.25">
      <c r="A157" s="48" t="s">
        <v>171</v>
      </c>
      <c r="B157" s="46">
        <f t="shared" ref="B157:U157" si="29">SUM(B127,B156)</f>
        <v>4362302.4018479483</v>
      </c>
      <c r="C157" s="46">
        <f t="shared" si="29"/>
        <v>0</v>
      </c>
      <c r="D157" s="46">
        <f t="shared" si="29"/>
        <v>197.42155233856599</v>
      </c>
      <c r="E157" s="46">
        <f t="shared" si="29"/>
        <v>120275.30327935357</v>
      </c>
      <c r="F157" s="46">
        <f t="shared" si="29"/>
        <v>3316.0176990727909</v>
      </c>
      <c r="G157" s="46">
        <f t="shared" si="29"/>
        <v>114922.32903635476</v>
      </c>
      <c r="H157" s="46">
        <f t="shared" si="29"/>
        <v>6389.6556308917834</v>
      </c>
      <c r="I157" s="46">
        <f t="shared" si="29"/>
        <v>99.890326799999997</v>
      </c>
      <c r="J157" s="46">
        <f t="shared" si="29"/>
        <v>0</v>
      </c>
      <c r="K157" s="46">
        <f t="shared" si="29"/>
        <v>0</v>
      </c>
      <c r="L157" s="46">
        <f t="shared" si="29"/>
        <v>64257.775975840159</v>
      </c>
      <c r="M157" s="46">
        <f t="shared" si="29"/>
        <v>0</v>
      </c>
      <c r="N157" s="46">
        <f t="shared" si="29"/>
        <v>117649.66473516799</v>
      </c>
      <c r="O157" s="46">
        <f t="shared" si="29"/>
        <v>0</v>
      </c>
      <c r="P157" s="46">
        <f t="shared" si="29"/>
        <v>2708.8424187085279</v>
      </c>
      <c r="Q157" s="46">
        <f t="shared" si="29"/>
        <v>38249.265002839733</v>
      </c>
      <c r="R157" s="46">
        <f t="shared" si="29"/>
        <v>0</v>
      </c>
      <c r="S157" s="46">
        <f t="shared" si="29"/>
        <v>0</v>
      </c>
      <c r="T157" s="46">
        <f t="shared" si="29"/>
        <v>319903.25505258393</v>
      </c>
      <c r="U157" s="46">
        <f t="shared" si="29"/>
        <v>5150271.8225579001</v>
      </c>
    </row>
    <row r="158" spans="1:21" ht="10.5" x14ac:dyDescent="0.2">
      <c r="A158" s="50" t="s">
        <v>46</v>
      </c>
      <c r="B158" s="51">
        <f t="shared" ref="B158:U158" si="30">B34-B157</f>
        <v>-3703873.0432157679</v>
      </c>
      <c r="C158" s="51">
        <f t="shared" si="30"/>
        <v>4840.6153597907032</v>
      </c>
      <c r="D158" s="51">
        <f t="shared" si="30"/>
        <v>1538.2850454148906</v>
      </c>
      <c r="E158" s="51">
        <f t="shared" si="30"/>
        <v>2841804.5887901788</v>
      </c>
      <c r="F158" s="51">
        <f t="shared" si="30"/>
        <v>18330.571902978809</v>
      </c>
      <c r="G158" s="51">
        <f t="shared" si="30"/>
        <v>178880.04307459659</v>
      </c>
      <c r="H158" s="51">
        <f t="shared" si="30"/>
        <v>12205.80092524648</v>
      </c>
      <c r="I158" s="51">
        <f t="shared" si="30"/>
        <v>4129.902394006941</v>
      </c>
      <c r="J158" s="51">
        <f t="shared" si="30"/>
        <v>21.055996213205617</v>
      </c>
      <c r="K158" s="51">
        <f t="shared" si="30"/>
        <v>5905.0476015158365</v>
      </c>
      <c r="L158" s="51">
        <f t="shared" si="30"/>
        <v>-53574.399726054064</v>
      </c>
      <c r="M158" s="51">
        <f t="shared" si="30"/>
        <v>13286.761532297351</v>
      </c>
      <c r="N158" s="51">
        <f t="shared" si="30"/>
        <v>-57920.475231699551</v>
      </c>
      <c r="O158" s="51">
        <f t="shared" si="30"/>
        <v>57.534818259577662</v>
      </c>
      <c r="P158" s="51">
        <f t="shared" si="30"/>
        <v>4007.037332022735</v>
      </c>
      <c r="Q158" s="51">
        <f t="shared" si="30"/>
        <v>-48618.188636294086</v>
      </c>
      <c r="R158" s="51">
        <f t="shared" si="30"/>
        <v>36191.535825840328</v>
      </c>
      <c r="S158" s="51">
        <f t="shared" si="30"/>
        <v>60.384170158693451</v>
      </c>
      <c r="T158" s="51">
        <f t="shared" si="30"/>
        <v>-200544.50438999705</v>
      </c>
      <c r="U158" s="51">
        <f t="shared" si="30"/>
        <v>-943271.44643129408</v>
      </c>
    </row>
    <row r="159" spans="1:21" ht="10.5" x14ac:dyDescent="0.2">
      <c r="A159" s="36" t="s">
        <v>172</v>
      </c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</row>
    <row r="160" spans="1:21" ht="10.5" x14ac:dyDescent="0.25">
      <c r="A160" s="38" t="s">
        <v>173</v>
      </c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</row>
    <row r="161" spans="1:21" ht="10.5" x14ac:dyDescent="0.25">
      <c r="A161" s="39" t="s">
        <v>174</v>
      </c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</row>
    <row r="162" spans="1:21" x14ac:dyDescent="0.2">
      <c r="A162" s="52" t="s">
        <v>297</v>
      </c>
      <c r="B162" s="44">
        <v>8.1369035582039995E-3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4">
        <v>0</v>
      </c>
      <c r="J162" s="44">
        <v>0</v>
      </c>
      <c r="K162" s="44">
        <v>0</v>
      </c>
      <c r="L162" s="44">
        <v>0</v>
      </c>
      <c r="M162" s="44">
        <v>0</v>
      </c>
      <c r="N162" s="44">
        <v>0</v>
      </c>
      <c r="O162" s="44">
        <v>0</v>
      </c>
      <c r="P162" s="44">
        <v>0</v>
      </c>
      <c r="Q162" s="44">
        <v>0</v>
      </c>
      <c r="R162" s="44">
        <v>0</v>
      </c>
      <c r="S162" s="44">
        <v>0</v>
      </c>
      <c r="T162" s="44">
        <v>0</v>
      </c>
      <c r="U162" s="44">
        <f>SUM(B162:T162)</f>
        <v>8.1369035582039995E-3</v>
      </c>
    </row>
    <row r="163" spans="1:21" x14ac:dyDescent="0.2">
      <c r="A163" s="52" t="s">
        <v>175</v>
      </c>
      <c r="B163" s="44">
        <v>34.199968209284606</v>
      </c>
      <c r="C163" s="44">
        <v>0</v>
      </c>
      <c r="D163" s="44">
        <v>0</v>
      </c>
      <c r="E163" s="44">
        <v>0</v>
      </c>
      <c r="F163" s="44">
        <v>0</v>
      </c>
      <c r="G163" s="44">
        <v>0</v>
      </c>
      <c r="H163" s="44">
        <v>0</v>
      </c>
      <c r="I163" s="44">
        <v>0</v>
      </c>
      <c r="J163" s="44">
        <v>0</v>
      </c>
      <c r="K163" s="44">
        <v>0</v>
      </c>
      <c r="L163" s="44">
        <v>0</v>
      </c>
      <c r="M163" s="44">
        <v>0</v>
      </c>
      <c r="N163" s="44">
        <v>0</v>
      </c>
      <c r="O163" s="44">
        <v>0</v>
      </c>
      <c r="P163" s="44">
        <v>0</v>
      </c>
      <c r="Q163" s="44">
        <v>0</v>
      </c>
      <c r="R163" s="44">
        <v>0</v>
      </c>
      <c r="S163" s="44">
        <v>0</v>
      </c>
      <c r="T163" s="44">
        <v>0</v>
      </c>
      <c r="U163" s="44">
        <f>SUM(B163:T163)</f>
        <v>34.199968209284606</v>
      </c>
    </row>
    <row r="164" spans="1:21" x14ac:dyDescent="0.2">
      <c r="A164" s="52" t="s">
        <v>176</v>
      </c>
      <c r="B164" s="44">
        <v>-166.48400114211884</v>
      </c>
      <c r="C164" s="44">
        <v>0</v>
      </c>
      <c r="D164" s="44">
        <v>0</v>
      </c>
      <c r="E164" s="44">
        <v>0</v>
      </c>
      <c r="F164" s="44">
        <v>0</v>
      </c>
      <c r="G164" s="44">
        <v>0</v>
      </c>
      <c r="H164" s="44">
        <v>0</v>
      </c>
      <c r="I164" s="44">
        <v>0</v>
      </c>
      <c r="J164" s="44">
        <v>0</v>
      </c>
      <c r="K164" s="44">
        <v>0</v>
      </c>
      <c r="L164" s="44">
        <v>0</v>
      </c>
      <c r="M164" s="44">
        <v>0</v>
      </c>
      <c r="N164" s="44">
        <v>0</v>
      </c>
      <c r="O164" s="44">
        <v>0</v>
      </c>
      <c r="P164" s="44">
        <v>0</v>
      </c>
      <c r="Q164" s="44">
        <v>0</v>
      </c>
      <c r="R164" s="44">
        <v>0</v>
      </c>
      <c r="S164" s="44">
        <v>0</v>
      </c>
      <c r="T164" s="44">
        <v>0</v>
      </c>
      <c r="U164" s="44">
        <f>SUM(B164:T164)</f>
        <v>-166.48400114211884</v>
      </c>
    </row>
    <row r="165" spans="1:21" ht="10.5" x14ac:dyDescent="0.25">
      <c r="A165" s="47" t="s">
        <v>177</v>
      </c>
      <c r="B165" s="46">
        <f t="shared" ref="B165:U165" si="31">SUM(B162:B164)</f>
        <v>-132.27589602927603</v>
      </c>
      <c r="C165" s="46">
        <f t="shared" si="31"/>
        <v>0</v>
      </c>
      <c r="D165" s="46">
        <f t="shared" si="31"/>
        <v>0</v>
      </c>
      <c r="E165" s="46">
        <f t="shared" si="31"/>
        <v>0</v>
      </c>
      <c r="F165" s="46">
        <f t="shared" si="31"/>
        <v>0</v>
      </c>
      <c r="G165" s="46">
        <f t="shared" si="31"/>
        <v>0</v>
      </c>
      <c r="H165" s="46">
        <f t="shared" si="31"/>
        <v>0</v>
      </c>
      <c r="I165" s="46">
        <f t="shared" si="31"/>
        <v>0</v>
      </c>
      <c r="J165" s="46">
        <f t="shared" si="31"/>
        <v>0</v>
      </c>
      <c r="K165" s="46">
        <f t="shared" si="31"/>
        <v>0</v>
      </c>
      <c r="L165" s="46">
        <f t="shared" si="31"/>
        <v>0</v>
      </c>
      <c r="M165" s="46">
        <f t="shared" si="31"/>
        <v>0</v>
      </c>
      <c r="N165" s="46">
        <f t="shared" si="31"/>
        <v>0</v>
      </c>
      <c r="O165" s="46">
        <f t="shared" si="31"/>
        <v>0</v>
      </c>
      <c r="P165" s="46">
        <f t="shared" si="31"/>
        <v>0</v>
      </c>
      <c r="Q165" s="46">
        <f t="shared" si="31"/>
        <v>0</v>
      </c>
      <c r="R165" s="46">
        <f t="shared" si="31"/>
        <v>0</v>
      </c>
      <c r="S165" s="46">
        <f t="shared" si="31"/>
        <v>0</v>
      </c>
      <c r="T165" s="46">
        <f t="shared" si="31"/>
        <v>0</v>
      </c>
      <c r="U165" s="46">
        <f t="shared" si="31"/>
        <v>-132.27589602927603</v>
      </c>
    </row>
    <row r="166" spans="1:21" ht="10.5" x14ac:dyDescent="0.25">
      <c r="A166" s="48" t="s">
        <v>178</v>
      </c>
      <c r="B166" s="46">
        <f t="shared" ref="B166:U166" si="32">SUM(B165)</f>
        <v>-132.27589602927603</v>
      </c>
      <c r="C166" s="46">
        <f t="shared" si="32"/>
        <v>0</v>
      </c>
      <c r="D166" s="46">
        <f t="shared" si="32"/>
        <v>0</v>
      </c>
      <c r="E166" s="46">
        <f t="shared" si="32"/>
        <v>0</v>
      </c>
      <c r="F166" s="46">
        <f t="shared" si="32"/>
        <v>0</v>
      </c>
      <c r="G166" s="46">
        <f t="shared" si="32"/>
        <v>0</v>
      </c>
      <c r="H166" s="46">
        <f t="shared" si="32"/>
        <v>0</v>
      </c>
      <c r="I166" s="46">
        <f t="shared" si="32"/>
        <v>0</v>
      </c>
      <c r="J166" s="46">
        <f t="shared" si="32"/>
        <v>0</v>
      </c>
      <c r="K166" s="46">
        <f t="shared" si="32"/>
        <v>0</v>
      </c>
      <c r="L166" s="46">
        <f t="shared" si="32"/>
        <v>0</v>
      </c>
      <c r="M166" s="46">
        <f t="shared" si="32"/>
        <v>0</v>
      </c>
      <c r="N166" s="46">
        <f t="shared" si="32"/>
        <v>0</v>
      </c>
      <c r="O166" s="46">
        <f t="shared" si="32"/>
        <v>0</v>
      </c>
      <c r="P166" s="46">
        <f t="shared" si="32"/>
        <v>0</v>
      </c>
      <c r="Q166" s="46">
        <f t="shared" si="32"/>
        <v>0</v>
      </c>
      <c r="R166" s="46">
        <f t="shared" si="32"/>
        <v>0</v>
      </c>
      <c r="S166" s="46">
        <f t="shared" si="32"/>
        <v>0</v>
      </c>
      <c r="T166" s="46">
        <f t="shared" si="32"/>
        <v>0</v>
      </c>
      <c r="U166" s="46">
        <f t="shared" si="32"/>
        <v>-132.27589602927603</v>
      </c>
    </row>
    <row r="167" spans="1:21" ht="10.5" x14ac:dyDescent="0.25">
      <c r="A167" s="38" t="s">
        <v>179</v>
      </c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</row>
    <row r="168" spans="1:21" x14ac:dyDescent="0.2">
      <c r="A168" s="56" t="s">
        <v>180</v>
      </c>
      <c r="B168" s="44">
        <v>-1711.517523259236</v>
      </c>
      <c r="C168" s="44">
        <v>0</v>
      </c>
      <c r="D168" s="44">
        <v>0</v>
      </c>
      <c r="E168" s="44">
        <v>0</v>
      </c>
      <c r="F168" s="44">
        <v>0</v>
      </c>
      <c r="G168" s="44">
        <v>0</v>
      </c>
      <c r="H168" s="44">
        <v>0</v>
      </c>
      <c r="I168" s="44">
        <v>0</v>
      </c>
      <c r="J168" s="44">
        <v>0</v>
      </c>
      <c r="K168" s="44">
        <v>0</v>
      </c>
      <c r="L168" s="44">
        <v>0</v>
      </c>
      <c r="M168" s="44">
        <v>0</v>
      </c>
      <c r="N168" s="44">
        <v>0</v>
      </c>
      <c r="O168" s="44">
        <v>0</v>
      </c>
      <c r="P168" s="44">
        <v>0</v>
      </c>
      <c r="Q168" s="44">
        <v>0</v>
      </c>
      <c r="R168" s="44">
        <v>0</v>
      </c>
      <c r="S168" s="44">
        <v>0</v>
      </c>
      <c r="T168" s="44">
        <v>0</v>
      </c>
      <c r="U168" s="44">
        <f>SUM(B168:T168)</f>
        <v>-1711.517523259236</v>
      </c>
    </row>
    <row r="169" spans="1:21" ht="10.5" x14ac:dyDescent="0.25">
      <c r="A169" s="39" t="s">
        <v>181</v>
      </c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</row>
    <row r="170" spans="1:21" x14ac:dyDescent="0.2">
      <c r="A170" s="52" t="s">
        <v>182</v>
      </c>
      <c r="B170" s="44">
        <v>5207.7309520479448</v>
      </c>
      <c r="C170" s="44">
        <v>0</v>
      </c>
      <c r="D170" s="44">
        <v>0</v>
      </c>
      <c r="E170" s="44">
        <v>0</v>
      </c>
      <c r="F170" s="44">
        <v>0</v>
      </c>
      <c r="G170" s="44">
        <v>0</v>
      </c>
      <c r="H170" s="44">
        <v>0</v>
      </c>
      <c r="I170" s="44">
        <v>0</v>
      </c>
      <c r="J170" s="44">
        <v>0</v>
      </c>
      <c r="K170" s="44">
        <v>0</v>
      </c>
      <c r="L170" s="44">
        <v>0</v>
      </c>
      <c r="M170" s="44">
        <v>0</v>
      </c>
      <c r="N170" s="44">
        <v>0</v>
      </c>
      <c r="O170" s="44">
        <v>0</v>
      </c>
      <c r="P170" s="44">
        <v>0</v>
      </c>
      <c r="Q170" s="44">
        <v>0</v>
      </c>
      <c r="R170" s="44">
        <v>0</v>
      </c>
      <c r="S170" s="44">
        <v>0</v>
      </c>
      <c r="T170" s="44">
        <v>0</v>
      </c>
      <c r="U170" s="44">
        <f>SUM(B170:T170)</f>
        <v>5207.7309520479448</v>
      </c>
    </row>
    <row r="171" spans="1:21" ht="10.5" x14ac:dyDescent="0.25">
      <c r="A171" s="47" t="s">
        <v>183</v>
      </c>
      <c r="B171" s="46">
        <f t="shared" ref="B171:U171" si="33">SUM(B170)</f>
        <v>5207.7309520479448</v>
      </c>
      <c r="C171" s="46">
        <f t="shared" si="33"/>
        <v>0</v>
      </c>
      <c r="D171" s="46">
        <f t="shared" si="33"/>
        <v>0</v>
      </c>
      <c r="E171" s="46">
        <f t="shared" si="33"/>
        <v>0</v>
      </c>
      <c r="F171" s="46">
        <f t="shared" si="33"/>
        <v>0</v>
      </c>
      <c r="G171" s="46">
        <f t="shared" si="33"/>
        <v>0</v>
      </c>
      <c r="H171" s="46">
        <f t="shared" si="33"/>
        <v>0</v>
      </c>
      <c r="I171" s="46">
        <f t="shared" si="33"/>
        <v>0</v>
      </c>
      <c r="J171" s="46">
        <f t="shared" si="33"/>
        <v>0</v>
      </c>
      <c r="K171" s="46">
        <f t="shared" si="33"/>
        <v>0</v>
      </c>
      <c r="L171" s="46">
        <f t="shared" si="33"/>
        <v>0</v>
      </c>
      <c r="M171" s="46">
        <f t="shared" si="33"/>
        <v>0</v>
      </c>
      <c r="N171" s="46">
        <f t="shared" si="33"/>
        <v>0</v>
      </c>
      <c r="O171" s="46">
        <f t="shared" si="33"/>
        <v>0</v>
      </c>
      <c r="P171" s="46">
        <f t="shared" si="33"/>
        <v>0</v>
      </c>
      <c r="Q171" s="46">
        <f t="shared" si="33"/>
        <v>0</v>
      </c>
      <c r="R171" s="46">
        <f t="shared" si="33"/>
        <v>0</v>
      </c>
      <c r="S171" s="46">
        <f t="shared" si="33"/>
        <v>0</v>
      </c>
      <c r="T171" s="46">
        <f t="shared" si="33"/>
        <v>0</v>
      </c>
      <c r="U171" s="46">
        <f t="shared" si="33"/>
        <v>5207.7309520479448</v>
      </c>
    </row>
    <row r="172" spans="1:21" x14ac:dyDescent="0.2">
      <c r="A172" s="56" t="s">
        <v>184</v>
      </c>
      <c r="B172" s="44">
        <v>7.1698748553657751E-2</v>
      </c>
      <c r="C172" s="44">
        <v>0</v>
      </c>
      <c r="D172" s="44">
        <v>0</v>
      </c>
      <c r="E172" s="44">
        <v>-1.0390165905676761E-2</v>
      </c>
      <c r="F172" s="44">
        <v>0</v>
      </c>
      <c r="G172" s="44">
        <v>0</v>
      </c>
      <c r="H172" s="44">
        <v>0</v>
      </c>
      <c r="I172" s="44">
        <v>0</v>
      </c>
      <c r="J172" s="44">
        <v>0</v>
      </c>
      <c r="K172" s="44">
        <v>0</v>
      </c>
      <c r="L172" s="44">
        <v>0</v>
      </c>
      <c r="M172" s="44">
        <v>0</v>
      </c>
      <c r="N172" s="44">
        <v>0</v>
      </c>
      <c r="O172" s="44">
        <v>0</v>
      </c>
      <c r="P172" s="44">
        <v>0</v>
      </c>
      <c r="Q172" s="44">
        <v>0</v>
      </c>
      <c r="R172" s="44">
        <v>0</v>
      </c>
      <c r="S172" s="44">
        <v>0</v>
      </c>
      <c r="T172" s="44">
        <v>5.6542170484244682E-2</v>
      </c>
      <c r="U172" s="44">
        <f>SUM(B172:T172)</f>
        <v>0.11785075313222568</v>
      </c>
    </row>
    <row r="173" spans="1:21" x14ac:dyDescent="0.2">
      <c r="A173" s="56" t="s">
        <v>185</v>
      </c>
      <c r="B173" s="44">
        <v>-9691.8853742340434</v>
      </c>
      <c r="C173" s="44">
        <v>0</v>
      </c>
      <c r="D173" s="44">
        <v>0</v>
      </c>
      <c r="E173" s="44">
        <v>0</v>
      </c>
      <c r="F173" s="44">
        <v>0</v>
      </c>
      <c r="G173" s="44">
        <v>0</v>
      </c>
      <c r="H173" s="44">
        <v>0</v>
      </c>
      <c r="I173" s="44">
        <v>0</v>
      </c>
      <c r="J173" s="44">
        <v>0</v>
      </c>
      <c r="K173" s="44">
        <v>0</v>
      </c>
      <c r="L173" s="44">
        <v>0</v>
      </c>
      <c r="M173" s="44">
        <v>0</v>
      </c>
      <c r="N173" s="44">
        <v>0</v>
      </c>
      <c r="O173" s="44">
        <v>0</v>
      </c>
      <c r="P173" s="44">
        <v>0</v>
      </c>
      <c r="Q173" s="44">
        <v>0</v>
      </c>
      <c r="R173" s="44">
        <v>0</v>
      </c>
      <c r="S173" s="44">
        <v>0</v>
      </c>
      <c r="T173" s="44">
        <v>1009.73</v>
      </c>
      <c r="U173" s="44">
        <f>SUM(B173:T173)</f>
        <v>-8682.1553742340438</v>
      </c>
    </row>
    <row r="174" spans="1:21" ht="10.5" x14ac:dyDescent="0.25">
      <c r="A174" s="48" t="s">
        <v>186</v>
      </c>
      <c r="B174" s="46">
        <f t="shared" ref="B174:U174" si="34">SUM(B168,B171:B173)</f>
        <v>-6195.6002466967811</v>
      </c>
      <c r="C174" s="46">
        <f t="shared" si="34"/>
        <v>0</v>
      </c>
      <c r="D174" s="46">
        <f t="shared" si="34"/>
        <v>0</v>
      </c>
      <c r="E174" s="46">
        <f t="shared" si="34"/>
        <v>-1.0390165905676761E-2</v>
      </c>
      <c r="F174" s="46">
        <f t="shared" si="34"/>
        <v>0</v>
      </c>
      <c r="G174" s="46">
        <f t="shared" si="34"/>
        <v>0</v>
      </c>
      <c r="H174" s="46">
        <f t="shared" si="34"/>
        <v>0</v>
      </c>
      <c r="I174" s="46">
        <f t="shared" si="34"/>
        <v>0</v>
      </c>
      <c r="J174" s="46">
        <f t="shared" si="34"/>
        <v>0</v>
      </c>
      <c r="K174" s="46">
        <f t="shared" si="34"/>
        <v>0</v>
      </c>
      <c r="L174" s="46">
        <f t="shared" si="34"/>
        <v>0</v>
      </c>
      <c r="M174" s="46">
        <f t="shared" si="34"/>
        <v>0</v>
      </c>
      <c r="N174" s="46">
        <f t="shared" si="34"/>
        <v>0</v>
      </c>
      <c r="O174" s="46">
        <f t="shared" si="34"/>
        <v>0</v>
      </c>
      <c r="P174" s="46">
        <f t="shared" si="34"/>
        <v>0</v>
      </c>
      <c r="Q174" s="46">
        <f t="shared" si="34"/>
        <v>0</v>
      </c>
      <c r="R174" s="46">
        <f t="shared" si="34"/>
        <v>0</v>
      </c>
      <c r="S174" s="46">
        <f t="shared" si="34"/>
        <v>0</v>
      </c>
      <c r="T174" s="46">
        <f t="shared" si="34"/>
        <v>1009.7865421704843</v>
      </c>
      <c r="U174" s="46">
        <f t="shared" si="34"/>
        <v>-5185.8240946922033</v>
      </c>
    </row>
    <row r="175" spans="1:21" ht="10.5" x14ac:dyDescent="0.2">
      <c r="A175" s="50" t="s">
        <v>187</v>
      </c>
      <c r="B175" s="51">
        <f t="shared" ref="B175:U175" si="35">B166-B174</f>
        <v>6063.3243506675053</v>
      </c>
      <c r="C175" s="51">
        <f t="shared" si="35"/>
        <v>0</v>
      </c>
      <c r="D175" s="51">
        <f t="shared" si="35"/>
        <v>0</v>
      </c>
      <c r="E175" s="51">
        <f t="shared" si="35"/>
        <v>1.0390165905676761E-2</v>
      </c>
      <c r="F175" s="51">
        <f t="shared" si="35"/>
        <v>0</v>
      </c>
      <c r="G175" s="51">
        <f t="shared" si="35"/>
        <v>0</v>
      </c>
      <c r="H175" s="51">
        <f t="shared" si="35"/>
        <v>0</v>
      </c>
      <c r="I175" s="51">
        <f t="shared" si="35"/>
        <v>0</v>
      </c>
      <c r="J175" s="51">
        <f t="shared" si="35"/>
        <v>0</v>
      </c>
      <c r="K175" s="51">
        <f t="shared" si="35"/>
        <v>0</v>
      </c>
      <c r="L175" s="51">
        <f t="shared" si="35"/>
        <v>0</v>
      </c>
      <c r="M175" s="51">
        <f t="shared" si="35"/>
        <v>0</v>
      </c>
      <c r="N175" s="51">
        <f t="shared" si="35"/>
        <v>0</v>
      </c>
      <c r="O175" s="51">
        <f t="shared" si="35"/>
        <v>0</v>
      </c>
      <c r="P175" s="51">
        <f t="shared" si="35"/>
        <v>0</v>
      </c>
      <c r="Q175" s="51">
        <f t="shared" si="35"/>
        <v>0</v>
      </c>
      <c r="R175" s="51">
        <f t="shared" si="35"/>
        <v>0</v>
      </c>
      <c r="S175" s="51">
        <f t="shared" si="35"/>
        <v>0</v>
      </c>
      <c r="T175" s="51">
        <f t="shared" si="35"/>
        <v>-1009.7865421704843</v>
      </c>
      <c r="U175" s="51">
        <f t="shared" si="35"/>
        <v>5053.5481986629275</v>
      </c>
    </row>
    <row r="176" spans="1:21" ht="10.5" x14ac:dyDescent="0.2">
      <c r="A176" s="50" t="s">
        <v>47</v>
      </c>
      <c r="B176" s="51">
        <f t="shared" ref="B176:U176" si="36">B158+B175</f>
        <v>-3697809.7188651003</v>
      </c>
      <c r="C176" s="51">
        <f t="shared" si="36"/>
        <v>4840.6153597907032</v>
      </c>
      <c r="D176" s="51">
        <f t="shared" si="36"/>
        <v>1538.2850454148906</v>
      </c>
      <c r="E176" s="51">
        <f t="shared" si="36"/>
        <v>2841804.5991803445</v>
      </c>
      <c r="F176" s="51">
        <f t="shared" si="36"/>
        <v>18330.571902978809</v>
      </c>
      <c r="G176" s="51">
        <f t="shared" si="36"/>
        <v>178880.04307459659</v>
      </c>
      <c r="H176" s="51">
        <f t="shared" si="36"/>
        <v>12205.80092524648</v>
      </c>
      <c r="I176" s="51">
        <f t="shared" si="36"/>
        <v>4129.902394006941</v>
      </c>
      <c r="J176" s="51">
        <f t="shared" si="36"/>
        <v>21.055996213205617</v>
      </c>
      <c r="K176" s="51">
        <f t="shared" si="36"/>
        <v>5905.0476015158365</v>
      </c>
      <c r="L176" s="51">
        <f t="shared" si="36"/>
        <v>-53574.399726054064</v>
      </c>
      <c r="M176" s="51">
        <f t="shared" si="36"/>
        <v>13286.761532297351</v>
      </c>
      <c r="N176" s="51">
        <f t="shared" si="36"/>
        <v>-57920.475231699551</v>
      </c>
      <c r="O176" s="51">
        <f t="shared" si="36"/>
        <v>57.534818259577662</v>
      </c>
      <c r="P176" s="51">
        <f t="shared" si="36"/>
        <v>4007.037332022735</v>
      </c>
      <c r="Q176" s="51">
        <f t="shared" si="36"/>
        <v>-48618.188636294086</v>
      </c>
      <c r="R176" s="51">
        <f t="shared" si="36"/>
        <v>36191.535825840328</v>
      </c>
      <c r="S176" s="51">
        <f t="shared" si="36"/>
        <v>60.384170158693451</v>
      </c>
      <c r="T176" s="51">
        <f t="shared" si="36"/>
        <v>-201554.29093216753</v>
      </c>
      <c r="U176" s="51">
        <f t="shared" si="36"/>
        <v>-938217.89823263115</v>
      </c>
    </row>
  </sheetData>
  <mergeCells count="6">
    <mergeCell ref="A6:U6"/>
    <mergeCell ref="A1:U1"/>
    <mergeCell ref="A2:U2"/>
    <mergeCell ref="A3:U3"/>
    <mergeCell ref="A4:U4"/>
    <mergeCell ref="A5:U5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1C634-E4A3-42AD-A4D2-EE7D7BE7AD9A}">
  <sheetPr codeName="Sheet6"/>
  <dimension ref="A1:AC178"/>
  <sheetViews>
    <sheetView workbookViewId="0">
      <selection sqref="A1:AC1"/>
    </sheetView>
  </sheetViews>
  <sheetFormatPr defaultRowHeight="10" x14ac:dyDescent="0.2"/>
  <cols>
    <col min="1" max="1" width="41.1796875" style="1" bestFit="1" customWidth="1"/>
    <col min="2" max="2" width="11" style="1" bestFit="1" customWidth="1"/>
    <col min="3" max="3" width="9" style="1" bestFit="1" customWidth="1"/>
    <col min="4" max="5" width="9.81640625" style="1" bestFit="1" customWidth="1"/>
    <col min="6" max="6" width="8.1796875" style="1" bestFit="1" customWidth="1"/>
    <col min="7" max="7" width="7.7265625" style="1" bestFit="1" customWidth="1"/>
    <col min="8" max="8" width="10.54296875" style="1" bestFit="1" customWidth="1"/>
    <col min="9" max="9" width="7.7265625" style="1" bestFit="1" customWidth="1"/>
    <col min="10" max="10" width="10.54296875" style="1" bestFit="1" customWidth="1"/>
    <col min="11" max="11" width="9" style="1" bestFit="1" customWidth="1"/>
    <col min="12" max="12" width="8.54296875" style="1" bestFit="1" customWidth="1"/>
    <col min="13" max="13" width="8.1796875" style="1" bestFit="1" customWidth="1"/>
    <col min="14" max="15" width="10.54296875" style="1" bestFit="1" customWidth="1"/>
    <col min="16" max="16" width="9" style="1" bestFit="1" customWidth="1"/>
    <col min="17" max="17" width="8.1796875" style="1" bestFit="1" customWidth="1"/>
    <col min="18" max="18" width="9" style="1" bestFit="1" customWidth="1"/>
    <col min="19" max="19" width="8.36328125" style="1" bestFit="1" customWidth="1"/>
    <col min="20" max="20" width="9" style="1" bestFit="1" customWidth="1"/>
    <col min="21" max="21" width="9.36328125" style="1" bestFit="1" customWidth="1"/>
    <col min="22" max="22" width="8.54296875" style="1" bestFit="1" customWidth="1"/>
    <col min="23" max="23" width="9.81640625" style="1" bestFit="1" customWidth="1"/>
    <col min="24" max="24" width="11.1796875" style="1" bestFit="1" customWidth="1"/>
    <col min="25" max="25" width="10.81640625" style="1" bestFit="1" customWidth="1"/>
    <col min="26" max="27" width="10.54296875" style="1" bestFit="1" customWidth="1"/>
    <col min="28" max="28" width="14" style="1" bestFit="1" customWidth="1"/>
    <col min="29" max="29" width="10.54296875" style="1" bestFit="1" customWidth="1"/>
    <col min="30" max="16384" width="8.7265625" style="1"/>
  </cols>
  <sheetData>
    <row r="1" spans="1:29" ht="15.5" x14ac:dyDescent="0.35">
      <c r="A1" s="62" t="s">
        <v>0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</row>
    <row r="2" spans="1:29" ht="15.5" x14ac:dyDescent="0.35">
      <c r="A2" s="62" t="s">
        <v>1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</row>
    <row r="3" spans="1:29" ht="18" x14ac:dyDescent="0.4">
      <c r="A3" s="63" t="s">
        <v>48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</row>
    <row r="4" spans="1:29" ht="18" x14ac:dyDescent="0.4">
      <c r="A4" s="63" t="s">
        <v>199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</row>
    <row r="5" spans="1:29" ht="18" x14ac:dyDescent="0.4">
      <c r="A5" s="63" t="s">
        <v>2</v>
      </c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</row>
    <row r="6" spans="1:29" ht="18" x14ac:dyDescent="0.4">
      <c r="A6" s="63" t="s">
        <v>2</v>
      </c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</row>
    <row r="7" spans="1:29" x14ac:dyDescent="0.2">
      <c r="A7" s="27" t="s">
        <v>3</v>
      </c>
      <c r="B7" s="32" t="s">
        <v>188</v>
      </c>
      <c r="C7" s="67" t="s">
        <v>191</v>
      </c>
      <c r="D7" s="67"/>
      <c r="E7" s="67"/>
      <c r="F7" s="67"/>
      <c r="G7" s="67"/>
      <c r="H7" s="67"/>
      <c r="I7" s="67"/>
      <c r="J7" s="67"/>
      <c r="K7" s="67" t="s">
        <v>192</v>
      </c>
      <c r="L7" s="67"/>
      <c r="M7" s="67"/>
      <c r="N7" s="67"/>
      <c r="O7" s="67"/>
      <c r="P7" s="67" t="s">
        <v>193</v>
      </c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32" t="s">
        <v>21</v>
      </c>
      <c r="AC7" s="32" t="s">
        <v>51</v>
      </c>
    </row>
    <row r="8" spans="1:29" x14ac:dyDescent="0.2">
      <c r="A8" s="27" t="s">
        <v>49</v>
      </c>
      <c r="B8" s="66" t="s">
        <v>10</v>
      </c>
      <c r="C8" s="66" t="s">
        <v>10</v>
      </c>
      <c r="D8" s="32" t="s">
        <v>38</v>
      </c>
      <c r="E8" s="32" t="s">
        <v>194</v>
      </c>
      <c r="F8" s="32" t="s">
        <v>298</v>
      </c>
      <c r="G8" s="32" t="s">
        <v>209</v>
      </c>
      <c r="H8" s="32" t="s">
        <v>35</v>
      </c>
      <c r="I8" s="32" t="s">
        <v>205</v>
      </c>
      <c r="J8" s="32" t="s">
        <v>51</v>
      </c>
      <c r="K8" s="66" t="s">
        <v>10</v>
      </c>
      <c r="L8" s="32" t="s">
        <v>32</v>
      </c>
      <c r="M8" s="32" t="s">
        <v>34</v>
      </c>
      <c r="N8" s="32" t="s">
        <v>36</v>
      </c>
      <c r="O8" s="32" t="s">
        <v>51</v>
      </c>
      <c r="P8" s="66" t="s">
        <v>10</v>
      </c>
      <c r="Q8" s="67" t="s">
        <v>195</v>
      </c>
      <c r="R8" s="67"/>
      <c r="S8" s="67"/>
      <c r="T8" s="67"/>
      <c r="U8" s="67" t="s">
        <v>27</v>
      </c>
      <c r="V8" s="67"/>
      <c r="W8" s="67"/>
      <c r="X8" s="67"/>
      <c r="Y8" s="67"/>
      <c r="Z8" s="67"/>
      <c r="AA8" s="32" t="s">
        <v>51</v>
      </c>
      <c r="AB8" s="66" t="s">
        <v>10</v>
      </c>
      <c r="AC8" s="66" t="s">
        <v>10</v>
      </c>
    </row>
    <row r="9" spans="1:29" x14ac:dyDescent="0.2">
      <c r="A9" s="27" t="s">
        <v>49</v>
      </c>
      <c r="B9" s="66"/>
      <c r="C9" s="66"/>
      <c r="D9" s="66" t="s">
        <v>10</v>
      </c>
      <c r="E9" s="66" t="s">
        <v>10</v>
      </c>
      <c r="F9" s="66" t="s">
        <v>10</v>
      </c>
      <c r="G9" s="66" t="s">
        <v>10</v>
      </c>
      <c r="H9" s="66" t="s">
        <v>10</v>
      </c>
      <c r="I9" s="66" t="s">
        <v>10</v>
      </c>
      <c r="J9" s="66" t="s">
        <v>10</v>
      </c>
      <c r="K9" s="66"/>
      <c r="L9" s="66" t="s">
        <v>10</v>
      </c>
      <c r="M9" s="66" t="s">
        <v>10</v>
      </c>
      <c r="N9" s="66" t="s">
        <v>10</v>
      </c>
      <c r="O9" s="66" t="s">
        <v>10</v>
      </c>
      <c r="P9" s="66"/>
      <c r="Q9" s="66" t="s">
        <v>10</v>
      </c>
      <c r="R9" s="32" t="s">
        <v>42</v>
      </c>
      <c r="S9" s="32" t="s">
        <v>236</v>
      </c>
      <c r="T9" s="32" t="s">
        <v>51</v>
      </c>
      <c r="U9" s="66" t="s">
        <v>10</v>
      </c>
      <c r="V9" s="32" t="s">
        <v>39</v>
      </c>
      <c r="W9" s="32" t="s">
        <v>23</v>
      </c>
      <c r="X9" s="32" t="s">
        <v>299</v>
      </c>
      <c r="Y9" s="32" t="s">
        <v>19</v>
      </c>
      <c r="Z9" s="32" t="s">
        <v>51</v>
      </c>
      <c r="AA9" s="66" t="s">
        <v>10</v>
      </c>
      <c r="AB9" s="66"/>
      <c r="AC9" s="66"/>
    </row>
    <row r="10" spans="1:29" x14ac:dyDescent="0.2">
      <c r="A10" s="27" t="s">
        <v>49</v>
      </c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32" t="s">
        <v>10</v>
      </c>
      <c r="S10" s="32" t="s">
        <v>10</v>
      </c>
      <c r="T10" s="32" t="s">
        <v>10</v>
      </c>
      <c r="U10" s="66"/>
      <c r="V10" s="32" t="s">
        <v>10</v>
      </c>
      <c r="W10" s="32" t="s">
        <v>10</v>
      </c>
      <c r="X10" s="32" t="s">
        <v>10</v>
      </c>
      <c r="Y10" s="32" t="s">
        <v>10</v>
      </c>
      <c r="Z10" s="32" t="s">
        <v>10</v>
      </c>
      <c r="AA10" s="66"/>
      <c r="AB10" s="66"/>
      <c r="AC10" s="66"/>
    </row>
    <row r="11" spans="1:29" ht="10.5" x14ac:dyDescent="0.2">
      <c r="A11" s="4" t="s">
        <v>13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0.5" x14ac:dyDescent="0.25">
      <c r="A12" s="7" t="s">
        <v>56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10.5" x14ac:dyDescent="0.25">
      <c r="A13" s="8" t="s">
        <v>57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x14ac:dyDescent="0.2">
      <c r="A14" s="9" t="s">
        <v>58</v>
      </c>
      <c r="B14" s="10">
        <v>0</v>
      </c>
      <c r="C14" s="10">
        <v>69.749262425156232</v>
      </c>
      <c r="D14" s="10">
        <v>51507.627072145136</v>
      </c>
      <c r="E14" s="10">
        <v>39985.059787780381</v>
      </c>
      <c r="F14" s="10">
        <v>0</v>
      </c>
      <c r="G14" s="10">
        <v>4990.9728560789436</v>
      </c>
      <c r="H14" s="10">
        <v>3411257.1043719198</v>
      </c>
      <c r="I14" s="10">
        <v>8.1761705783597485</v>
      </c>
      <c r="J14" s="10">
        <f>SUM(C14:I14)</f>
        <v>3507818.6895209276</v>
      </c>
      <c r="K14" s="10">
        <v>68.334555712760761</v>
      </c>
      <c r="L14" s="10">
        <v>36043.764518082608</v>
      </c>
      <c r="M14" s="10">
        <v>0</v>
      </c>
      <c r="N14" s="10">
        <v>800587.71920900478</v>
      </c>
      <c r="O14" s="10">
        <f>SUM(K14:N14)</f>
        <v>836699.81828280014</v>
      </c>
      <c r="P14" s="10">
        <v>-13826.359035649981</v>
      </c>
      <c r="Q14" s="10">
        <v>0</v>
      </c>
      <c r="R14" s="10">
        <v>0</v>
      </c>
      <c r="S14" s="10">
        <v>3816.1433465524046</v>
      </c>
      <c r="T14" s="10">
        <f>SUM(Q14:S14)</f>
        <v>3816.1433465524046</v>
      </c>
      <c r="U14" s="10">
        <v>735189.53625844291</v>
      </c>
      <c r="V14" s="10">
        <v>11556.87097955151</v>
      </c>
      <c r="W14" s="10">
        <v>585052.58680569322</v>
      </c>
      <c r="X14" s="10">
        <v>0</v>
      </c>
      <c r="Y14" s="10">
        <v>-11072.987997511231</v>
      </c>
      <c r="Z14" s="10">
        <f>SUM(U14:Y14)</f>
        <v>1320726.0060461764</v>
      </c>
      <c r="AA14" s="10">
        <f>SUM(P14,T14,Z14)</f>
        <v>1310715.7903570789</v>
      </c>
      <c r="AB14" s="10">
        <v>190213.0029971232</v>
      </c>
      <c r="AC14" s="10">
        <f>SUM(B14,J14,O14,AA14:AB14)</f>
        <v>5845447.3011579299</v>
      </c>
    </row>
    <row r="15" spans="1:29" x14ac:dyDescent="0.2">
      <c r="A15" s="9" t="s">
        <v>59</v>
      </c>
      <c r="B15" s="10">
        <v>0</v>
      </c>
      <c r="C15" s="10">
        <v>0</v>
      </c>
      <c r="D15" s="10">
        <v>0</v>
      </c>
      <c r="E15" s="10">
        <v>34732.042741625788</v>
      </c>
      <c r="F15" s="10">
        <v>0</v>
      </c>
      <c r="G15" s="10">
        <v>0</v>
      </c>
      <c r="H15" s="10">
        <v>220203.26771896158</v>
      </c>
      <c r="I15" s="10">
        <v>5762.8052334454287</v>
      </c>
      <c r="J15" s="10">
        <f>SUM(C15:I15)</f>
        <v>260698.11569403281</v>
      </c>
      <c r="K15" s="10">
        <v>0</v>
      </c>
      <c r="L15" s="10">
        <v>0</v>
      </c>
      <c r="M15" s="10">
        <v>0</v>
      </c>
      <c r="N15" s="10">
        <v>4093.7333092925041</v>
      </c>
      <c r="O15" s="10">
        <f>SUM(K15:N15)</f>
        <v>4093.7333092925041</v>
      </c>
      <c r="P15" s="10">
        <v>0</v>
      </c>
      <c r="Q15" s="10">
        <v>0</v>
      </c>
      <c r="R15" s="10">
        <v>0</v>
      </c>
      <c r="S15" s="10">
        <v>0</v>
      </c>
      <c r="T15" s="10">
        <f>SUM(Q15:S15)</f>
        <v>0</v>
      </c>
      <c r="U15" s="10">
        <v>1922.5924012703185</v>
      </c>
      <c r="V15" s="10">
        <v>0</v>
      </c>
      <c r="W15" s="10">
        <v>21895.502315557653</v>
      </c>
      <c r="X15" s="10">
        <v>0</v>
      </c>
      <c r="Y15" s="10">
        <v>57.422436385242605</v>
      </c>
      <c r="Z15" s="10">
        <f>SUM(U15:Y15)</f>
        <v>23875.517153213212</v>
      </c>
      <c r="AA15" s="10">
        <f>SUM(P15,T15,Z15)</f>
        <v>23875.517153213212</v>
      </c>
      <c r="AB15" s="10">
        <v>-16892.002211741539</v>
      </c>
      <c r="AC15" s="10">
        <f>SUM(B15,J15,O15,AA15:AB15)</f>
        <v>271775.36394479702</v>
      </c>
    </row>
    <row r="16" spans="1:29" x14ac:dyDescent="0.2">
      <c r="A16" s="9" t="s">
        <v>60</v>
      </c>
      <c r="B16" s="10">
        <v>0</v>
      </c>
      <c r="C16" s="10">
        <v>0</v>
      </c>
      <c r="D16" s="10">
        <v>-143.81909164218115</v>
      </c>
      <c r="E16" s="10">
        <v>-1842.2807767321094</v>
      </c>
      <c r="F16" s="10">
        <v>0</v>
      </c>
      <c r="G16" s="10">
        <v>0</v>
      </c>
      <c r="H16" s="10">
        <v>-198.30747977797208</v>
      </c>
      <c r="I16" s="10">
        <v>0</v>
      </c>
      <c r="J16" s="10">
        <f>SUM(C16:I16)</f>
        <v>-2184.4073481522628</v>
      </c>
      <c r="K16" s="10">
        <v>0</v>
      </c>
      <c r="L16" s="10">
        <v>0</v>
      </c>
      <c r="M16" s="10">
        <v>0</v>
      </c>
      <c r="N16" s="10">
        <v>-4631.1115663133605</v>
      </c>
      <c r="O16" s="10">
        <f>SUM(K16:N16)</f>
        <v>-4631.1115663133605</v>
      </c>
      <c r="P16" s="10">
        <v>0</v>
      </c>
      <c r="Q16" s="10">
        <v>0</v>
      </c>
      <c r="R16" s="10">
        <v>0</v>
      </c>
      <c r="S16" s="10">
        <v>-59.212497084012703</v>
      </c>
      <c r="T16" s="10">
        <f>SUM(Q16:S16)</f>
        <v>-59.212497084012703</v>
      </c>
      <c r="U16" s="10">
        <v>-8851.8318019158305</v>
      </c>
      <c r="V16" s="10">
        <v>0</v>
      </c>
      <c r="W16" s="10">
        <v>-13130.264693908095</v>
      </c>
      <c r="X16" s="10">
        <v>0</v>
      </c>
      <c r="Y16" s="10">
        <v>0</v>
      </c>
      <c r="Z16" s="10">
        <f>SUM(U16:Y16)</f>
        <v>-21982.096495823927</v>
      </c>
      <c r="AA16" s="10">
        <f>SUM(P16,T16,Z16)</f>
        <v>-22041.30899290794</v>
      </c>
      <c r="AB16" s="10">
        <v>-2386.3249558346188</v>
      </c>
      <c r="AC16" s="10">
        <f>SUM(B16,J16,O16,AA16:AB16)</f>
        <v>-31243.152863208179</v>
      </c>
    </row>
    <row r="17" spans="1:29" x14ac:dyDescent="0.2">
      <c r="A17" s="9" t="s">
        <v>61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f>SUM(C17:I17)</f>
        <v>0</v>
      </c>
      <c r="K17" s="10">
        <v>0</v>
      </c>
      <c r="L17" s="10">
        <v>0</v>
      </c>
      <c r="M17" s="10">
        <v>0</v>
      </c>
      <c r="N17" s="10">
        <v>242886.40635128049</v>
      </c>
      <c r="O17" s="10">
        <f>SUM(K17:N17)</f>
        <v>242886.40635128049</v>
      </c>
      <c r="P17" s="10">
        <v>0</v>
      </c>
      <c r="Q17" s="10">
        <v>0</v>
      </c>
      <c r="R17" s="10">
        <v>0</v>
      </c>
      <c r="S17" s="10">
        <v>0</v>
      </c>
      <c r="T17" s="10">
        <f>SUM(Q17:S17)</f>
        <v>0</v>
      </c>
      <c r="U17" s="10">
        <v>0</v>
      </c>
      <c r="V17" s="10">
        <v>0</v>
      </c>
      <c r="W17" s="10">
        <v>15610.40631209431</v>
      </c>
      <c r="X17" s="10">
        <v>0</v>
      </c>
      <c r="Y17" s="10">
        <v>0</v>
      </c>
      <c r="Z17" s="10">
        <f>SUM(U17:Y17)</f>
        <v>15610.40631209431</v>
      </c>
      <c r="AA17" s="10">
        <f>SUM(P17,T17,Z17)</f>
        <v>15610.40631209431</v>
      </c>
      <c r="AB17" s="10">
        <v>0</v>
      </c>
      <c r="AC17" s="10">
        <f>SUM(B17,J17,O17,AA17:AB17)</f>
        <v>258496.81266337479</v>
      </c>
    </row>
    <row r="18" spans="1:29" ht="10.5" x14ac:dyDescent="0.25">
      <c r="A18" s="12" t="s">
        <v>62</v>
      </c>
      <c r="B18" s="13">
        <f t="shared" ref="B18:AC18" si="0">SUM(B14:B17)</f>
        <v>0</v>
      </c>
      <c r="C18" s="13">
        <f t="shared" si="0"/>
        <v>69.749262425156232</v>
      </c>
      <c r="D18" s="13">
        <f t="shared" si="0"/>
        <v>51363.807980502956</v>
      </c>
      <c r="E18" s="13">
        <f t="shared" si="0"/>
        <v>72874.821752674063</v>
      </c>
      <c r="F18" s="13">
        <f t="shared" si="0"/>
        <v>0</v>
      </c>
      <c r="G18" s="13">
        <f t="shared" si="0"/>
        <v>4990.9728560789436</v>
      </c>
      <c r="H18" s="13">
        <f t="shared" si="0"/>
        <v>3631262.0646111034</v>
      </c>
      <c r="I18" s="13">
        <f t="shared" si="0"/>
        <v>5770.9814040237889</v>
      </c>
      <c r="J18" s="13">
        <f t="shared" si="0"/>
        <v>3766332.3978668083</v>
      </c>
      <c r="K18" s="13">
        <f t="shared" si="0"/>
        <v>68.334555712760761</v>
      </c>
      <c r="L18" s="13">
        <f t="shared" si="0"/>
        <v>36043.764518082608</v>
      </c>
      <c r="M18" s="13">
        <f t="shared" si="0"/>
        <v>0</v>
      </c>
      <c r="N18" s="13">
        <f t="shared" si="0"/>
        <v>1042936.7473032644</v>
      </c>
      <c r="O18" s="13">
        <f t="shared" si="0"/>
        <v>1079048.8463770598</v>
      </c>
      <c r="P18" s="13">
        <f t="shared" si="0"/>
        <v>-13826.359035649981</v>
      </c>
      <c r="Q18" s="13">
        <f t="shared" si="0"/>
        <v>0</v>
      </c>
      <c r="R18" s="13">
        <f t="shared" si="0"/>
        <v>0</v>
      </c>
      <c r="S18" s="13">
        <f t="shared" si="0"/>
        <v>3756.9308494683919</v>
      </c>
      <c r="T18" s="13">
        <f t="shared" si="0"/>
        <v>3756.9308494683919</v>
      </c>
      <c r="U18" s="13">
        <f t="shared" si="0"/>
        <v>728260.29685779742</v>
      </c>
      <c r="V18" s="13">
        <f t="shared" si="0"/>
        <v>11556.87097955151</v>
      </c>
      <c r="W18" s="13">
        <f t="shared" si="0"/>
        <v>609428.23073943716</v>
      </c>
      <c r="X18" s="13">
        <f t="shared" si="0"/>
        <v>0</v>
      </c>
      <c r="Y18" s="13">
        <f t="shared" si="0"/>
        <v>-11015.565561125988</v>
      </c>
      <c r="Z18" s="13">
        <f t="shared" si="0"/>
        <v>1338229.8330156601</v>
      </c>
      <c r="AA18" s="13">
        <f t="shared" si="0"/>
        <v>1328160.4048294786</v>
      </c>
      <c r="AB18" s="13">
        <f t="shared" si="0"/>
        <v>170934.67582954702</v>
      </c>
      <c r="AC18" s="13">
        <f t="shared" si="0"/>
        <v>6344476.324902893</v>
      </c>
    </row>
    <row r="19" spans="1:29" ht="10.5" x14ac:dyDescent="0.25">
      <c r="A19" s="15" t="s">
        <v>63</v>
      </c>
      <c r="B19" s="13">
        <f t="shared" ref="B19:AC19" si="1">SUM(B18)</f>
        <v>0</v>
      </c>
      <c r="C19" s="13">
        <f t="shared" si="1"/>
        <v>69.749262425156232</v>
      </c>
      <c r="D19" s="13">
        <f t="shared" si="1"/>
        <v>51363.807980502956</v>
      </c>
      <c r="E19" s="13">
        <f t="shared" si="1"/>
        <v>72874.821752674063</v>
      </c>
      <c r="F19" s="13">
        <f t="shared" si="1"/>
        <v>0</v>
      </c>
      <c r="G19" s="13">
        <f t="shared" si="1"/>
        <v>4990.9728560789436</v>
      </c>
      <c r="H19" s="13">
        <f t="shared" si="1"/>
        <v>3631262.0646111034</v>
      </c>
      <c r="I19" s="13">
        <f t="shared" si="1"/>
        <v>5770.9814040237889</v>
      </c>
      <c r="J19" s="13">
        <f t="shared" si="1"/>
        <v>3766332.3978668083</v>
      </c>
      <c r="K19" s="13">
        <f t="shared" si="1"/>
        <v>68.334555712760761</v>
      </c>
      <c r="L19" s="13">
        <f t="shared" si="1"/>
        <v>36043.764518082608</v>
      </c>
      <c r="M19" s="13">
        <f t="shared" si="1"/>
        <v>0</v>
      </c>
      <c r="N19" s="13">
        <f t="shared" si="1"/>
        <v>1042936.7473032644</v>
      </c>
      <c r="O19" s="13">
        <f t="shared" si="1"/>
        <v>1079048.8463770598</v>
      </c>
      <c r="P19" s="13">
        <f t="shared" si="1"/>
        <v>-13826.359035649981</v>
      </c>
      <c r="Q19" s="13">
        <f t="shared" si="1"/>
        <v>0</v>
      </c>
      <c r="R19" s="13">
        <f t="shared" si="1"/>
        <v>0</v>
      </c>
      <c r="S19" s="13">
        <f t="shared" si="1"/>
        <v>3756.9308494683919</v>
      </c>
      <c r="T19" s="13">
        <f t="shared" si="1"/>
        <v>3756.9308494683919</v>
      </c>
      <c r="U19" s="13">
        <f t="shared" si="1"/>
        <v>728260.29685779742</v>
      </c>
      <c r="V19" s="13">
        <f t="shared" si="1"/>
        <v>11556.87097955151</v>
      </c>
      <c r="W19" s="13">
        <f t="shared" si="1"/>
        <v>609428.23073943716</v>
      </c>
      <c r="X19" s="13">
        <f t="shared" si="1"/>
        <v>0</v>
      </c>
      <c r="Y19" s="13">
        <f t="shared" si="1"/>
        <v>-11015.565561125988</v>
      </c>
      <c r="Z19" s="13">
        <f t="shared" si="1"/>
        <v>1338229.8330156601</v>
      </c>
      <c r="AA19" s="13">
        <f t="shared" si="1"/>
        <v>1328160.4048294786</v>
      </c>
      <c r="AB19" s="13">
        <f t="shared" si="1"/>
        <v>170934.67582954702</v>
      </c>
      <c r="AC19" s="13">
        <f t="shared" si="1"/>
        <v>6344476.324902893</v>
      </c>
    </row>
    <row r="20" spans="1:29" ht="10.5" x14ac:dyDescent="0.25">
      <c r="A20" s="7" t="s">
        <v>14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10.5" x14ac:dyDescent="0.25">
      <c r="A21" s="8" t="s">
        <v>15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x14ac:dyDescent="0.2">
      <c r="A22" s="9" t="s">
        <v>16</v>
      </c>
      <c r="B22" s="10">
        <v>0</v>
      </c>
      <c r="C22" s="10">
        <v>0</v>
      </c>
      <c r="D22" s="10">
        <v>41406.755065573474</v>
      </c>
      <c r="E22" s="10">
        <v>19372.463444882746</v>
      </c>
      <c r="F22" s="10">
        <v>0</v>
      </c>
      <c r="G22" s="10">
        <v>3888.6270062460576</v>
      </c>
      <c r="H22" s="10">
        <v>751290.91488527087</v>
      </c>
      <c r="I22" s="10">
        <v>7.5836944494930991</v>
      </c>
      <c r="J22" s="10">
        <f>SUM(C22:I22)</f>
        <v>815966.34409642266</v>
      </c>
      <c r="K22" s="10">
        <v>0</v>
      </c>
      <c r="L22" s="10">
        <v>14390.6924524603</v>
      </c>
      <c r="M22" s="10">
        <v>0</v>
      </c>
      <c r="N22" s="10">
        <v>278481.37665887713</v>
      </c>
      <c r="O22" s="10">
        <f>SUM(K22:N22)</f>
        <v>292872.06911133742</v>
      </c>
      <c r="P22" s="10">
        <v>0</v>
      </c>
      <c r="Q22" s="10">
        <v>0</v>
      </c>
      <c r="R22" s="10">
        <v>0</v>
      </c>
      <c r="S22" s="10">
        <v>2015.2462929982653</v>
      </c>
      <c r="T22" s="10">
        <f>SUM(Q22:S22)</f>
        <v>2015.2462929982653</v>
      </c>
      <c r="U22" s="10">
        <v>265985.80003424769</v>
      </c>
      <c r="V22" s="10">
        <v>1437.8142246382783</v>
      </c>
      <c r="W22" s="10">
        <v>480183.02413454704</v>
      </c>
      <c r="X22" s="10">
        <v>0</v>
      </c>
      <c r="Y22" s="10">
        <v>-5516.1736551320319</v>
      </c>
      <c r="Z22" s="10">
        <f>SUM(U22:Y22)</f>
        <v>742090.464738301</v>
      </c>
      <c r="AA22" s="10">
        <f>SUM(P22,T22,Z22)</f>
        <v>744105.71103129932</v>
      </c>
      <c r="AB22" s="10">
        <v>16058.620367907726</v>
      </c>
      <c r="AC22" s="10">
        <f>SUM(B22,J22,O22,AA22:AB22)</f>
        <v>1869002.7446069671</v>
      </c>
    </row>
    <row r="23" spans="1:29" x14ac:dyDescent="0.2">
      <c r="A23" s="9" t="s">
        <v>64</v>
      </c>
      <c r="B23" s="10">
        <v>12394.532638715993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f>SUM(C23:I23)</f>
        <v>0</v>
      </c>
      <c r="K23" s="10">
        <v>0</v>
      </c>
      <c r="L23" s="10">
        <v>0</v>
      </c>
      <c r="M23" s="10">
        <v>0</v>
      </c>
      <c r="N23" s="10">
        <v>0</v>
      </c>
      <c r="O23" s="10">
        <f>SUM(K23:N23)</f>
        <v>0</v>
      </c>
      <c r="P23" s="10">
        <v>0</v>
      </c>
      <c r="Q23" s="10">
        <v>0</v>
      </c>
      <c r="R23" s="10">
        <v>0</v>
      </c>
      <c r="S23" s="10">
        <v>0</v>
      </c>
      <c r="T23" s="10">
        <f>SUM(Q23:S23)</f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f>SUM(U23:Y23)</f>
        <v>0</v>
      </c>
      <c r="AA23" s="10">
        <f>SUM(P23,T23,Z23)</f>
        <v>0</v>
      </c>
      <c r="AB23" s="10">
        <v>0</v>
      </c>
      <c r="AC23" s="10">
        <f>SUM(B23,J23,O23,AA23:AB23)</f>
        <v>12394.532638715993</v>
      </c>
    </row>
    <row r="24" spans="1:29" x14ac:dyDescent="0.2">
      <c r="A24" s="9" t="s">
        <v>65</v>
      </c>
      <c r="B24" s="10">
        <v>0</v>
      </c>
      <c r="C24" s="10">
        <v>0</v>
      </c>
      <c r="D24" s="10">
        <v>0</v>
      </c>
      <c r="E24" s="10">
        <v>22193.802506836437</v>
      </c>
      <c r="F24" s="10">
        <v>0</v>
      </c>
      <c r="G24" s="10">
        <v>0</v>
      </c>
      <c r="H24" s="10">
        <v>173728.39668896922</v>
      </c>
      <c r="I24" s="10">
        <v>3212.4208935247884</v>
      </c>
      <c r="J24" s="10">
        <f>SUM(C24:I24)</f>
        <v>199134.62008933045</v>
      </c>
      <c r="K24" s="10">
        <v>0</v>
      </c>
      <c r="L24" s="10">
        <v>0</v>
      </c>
      <c r="M24" s="10">
        <v>0</v>
      </c>
      <c r="N24" s="10">
        <v>3313.3879596717447</v>
      </c>
      <c r="O24" s="10">
        <f>SUM(K24:N24)</f>
        <v>3313.3879596717447</v>
      </c>
      <c r="P24" s="10">
        <v>0</v>
      </c>
      <c r="Q24" s="10">
        <v>0</v>
      </c>
      <c r="R24" s="10">
        <v>0</v>
      </c>
      <c r="S24" s="10">
        <v>0</v>
      </c>
      <c r="T24" s="10">
        <f>SUM(Q24:S24)</f>
        <v>0</v>
      </c>
      <c r="U24" s="10">
        <v>7932.4734104147692</v>
      </c>
      <c r="V24" s="10">
        <v>253.47206022240431</v>
      </c>
      <c r="W24" s="10">
        <v>11773.500147176173</v>
      </c>
      <c r="X24" s="10">
        <v>0</v>
      </c>
      <c r="Y24" s="10">
        <v>41.704373647846914</v>
      </c>
      <c r="Z24" s="10">
        <f>SUM(U24:Y24)</f>
        <v>20001.149991461196</v>
      </c>
      <c r="AA24" s="10">
        <f>SUM(P24,T24,Z24)</f>
        <v>20001.149991461196</v>
      </c>
      <c r="AB24" s="10">
        <v>4069.9217256225365</v>
      </c>
      <c r="AC24" s="10">
        <f>SUM(B24,J24,O24,AA24:AB24)</f>
        <v>226519.0797660859</v>
      </c>
    </row>
    <row r="25" spans="1:29" x14ac:dyDescent="0.2">
      <c r="A25" s="9" t="s">
        <v>66</v>
      </c>
      <c r="B25" s="10">
        <v>-34156.477582344625</v>
      </c>
      <c r="C25" s="10">
        <v>0</v>
      </c>
      <c r="D25" s="10">
        <v>9406.1375833994935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f>SUM(C25:I25)</f>
        <v>9406.1375833994935</v>
      </c>
      <c r="K25" s="10">
        <v>0</v>
      </c>
      <c r="L25" s="10">
        <v>0</v>
      </c>
      <c r="M25" s="10">
        <v>0</v>
      </c>
      <c r="N25" s="10">
        <v>0</v>
      </c>
      <c r="O25" s="10">
        <f>SUM(K25:N25)</f>
        <v>0</v>
      </c>
      <c r="P25" s="10">
        <v>0</v>
      </c>
      <c r="Q25" s="10">
        <v>0</v>
      </c>
      <c r="R25" s="10">
        <v>0</v>
      </c>
      <c r="S25" s="10">
        <v>0</v>
      </c>
      <c r="T25" s="10">
        <f>SUM(Q25:S25)</f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f>SUM(U25:Y25)</f>
        <v>0</v>
      </c>
      <c r="AA25" s="10">
        <f>SUM(P25,T25,Z25)</f>
        <v>0</v>
      </c>
      <c r="AB25" s="10">
        <v>16190.627490418658</v>
      </c>
      <c r="AC25" s="10">
        <f>SUM(B25,J25,O25,AA25:AB25)</f>
        <v>-8559.7125085264743</v>
      </c>
    </row>
    <row r="26" spans="1:29" ht="10.5" x14ac:dyDescent="0.25">
      <c r="A26" s="16" t="s">
        <v>67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x14ac:dyDescent="0.2">
      <c r="A27" s="17" t="s">
        <v>270</v>
      </c>
      <c r="B27" s="10">
        <v>0</v>
      </c>
      <c r="C27" s="10">
        <v>0</v>
      </c>
      <c r="D27" s="10">
        <v>0</v>
      </c>
      <c r="E27" s="10">
        <v>0</v>
      </c>
      <c r="F27" s="10">
        <v>0</v>
      </c>
      <c r="G27" s="10">
        <v>0</v>
      </c>
      <c r="H27" s="10">
        <v>6510.3829175318142</v>
      </c>
      <c r="I27" s="10">
        <v>0</v>
      </c>
      <c r="J27" s="10">
        <f>SUM(C27:I27)</f>
        <v>6510.3829175318142</v>
      </c>
      <c r="K27" s="10">
        <v>0</v>
      </c>
      <c r="L27" s="10">
        <v>0</v>
      </c>
      <c r="M27" s="10">
        <v>0</v>
      </c>
      <c r="N27" s="10">
        <v>0</v>
      </c>
      <c r="O27" s="10">
        <f>SUM(K27:N27)</f>
        <v>0</v>
      </c>
      <c r="P27" s="10">
        <v>0</v>
      </c>
      <c r="Q27" s="10">
        <v>0</v>
      </c>
      <c r="R27" s="10">
        <v>0</v>
      </c>
      <c r="S27" s="10">
        <v>0</v>
      </c>
      <c r="T27" s="10">
        <f>SUM(Q27:S27)</f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f>SUM(U27:Y27)</f>
        <v>0</v>
      </c>
      <c r="AA27" s="10">
        <f>SUM(P27,T27,Z27)</f>
        <v>0</v>
      </c>
      <c r="AB27" s="10">
        <v>7539.4713556375036</v>
      </c>
      <c r="AC27" s="10">
        <f>SUM(B27,J27,O27,AA27:AB27)</f>
        <v>14049.854273169318</v>
      </c>
    </row>
    <row r="28" spans="1:29" x14ac:dyDescent="0.2">
      <c r="A28" s="17" t="s">
        <v>68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1011.302310503562</v>
      </c>
      <c r="I28" s="10">
        <v>0</v>
      </c>
      <c r="J28" s="10">
        <f>SUM(C28:I28)</f>
        <v>1011.302310503562</v>
      </c>
      <c r="K28" s="10">
        <v>0</v>
      </c>
      <c r="L28" s="10">
        <v>0</v>
      </c>
      <c r="M28" s="10">
        <v>0</v>
      </c>
      <c r="N28" s="10">
        <v>0</v>
      </c>
      <c r="O28" s="10">
        <f>SUM(K28:N28)</f>
        <v>0</v>
      </c>
      <c r="P28" s="10">
        <v>0</v>
      </c>
      <c r="Q28" s="10">
        <v>0</v>
      </c>
      <c r="R28" s="10">
        <v>0</v>
      </c>
      <c r="S28" s="10">
        <v>0</v>
      </c>
      <c r="T28" s="10">
        <f>SUM(Q28:S28)</f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f>SUM(U28:Y28)</f>
        <v>0</v>
      </c>
      <c r="AA28" s="10">
        <f>SUM(P28,T28,Z28)</f>
        <v>0</v>
      </c>
      <c r="AB28" s="10">
        <v>0</v>
      </c>
      <c r="AC28" s="10">
        <f>SUM(B28,J28,O28,AA28:AB28)</f>
        <v>1011.302310503562</v>
      </c>
    </row>
    <row r="29" spans="1:29" ht="10.5" x14ac:dyDescent="0.25">
      <c r="A29" s="18" t="s">
        <v>271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x14ac:dyDescent="0.2">
      <c r="A30" s="19" t="s">
        <v>272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17987.539677014658</v>
      </c>
      <c r="I30" s="10">
        <v>0</v>
      </c>
      <c r="J30" s="10">
        <f>SUM(C30:I30)</f>
        <v>17987.539677014658</v>
      </c>
      <c r="K30" s="10">
        <v>0</v>
      </c>
      <c r="L30" s="10">
        <v>0</v>
      </c>
      <c r="M30" s="10">
        <v>0</v>
      </c>
      <c r="N30" s="10">
        <v>0</v>
      </c>
      <c r="O30" s="10">
        <f>SUM(K30:N30)</f>
        <v>0</v>
      </c>
      <c r="P30" s="10">
        <v>0</v>
      </c>
      <c r="Q30" s="10">
        <v>0</v>
      </c>
      <c r="R30" s="10">
        <v>0</v>
      </c>
      <c r="S30" s="10">
        <v>0</v>
      </c>
      <c r="T30" s="10">
        <f>SUM(Q30:S30)</f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f>SUM(U30:Y30)</f>
        <v>0</v>
      </c>
      <c r="AA30" s="10">
        <f>SUM(P30,T30,Z30)</f>
        <v>0</v>
      </c>
      <c r="AB30" s="10">
        <v>0</v>
      </c>
      <c r="AC30" s="10">
        <f>SUM(B30,J30,O30,AA30:AB30)</f>
        <v>17987.539677014658</v>
      </c>
    </row>
    <row r="31" spans="1:29" x14ac:dyDescent="0.2">
      <c r="A31" s="19" t="s">
        <v>273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5070.6080123549273</v>
      </c>
      <c r="I31" s="10">
        <v>0</v>
      </c>
      <c r="J31" s="10">
        <f>SUM(C31:I31)</f>
        <v>5070.6080123549273</v>
      </c>
      <c r="K31" s="10">
        <v>0</v>
      </c>
      <c r="L31" s="10">
        <v>0</v>
      </c>
      <c r="M31" s="10">
        <v>0</v>
      </c>
      <c r="N31" s="10">
        <v>0</v>
      </c>
      <c r="O31" s="10">
        <f>SUM(K31:N31)</f>
        <v>0</v>
      </c>
      <c r="P31" s="10">
        <v>0</v>
      </c>
      <c r="Q31" s="10">
        <v>0</v>
      </c>
      <c r="R31" s="10">
        <v>0</v>
      </c>
      <c r="S31" s="10">
        <v>0</v>
      </c>
      <c r="T31" s="10">
        <f>SUM(Q31:S31)</f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f>SUM(U31:Y31)</f>
        <v>0</v>
      </c>
      <c r="AA31" s="10">
        <f>SUM(P31,T31,Z31)</f>
        <v>0</v>
      </c>
      <c r="AB31" s="10">
        <v>0</v>
      </c>
      <c r="AC31" s="10">
        <f>SUM(B31,J31,O31,AA31:AB31)</f>
        <v>5070.6080123549273</v>
      </c>
    </row>
    <row r="32" spans="1:29" ht="10.5" x14ac:dyDescent="0.25">
      <c r="A32" s="20" t="s">
        <v>274</v>
      </c>
      <c r="B32" s="13">
        <f t="shared" ref="B32:AC32" si="2">SUM(B30:B31)</f>
        <v>0</v>
      </c>
      <c r="C32" s="13">
        <f t="shared" si="2"/>
        <v>0</v>
      </c>
      <c r="D32" s="13">
        <f t="shared" si="2"/>
        <v>0</v>
      </c>
      <c r="E32" s="13">
        <f t="shared" si="2"/>
        <v>0</v>
      </c>
      <c r="F32" s="13">
        <f t="shared" si="2"/>
        <v>0</v>
      </c>
      <c r="G32" s="13">
        <f t="shared" si="2"/>
        <v>0</v>
      </c>
      <c r="H32" s="13">
        <f t="shared" si="2"/>
        <v>23058.147689369587</v>
      </c>
      <c r="I32" s="13">
        <f t="shared" si="2"/>
        <v>0</v>
      </c>
      <c r="J32" s="13">
        <f t="shared" si="2"/>
        <v>23058.147689369587</v>
      </c>
      <c r="K32" s="13">
        <f t="shared" si="2"/>
        <v>0</v>
      </c>
      <c r="L32" s="13">
        <f t="shared" si="2"/>
        <v>0</v>
      </c>
      <c r="M32" s="13">
        <f t="shared" si="2"/>
        <v>0</v>
      </c>
      <c r="N32" s="13">
        <f t="shared" si="2"/>
        <v>0</v>
      </c>
      <c r="O32" s="13">
        <f t="shared" si="2"/>
        <v>0</v>
      </c>
      <c r="P32" s="13">
        <f t="shared" si="2"/>
        <v>0</v>
      </c>
      <c r="Q32" s="13">
        <f t="shared" si="2"/>
        <v>0</v>
      </c>
      <c r="R32" s="13">
        <f t="shared" si="2"/>
        <v>0</v>
      </c>
      <c r="S32" s="13">
        <f t="shared" si="2"/>
        <v>0</v>
      </c>
      <c r="T32" s="13">
        <f t="shared" si="2"/>
        <v>0</v>
      </c>
      <c r="U32" s="13">
        <f t="shared" si="2"/>
        <v>0</v>
      </c>
      <c r="V32" s="13">
        <f t="shared" si="2"/>
        <v>0</v>
      </c>
      <c r="W32" s="13">
        <f t="shared" si="2"/>
        <v>0</v>
      </c>
      <c r="X32" s="13">
        <f t="shared" si="2"/>
        <v>0</v>
      </c>
      <c r="Y32" s="13">
        <f t="shared" si="2"/>
        <v>0</v>
      </c>
      <c r="Z32" s="13">
        <f t="shared" si="2"/>
        <v>0</v>
      </c>
      <c r="AA32" s="13">
        <f t="shared" si="2"/>
        <v>0</v>
      </c>
      <c r="AB32" s="13">
        <f t="shared" si="2"/>
        <v>0</v>
      </c>
      <c r="AC32" s="13">
        <f t="shared" si="2"/>
        <v>23058.147689369587</v>
      </c>
    </row>
    <row r="33" spans="1:29" ht="10.5" x14ac:dyDescent="0.25">
      <c r="A33" s="21" t="s">
        <v>69</v>
      </c>
      <c r="B33" s="13">
        <f t="shared" ref="B33:AC33" si="3">SUM(B27:B28,B32)</f>
        <v>0</v>
      </c>
      <c r="C33" s="13">
        <f t="shared" si="3"/>
        <v>0</v>
      </c>
      <c r="D33" s="13">
        <f t="shared" si="3"/>
        <v>0</v>
      </c>
      <c r="E33" s="13">
        <f t="shared" si="3"/>
        <v>0</v>
      </c>
      <c r="F33" s="13">
        <f t="shared" si="3"/>
        <v>0</v>
      </c>
      <c r="G33" s="13">
        <f t="shared" si="3"/>
        <v>0</v>
      </c>
      <c r="H33" s="13">
        <f t="shared" si="3"/>
        <v>30579.832917404965</v>
      </c>
      <c r="I33" s="13">
        <f t="shared" si="3"/>
        <v>0</v>
      </c>
      <c r="J33" s="13">
        <f t="shared" si="3"/>
        <v>30579.832917404965</v>
      </c>
      <c r="K33" s="13">
        <f t="shared" si="3"/>
        <v>0</v>
      </c>
      <c r="L33" s="13">
        <f t="shared" si="3"/>
        <v>0</v>
      </c>
      <c r="M33" s="13">
        <f t="shared" si="3"/>
        <v>0</v>
      </c>
      <c r="N33" s="13">
        <f t="shared" si="3"/>
        <v>0</v>
      </c>
      <c r="O33" s="13">
        <f t="shared" si="3"/>
        <v>0</v>
      </c>
      <c r="P33" s="13">
        <f t="shared" si="3"/>
        <v>0</v>
      </c>
      <c r="Q33" s="13">
        <f t="shared" si="3"/>
        <v>0</v>
      </c>
      <c r="R33" s="13">
        <f t="shared" si="3"/>
        <v>0</v>
      </c>
      <c r="S33" s="13">
        <f t="shared" si="3"/>
        <v>0</v>
      </c>
      <c r="T33" s="13">
        <f t="shared" si="3"/>
        <v>0</v>
      </c>
      <c r="U33" s="13">
        <f t="shared" si="3"/>
        <v>0</v>
      </c>
      <c r="V33" s="13">
        <f t="shared" si="3"/>
        <v>0</v>
      </c>
      <c r="W33" s="13">
        <f t="shared" si="3"/>
        <v>0</v>
      </c>
      <c r="X33" s="13">
        <f t="shared" si="3"/>
        <v>0</v>
      </c>
      <c r="Y33" s="13">
        <f t="shared" si="3"/>
        <v>0</v>
      </c>
      <c r="Z33" s="13">
        <f t="shared" si="3"/>
        <v>0</v>
      </c>
      <c r="AA33" s="13">
        <f t="shared" si="3"/>
        <v>0</v>
      </c>
      <c r="AB33" s="13">
        <f t="shared" si="3"/>
        <v>7539.4713556375036</v>
      </c>
      <c r="AC33" s="13">
        <f t="shared" si="3"/>
        <v>38119.304273042464</v>
      </c>
    </row>
    <row r="34" spans="1:29" ht="10.5" x14ac:dyDescent="0.25">
      <c r="A34" s="12" t="s">
        <v>43</v>
      </c>
      <c r="B34" s="13">
        <f t="shared" ref="B34:AC34" si="4">SUM(B22:B25,B33)</f>
        <v>-21761.94494362863</v>
      </c>
      <c r="C34" s="13">
        <f t="shared" si="4"/>
        <v>0</v>
      </c>
      <c r="D34" s="13">
        <f t="shared" si="4"/>
        <v>50812.892648972964</v>
      </c>
      <c r="E34" s="13">
        <f t="shared" si="4"/>
        <v>41566.265951719179</v>
      </c>
      <c r="F34" s="13">
        <f t="shared" si="4"/>
        <v>0</v>
      </c>
      <c r="G34" s="13">
        <f t="shared" si="4"/>
        <v>3888.6270062460576</v>
      </c>
      <c r="H34" s="13">
        <f t="shared" si="4"/>
        <v>955599.14449164504</v>
      </c>
      <c r="I34" s="13">
        <f t="shared" si="4"/>
        <v>3220.0045879742815</v>
      </c>
      <c r="J34" s="13">
        <f t="shared" si="4"/>
        <v>1055086.9346865576</v>
      </c>
      <c r="K34" s="13">
        <f t="shared" si="4"/>
        <v>0</v>
      </c>
      <c r="L34" s="13">
        <f t="shared" si="4"/>
        <v>14390.6924524603</v>
      </c>
      <c r="M34" s="13">
        <f t="shared" si="4"/>
        <v>0</v>
      </c>
      <c r="N34" s="13">
        <f t="shared" si="4"/>
        <v>281794.76461854886</v>
      </c>
      <c r="O34" s="13">
        <f t="shared" si="4"/>
        <v>296185.45707100915</v>
      </c>
      <c r="P34" s="13">
        <f t="shared" si="4"/>
        <v>0</v>
      </c>
      <c r="Q34" s="13">
        <f t="shared" si="4"/>
        <v>0</v>
      </c>
      <c r="R34" s="13">
        <f t="shared" si="4"/>
        <v>0</v>
      </c>
      <c r="S34" s="13">
        <f t="shared" si="4"/>
        <v>2015.2462929982653</v>
      </c>
      <c r="T34" s="13">
        <f t="shared" si="4"/>
        <v>2015.2462929982653</v>
      </c>
      <c r="U34" s="13">
        <f t="shared" si="4"/>
        <v>273918.27344466245</v>
      </c>
      <c r="V34" s="13">
        <f t="shared" si="4"/>
        <v>1691.2862848606826</v>
      </c>
      <c r="W34" s="13">
        <f t="shared" si="4"/>
        <v>491956.52428172319</v>
      </c>
      <c r="X34" s="13">
        <f t="shared" si="4"/>
        <v>0</v>
      </c>
      <c r="Y34" s="13">
        <f t="shared" si="4"/>
        <v>-5474.4692814841846</v>
      </c>
      <c r="Z34" s="13">
        <f t="shared" si="4"/>
        <v>762091.61472976219</v>
      </c>
      <c r="AA34" s="13">
        <f t="shared" si="4"/>
        <v>764106.86102276051</v>
      </c>
      <c r="AB34" s="13">
        <f t="shared" si="4"/>
        <v>43858.640939586425</v>
      </c>
      <c r="AC34" s="13">
        <f t="shared" si="4"/>
        <v>2137475.9487762847</v>
      </c>
    </row>
    <row r="35" spans="1:29" ht="10.5" x14ac:dyDescent="0.25">
      <c r="A35" s="15" t="s">
        <v>44</v>
      </c>
      <c r="B35" s="13">
        <f t="shared" ref="B35:AC35" si="5">SUM(B34)</f>
        <v>-21761.94494362863</v>
      </c>
      <c r="C35" s="13">
        <f t="shared" si="5"/>
        <v>0</v>
      </c>
      <c r="D35" s="13">
        <f t="shared" si="5"/>
        <v>50812.892648972964</v>
      </c>
      <c r="E35" s="13">
        <f t="shared" si="5"/>
        <v>41566.265951719179</v>
      </c>
      <c r="F35" s="13">
        <f t="shared" si="5"/>
        <v>0</v>
      </c>
      <c r="G35" s="13">
        <f t="shared" si="5"/>
        <v>3888.6270062460576</v>
      </c>
      <c r="H35" s="13">
        <f t="shared" si="5"/>
        <v>955599.14449164504</v>
      </c>
      <c r="I35" s="13">
        <f t="shared" si="5"/>
        <v>3220.0045879742815</v>
      </c>
      <c r="J35" s="13">
        <f t="shared" si="5"/>
        <v>1055086.9346865576</v>
      </c>
      <c r="K35" s="13">
        <f t="shared" si="5"/>
        <v>0</v>
      </c>
      <c r="L35" s="13">
        <f t="shared" si="5"/>
        <v>14390.6924524603</v>
      </c>
      <c r="M35" s="13">
        <f t="shared" si="5"/>
        <v>0</v>
      </c>
      <c r="N35" s="13">
        <f t="shared" si="5"/>
        <v>281794.76461854886</v>
      </c>
      <c r="O35" s="13">
        <f t="shared" si="5"/>
        <v>296185.45707100915</v>
      </c>
      <c r="P35" s="13">
        <f t="shared" si="5"/>
        <v>0</v>
      </c>
      <c r="Q35" s="13">
        <f t="shared" si="5"/>
        <v>0</v>
      </c>
      <c r="R35" s="13">
        <f t="shared" si="5"/>
        <v>0</v>
      </c>
      <c r="S35" s="13">
        <f t="shared" si="5"/>
        <v>2015.2462929982653</v>
      </c>
      <c r="T35" s="13">
        <f t="shared" si="5"/>
        <v>2015.2462929982653</v>
      </c>
      <c r="U35" s="13">
        <f t="shared" si="5"/>
        <v>273918.27344466245</v>
      </c>
      <c r="V35" s="13">
        <f t="shared" si="5"/>
        <v>1691.2862848606826</v>
      </c>
      <c r="W35" s="13">
        <f t="shared" si="5"/>
        <v>491956.52428172319</v>
      </c>
      <c r="X35" s="13">
        <f t="shared" si="5"/>
        <v>0</v>
      </c>
      <c r="Y35" s="13">
        <f t="shared" si="5"/>
        <v>-5474.4692814841846</v>
      </c>
      <c r="Z35" s="13">
        <f t="shared" si="5"/>
        <v>762091.61472976219</v>
      </c>
      <c r="AA35" s="13">
        <f t="shared" si="5"/>
        <v>764106.86102276051</v>
      </c>
      <c r="AB35" s="13">
        <f t="shared" si="5"/>
        <v>43858.640939586425</v>
      </c>
      <c r="AC35" s="13">
        <f t="shared" si="5"/>
        <v>2137475.9487762847</v>
      </c>
    </row>
    <row r="36" spans="1:29" ht="10.5" x14ac:dyDescent="0.25">
      <c r="A36" s="22" t="s">
        <v>45</v>
      </c>
      <c r="B36" s="23">
        <f t="shared" ref="B36:AC36" si="6">B19-B35</f>
        <v>21761.94494362863</v>
      </c>
      <c r="C36" s="23">
        <f t="shared" si="6"/>
        <v>69.749262425156232</v>
      </c>
      <c r="D36" s="23">
        <f t="shared" si="6"/>
        <v>550.91533152999182</v>
      </c>
      <c r="E36" s="23">
        <f t="shared" si="6"/>
        <v>31308.555800954884</v>
      </c>
      <c r="F36" s="23">
        <f t="shared" si="6"/>
        <v>0</v>
      </c>
      <c r="G36" s="23">
        <f t="shared" si="6"/>
        <v>1102.345849832886</v>
      </c>
      <c r="H36" s="23">
        <f t="shared" si="6"/>
        <v>2675662.9201194583</v>
      </c>
      <c r="I36" s="23">
        <f t="shared" si="6"/>
        <v>2550.9768160495073</v>
      </c>
      <c r="J36" s="23">
        <f t="shared" si="6"/>
        <v>2711245.4631802505</v>
      </c>
      <c r="K36" s="23">
        <f t="shared" si="6"/>
        <v>68.334555712760761</v>
      </c>
      <c r="L36" s="23">
        <f t="shared" si="6"/>
        <v>21653.072065622306</v>
      </c>
      <c r="M36" s="23">
        <f t="shared" si="6"/>
        <v>0</v>
      </c>
      <c r="N36" s="23">
        <f t="shared" si="6"/>
        <v>761141.98268471565</v>
      </c>
      <c r="O36" s="23">
        <f t="shared" si="6"/>
        <v>782863.38930605073</v>
      </c>
      <c r="P36" s="23">
        <f t="shared" si="6"/>
        <v>-13826.359035649981</v>
      </c>
      <c r="Q36" s="23">
        <f t="shared" si="6"/>
        <v>0</v>
      </c>
      <c r="R36" s="23">
        <f t="shared" si="6"/>
        <v>0</v>
      </c>
      <c r="S36" s="23">
        <f t="shared" si="6"/>
        <v>1741.6845564701266</v>
      </c>
      <c r="T36" s="23">
        <f t="shared" si="6"/>
        <v>1741.6845564701266</v>
      </c>
      <c r="U36" s="23">
        <f t="shared" si="6"/>
        <v>454342.02341313497</v>
      </c>
      <c r="V36" s="23">
        <f t="shared" si="6"/>
        <v>9865.5846946908277</v>
      </c>
      <c r="W36" s="23">
        <f t="shared" si="6"/>
        <v>117471.70645771397</v>
      </c>
      <c r="X36" s="23">
        <f t="shared" si="6"/>
        <v>0</v>
      </c>
      <c r="Y36" s="23">
        <f t="shared" si="6"/>
        <v>-5541.0962796418034</v>
      </c>
      <c r="Z36" s="23">
        <f t="shared" si="6"/>
        <v>576138.21828589786</v>
      </c>
      <c r="AA36" s="23">
        <f t="shared" si="6"/>
        <v>564053.54380671808</v>
      </c>
      <c r="AB36" s="23">
        <f t="shared" si="6"/>
        <v>127076.0348899606</v>
      </c>
      <c r="AC36" s="23">
        <f t="shared" si="6"/>
        <v>4207000.3761266079</v>
      </c>
    </row>
    <row r="37" spans="1:29" ht="10.5" x14ac:dyDescent="0.25">
      <c r="A37" s="7" t="s">
        <v>70</v>
      </c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spans="1:29" ht="10.5" x14ac:dyDescent="0.25">
      <c r="A38" s="8" t="s">
        <v>71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spans="1:29" x14ac:dyDescent="0.2">
      <c r="A39" s="9" t="s">
        <v>72</v>
      </c>
      <c r="B39" s="10">
        <v>0</v>
      </c>
      <c r="C39" s="10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0">
        <f>SUM(C39:I39)</f>
        <v>0</v>
      </c>
      <c r="K39" s="10">
        <v>0</v>
      </c>
      <c r="L39" s="10">
        <v>0</v>
      </c>
      <c r="M39" s="10">
        <v>0</v>
      </c>
      <c r="N39" s="10">
        <v>0</v>
      </c>
      <c r="O39" s="10">
        <f>SUM(K39:N39)</f>
        <v>0</v>
      </c>
      <c r="P39" s="10">
        <v>0</v>
      </c>
      <c r="Q39" s="10">
        <v>0</v>
      </c>
      <c r="R39" s="10">
        <v>0</v>
      </c>
      <c r="S39" s="10">
        <v>0</v>
      </c>
      <c r="T39" s="10">
        <f>SUM(Q39:S39)</f>
        <v>0</v>
      </c>
      <c r="U39" s="10">
        <v>0</v>
      </c>
      <c r="V39" s="10">
        <v>0</v>
      </c>
      <c r="W39" s="10">
        <v>0</v>
      </c>
      <c r="X39" s="10">
        <v>0</v>
      </c>
      <c r="Y39" s="10">
        <v>0</v>
      </c>
      <c r="Z39" s="10">
        <f>SUM(U39:Y39)</f>
        <v>0</v>
      </c>
      <c r="AA39" s="10">
        <f>SUM(P39,T39,Z39)</f>
        <v>0</v>
      </c>
      <c r="AB39" s="10">
        <v>67.751521061645278</v>
      </c>
      <c r="AC39" s="10">
        <f>SUM(B39,J39,O39,AA39:AB39)</f>
        <v>67.751521061645278</v>
      </c>
    </row>
    <row r="40" spans="1:29" ht="10.5" x14ac:dyDescent="0.25">
      <c r="A40" s="16" t="s">
        <v>73</v>
      </c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</row>
    <row r="41" spans="1:29" x14ac:dyDescent="0.2">
      <c r="A41" s="17" t="s">
        <v>74</v>
      </c>
      <c r="B41" s="10">
        <v>445982.31381058774</v>
      </c>
      <c r="C41" s="10">
        <v>4083.6204885525999</v>
      </c>
      <c r="D41" s="10">
        <v>1099.8858614210978</v>
      </c>
      <c r="E41" s="10">
        <v>24193.353757069101</v>
      </c>
      <c r="F41" s="10">
        <v>0</v>
      </c>
      <c r="G41" s="10">
        <v>0</v>
      </c>
      <c r="H41" s="10">
        <v>0</v>
      </c>
      <c r="I41" s="10">
        <v>0</v>
      </c>
      <c r="J41" s="10">
        <f>SUM(C41:I41)</f>
        <v>29376.860107042798</v>
      </c>
      <c r="K41" s="10">
        <v>0</v>
      </c>
      <c r="L41" s="10">
        <v>0</v>
      </c>
      <c r="M41" s="10">
        <v>0</v>
      </c>
      <c r="N41" s="10">
        <v>0</v>
      </c>
      <c r="O41" s="10">
        <f>SUM(K41:N41)</f>
        <v>0</v>
      </c>
      <c r="P41" s="10">
        <v>0</v>
      </c>
      <c r="Q41" s="10">
        <v>0</v>
      </c>
      <c r="R41" s="10">
        <v>0</v>
      </c>
      <c r="S41" s="10">
        <v>0</v>
      </c>
      <c r="T41" s="10">
        <f>SUM(Q41:S41)</f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f>SUM(U41:Y41)</f>
        <v>0</v>
      </c>
      <c r="AA41" s="10">
        <f>SUM(P41,T41,Z41)</f>
        <v>0</v>
      </c>
      <c r="AB41" s="10">
        <v>0</v>
      </c>
      <c r="AC41" s="10">
        <f>SUM(B41,J41,O41,AA41:AB41)</f>
        <v>475359.17391763057</v>
      </c>
    </row>
    <row r="42" spans="1:29" x14ac:dyDescent="0.2">
      <c r="A42" s="17" t="s">
        <v>75</v>
      </c>
      <c r="B42" s="10">
        <v>643471.197891535</v>
      </c>
      <c r="C42" s="10">
        <v>10209.0512213815</v>
      </c>
      <c r="D42" s="10">
        <v>0</v>
      </c>
      <c r="E42" s="10">
        <v>76879.612523563672</v>
      </c>
      <c r="F42" s="10">
        <v>0</v>
      </c>
      <c r="G42" s="10">
        <v>0</v>
      </c>
      <c r="H42" s="10">
        <v>0</v>
      </c>
      <c r="I42" s="10">
        <v>0</v>
      </c>
      <c r="J42" s="10">
        <f>SUM(C42:I42)</f>
        <v>87088.663744945166</v>
      </c>
      <c r="K42" s="10">
        <v>0</v>
      </c>
      <c r="L42" s="10">
        <v>0</v>
      </c>
      <c r="M42" s="10">
        <v>0</v>
      </c>
      <c r="N42" s="10">
        <v>0</v>
      </c>
      <c r="O42" s="10">
        <f>SUM(K42:N42)</f>
        <v>0</v>
      </c>
      <c r="P42" s="10">
        <v>0</v>
      </c>
      <c r="Q42" s="10">
        <v>0</v>
      </c>
      <c r="R42" s="10">
        <v>0</v>
      </c>
      <c r="S42" s="10">
        <v>0</v>
      </c>
      <c r="T42" s="10">
        <f>SUM(Q42:S42)</f>
        <v>0</v>
      </c>
      <c r="U42" s="10">
        <v>0</v>
      </c>
      <c r="V42" s="10">
        <v>0</v>
      </c>
      <c r="W42" s="10">
        <v>0</v>
      </c>
      <c r="X42" s="10">
        <v>0</v>
      </c>
      <c r="Y42" s="10">
        <v>0</v>
      </c>
      <c r="Z42" s="10">
        <f>SUM(U42:Y42)</f>
        <v>0</v>
      </c>
      <c r="AA42" s="10">
        <f>SUM(P42,T42,Z42)</f>
        <v>0</v>
      </c>
      <c r="AB42" s="10">
        <v>16385.527210317308</v>
      </c>
      <c r="AC42" s="10">
        <f>SUM(B42,J42,O42,AA42:AB42)</f>
        <v>746945.38884679752</v>
      </c>
    </row>
    <row r="43" spans="1:29" x14ac:dyDescent="0.2">
      <c r="A43" s="17" t="s">
        <v>76</v>
      </c>
      <c r="B43" s="10">
        <v>110009.13845430505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f>SUM(C43:I43)</f>
        <v>0</v>
      </c>
      <c r="K43" s="10">
        <v>0</v>
      </c>
      <c r="L43" s="10">
        <v>0</v>
      </c>
      <c r="M43" s="10">
        <v>0</v>
      </c>
      <c r="N43" s="10">
        <v>0</v>
      </c>
      <c r="O43" s="10">
        <f>SUM(K43:N43)</f>
        <v>0</v>
      </c>
      <c r="P43" s="10">
        <v>0</v>
      </c>
      <c r="Q43" s="10">
        <v>0</v>
      </c>
      <c r="R43" s="10">
        <v>0</v>
      </c>
      <c r="S43" s="10">
        <v>0</v>
      </c>
      <c r="T43" s="10">
        <f>SUM(Q43:S43)</f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f>SUM(U43:Y43)</f>
        <v>0</v>
      </c>
      <c r="AA43" s="10">
        <f>SUM(P43,T43,Z43)</f>
        <v>0</v>
      </c>
      <c r="AB43" s="10">
        <v>0.44723486196264001</v>
      </c>
      <c r="AC43" s="10">
        <f>SUM(B43,J43,O43,AA43:AB43)</f>
        <v>110009.58568916701</v>
      </c>
    </row>
    <row r="44" spans="1:29" x14ac:dyDescent="0.2">
      <c r="A44" s="17" t="s">
        <v>77</v>
      </c>
      <c r="B44" s="10">
        <v>34947.519745029967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f>SUM(C44:I44)</f>
        <v>0</v>
      </c>
      <c r="K44" s="10">
        <v>0</v>
      </c>
      <c r="L44" s="10">
        <v>0</v>
      </c>
      <c r="M44" s="10">
        <v>0</v>
      </c>
      <c r="N44" s="10">
        <v>0</v>
      </c>
      <c r="O44" s="10">
        <f>SUM(K44:N44)</f>
        <v>0</v>
      </c>
      <c r="P44" s="10">
        <v>0</v>
      </c>
      <c r="Q44" s="10">
        <v>0</v>
      </c>
      <c r="R44" s="10">
        <v>0</v>
      </c>
      <c r="S44" s="10">
        <v>0</v>
      </c>
      <c r="T44" s="10">
        <f>SUM(Q44:S44)</f>
        <v>0</v>
      </c>
      <c r="U44" s="10">
        <v>0</v>
      </c>
      <c r="V44" s="10">
        <v>0</v>
      </c>
      <c r="W44" s="10">
        <v>0</v>
      </c>
      <c r="X44" s="10">
        <v>0</v>
      </c>
      <c r="Y44" s="10">
        <v>0</v>
      </c>
      <c r="Z44" s="10">
        <f>SUM(U44:Y44)</f>
        <v>0</v>
      </c>
      <c r="AA44" s="10">
        <f>SUM(P44,T44,Z44)</f>
        <v>0</v>
      </c>
      <c r="AB44" s="10">
        <v>0</v>
      </c>
      <c r="AC44" s="10">
        <f>SUM(B44,J44,O44,AA44:AB44)</f>
        <v>34947.519745029967</v>
      </c>
    </row>
    <row r="45" spans="1:29" ht="10.5" x14ac:dyDescent="0.25">
      <c r="A45" s="21" t="s">
        <v>78</v>
      </c>
      <c r="B45" s="13">
        <f t="shared" ref="B45:AC45" si="7">SUM(B41:B44)</f>
        <v>1234410.1699014576</v>
      </c>
      <c r="C45" s="13">
        <f t="shared" si="7"/>
        <v>14292.6717099341</v>
      </c>
      <c r="D45" s="13">
        <f t="shared" si="7"/>
        <v>1099.8858614210978</v>
      </c>
      <c r="E45" s="13">
        <f t="shared" si="7"/>
        <v>101072.96628063277</v>
      </c>
      <c r="F45" s="13">
        <f t="shared" si="7"/>
        <v>0</v>
      </c>
      <c r="G45" s="13">
        <f t="shared" si="7"/>
        <v>0</v>
      </c>
      <c r="H45" s="13">
        <f t="shared" si="7"/>
        <v>0</v>
      </c>
      <c r="I45" s="13">
        <f t="shared" si="7"/>
        <v>0</v>
      </c>
      <c r="J45" s="13">
        <f t="shared" si="7"/>
        <v>116465.52385198796</v>
      </c>
      <c r="K45" s="13">
        <f t="shared" si="7"/>
        <v>0</v>
      </c>
      <c r="L45" s="13">
        <f t="shared" si="7"/>
        <v>0</v>
      </c>
      <c r="M45" s="13">
        <f t="shared" si="7"/>
        <v>0</v>
      </c>
      <c r="N45" s="13">
        <f t="shared" si="7"/>
        <v>0</v>
      </c>
      <c r="O45" s="13">
        <f t="shared" si="7"/>
        <v>0</v>
      </c>
      <c r="P45" s="13">
        <f t="shared" si="7"/>
        <v>0</v>
      </c>
      <c r="Q45" s="13">
        <f t="shared" si="7"/>
        <v>0</v>
      </c>
      <c r="R45" s="13">
        <f t="shared" si="7"/>
        <v>0</v>
      </c>
      <c r="S45" s="13">
        <f t="shared" si="7"/>
        <v>0</v>
      </c>
      <c r="T45" s="13">
        <f t="shared" si="7"/>
        <v>0</v>
      </c>
      <c r="U45" s="13">
        <f t="shared" si="7"/>
        <v>0</v>
      </c>
      <c r="V45" s="13">
        <f t="shared" si="7"/>
        <v>0</v>
      </c>
      <c r="W45" s="13">
        <f t="shared" si="7"/>
        <v>0</v>
      </c>
      <c r="X45" s="13">
        <f t="shared" si="7"/>
        <v>0</v>
      </c>
      <c r="Y45" s="13">
        <f t="shared" si="7"/>
        <v>0</v>
      </c>
      <c r="Z45" s="13">
        <f t="shared" si="7"/>
        <v>0</v>
      </c>
      <c r="AA45" s="13">
        <f t="shared" si="7"/>
        <v>0</v>
      </c>
      <c r="AB45" s="13">
        <f t="shared" si="7"/>
        <v>16385.974445179272</v>
      </c>
      <c r="AC45" s="13">
        <f t="shared" si="7"/>
        <v>1367261.6681986251</v>
      </c>
    </row>
    <row r="46" spans="1:29" ht="10.5" x14ac:dyDescent="0.25">
      <c r="A46" s="16" t="s">
        <v>79</v>
      </c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29" x14ac:dyDescent="0.2">
      <c r="A47" s="17" t="s">
        <v>80</v>
      </c>
      <c r="B47" s="10">
        <v>0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2009.0001050855044</v>
      </c>
      <c r="I47" s="10">
        <v>0</v>
      </c>
      <c r="J47" s="10">
        <f>SUM(C47:I47)</f>
        <v>2009.0001050855044</v>
      </c>
      <c r="K47" s="10">
        <v>0</v>
      </c>
      <c r="L47" s="10">
        <v>0</v>
      </c>
      <c r="M47" s="10">
        <v>0</v>
      </c>
      <c r="N47" s="10">
        <v>289.27017074812284</v>
      </c>
      <c r="O47" s="10">
        <f>SUM(K47:N47)</f>
        <v>289.27017074812284</v>
      </c>
      <c r="P47" s="10">
        <v>0</v>
      </c>
      <c r="Q47" s="10">
        <v>0</v>
      </c>
      <c r="R47" s="10">
        <v>0</v>
      </c>
      <c r="S47" s="10">
        <v>0</v>
      </c>
      <c r="T47" s="10">
        <f>SUM(Q47:S47)</f>
        <v>0</v>
      </c>
      <c r="U47" s="10">
        <v>0</v>
      </c>
      <c r="V47" s="10">
        <v>0</v>
      </c>
      <c r="W47" s="10">
        <v>-142.2781942294551</v>
      </c>
      <c r="X47" s="10">
        <v>0</v>
      </c>
      <c r="Y47" s="10">
        <v>0</v>
      </c>
      <c r="Z47" s="10">
        <f>SUM(U47:Y47)</f>
        <v>-142.2781942294551</v>
      </c>
      <c r="AA47" s="10">
        <f>SUM(P47,T47,Z47)</f>
        <v>-142.2781942294551</v>
      </c>
      <c r="AB47" s="10">
        <v>373.21131965721918</v>
      </c>
      <c r="AC47" s="10">
        <f>SUM(B47,J47,O47,AA47:AB47)</f>
        <v>2529.2034012613913</v>
      </c>
    </row>
    <row r="48" spans="1:29" x14ac:dyDescent="0.2">
      <c r="A48" s="17" t="s">
        <v>81</v>
      </c>
      <c r="B48" s="10">
        <v>0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f>SUM(C48:I48)</f>
        <v>0</v>
      </c>
      <c r="K48" s="10">
        <v>0</v>
      </c>
      <c r="L48" s="10">
        <v>0</v>
      </c>
      <c r="M48" s="10">
        <v>0</v>
      </c>
      <c r="N48" s="10">
        <v>16224.495828653413</v>
      </c>
      <c r="O48" s="10">
        <f>SUM(K48:N48)</f>
        <v>16224.495828653413</v>
      </c>
      <c r="P48" s="10">
        <v>0</v>
      </c>
      <c r="Q48" s="10">
        <v>0</v>
      </c>
      <c r="R48" s="10">
        <v>0</v>
      </c>
      <c r="S48" s="10">
        <v>0</v>
      </c>
      <c r="T48" s="10">
        <f>SUM(Q48:S48)</f>
        <v>0</v>
      </c>
      <c r="U48" s="10">
        <v>0</v>
      </c>
      <c r="V48" s="10">
        <v>0</v>
      </c>
      <c r="W48" s="10">
        <v>243.69089515342154</v>
      </c>
      <c r="X48" s="10">
        <v>0</v>
      </c>
      <c r="Y48" s="10">
        <v>0</v>
      </c>
      <c r="Z48" s="10">
        <f>SUM(U48:Y48)</f>
        <v>243.69089515342154</v>
      </c>
      <c r="AA48" s="10">
        <f>SUM(P48,T48,Z48)</f>
        <v>243.69089515342154</v>
      </c>
      <c r="AB48" s="10">
        <v>97.047464564808251</v>
      </c>
      <c r="AC48" s="10">
        <f>SUM(B48,J48,O48,AA48:AB48)</f>
        <v>16565.234188371644</v>
      </c>
    </row>
    <row r="49" spans="1:29" x14ac:dyDescent="0.2">
      <c r="A49" s="17" t="s">
        <v>82</v>
      </c>
      <c r="B49" s="10">
        <v>-1217.0124254748944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f>SUM(C49:I49)</f>
        <v>0</v>
      </c>
      <c r="K49" s="10">
        <v>0</v>
      </c>
      <c r="L49" s="10">
        <v>0</v>
      </c>
      <c r="M49" s="10">
        <v>0</v>
      </c>
      <c r="N49" s="10">
        <v>0</v>
      </c>
      <c r="O49" s="10">
        <f>SUM(K49:N49)</f>
        <v>0</v>
      </c>
      <c r="P49" s="10">
        <v>0</v>
      </c>
      <c r="Q49" s="10">
        <v>0</v>
      </c>
      <c r="R49" s="10">
        <v>0</v>
      </c>
      <c r="S49" s="10">
        <v>0</v>
      </c>
      <c r="T49" s="10">
        <f>SUM(Q49:S49)</f>
        <v>0</v>
      </c>
      <c r="U49" s="10">
        <v>0</v>
      </c>
      <c r="V49" s="10">
        <v>0</v>
      </c>
      <c r="W49" s="10">
        <v>2600.7002116571148</v>
      </c>
      <c r="X49" s="10">
        <v>0</v>
      </c>
      <c r="Y49" s="10">
        <v>0</v>
      </c>
      <c r="Z49" s="10">
        <f>SUM(U49:Y49)</f>
        <v>2600.7002116571148</v>
      </c>
      <c r="AA49" s="10">
        <f>SUM(P49,T49,Z49)</f>
        <v>2600.7002116571148</v>
      </c>
      <c r="AB49" s="10">
        <v>0</v>
      </c>
      <c r="AC49" s="10">
        <f>SUM(B49,J49,O49,AA49:AB49)</f>
        <v>1383.6877861822204</v>
      </c>
    </row>
    <row r="50" spans="1:29" x14ac:dyDescent="0.2">
      <c r="A50" s="17" t="s">
        <v>275</v>
      </c>
      <c r="B50" s="10">
        <v>0</v>
      </c>
      <c r="C50" s="10">
        <v>0</v>
      </c>
      <c r="D50" s="10">
        <v>0</v>
      </c>
      <c r="E50" s="10">
        <v>0</v>
      </c>
      <c r="F50" s="10">
        <v>0</v>
      </c>
      <c r="G50" s="10">
        <v>0</v>
      </c>
      <c r="H50" s="10">
        <v>0</v>
      </c>
      <c r="I50" s="10">
        <v>0</v>
      </c>
      <c r="J50" s="10">
        <f>SUM(C50:I50)</f>
        <v>0</v>
      </c>
      <c r="K50" s="10">
        <v>0</v>
      </c>
      <c r="L50" s="10">
        <v>0</v>
      </c>
      <c r="M50" s="10">
        <v>0</v>
      </c>
      <c r="N50" s="10">
        <v>0</v>
      </c>
      <c r="O50" s="10">
        <f>SUM(K50:N50)</f>
        <v>0</v>
      </c>
      <c r="P50" s="10">
        <v>0</v>
      </c>
      <c r="Q50" s="10">
        <v>0</v>
      </c>
      <c r="R50" s="10">
        <v>0</v>
      </c>
      <c r="S50" s="10">
        <v>0</v>
      </c>
      <c r="T50" s="10">
        <f>SUM(Q50:S50)</f>
        <v>0</v>
      </c>
      <c r="U50" s="10">
        <v>0</v>
      </c>
      <c r="V50" s="10">
        <v>0</v>
      </c>
      <c r="W50" s="10">
        <v>11338.529475725181</v>
      </c>
      <c r="X50" s="10">
        <v>0</v>
      </c>
      <c r="Y50" s="10">
        <v>0</v>
      </c>
      <c r="Z50" s="10">
        <f>SUM(U50:Y50)</f>
        <v>11338.529475725181</v>
      </c>
      <c r="AA50" s="10">
        <f>SUM(P50,T50,Z50)</f>
        <v>11338.529475725181</v>
      </c>
      <c r="AB50" s="10">
        <v>-11338.741366497126</v>
      </c>
      <c r="AC50" s="10">
        <f>SUM(B50,J50,O50,AA50:AB50)</f>
        <v>-0.21189077194503625</v>
      </c>
    </row>
    <row r="51" spans="1:29" x14ac:dyDescent="0.2">
      <c r="A51" s="17" t="s">
        <v>276</v>
      </c>
      <c r="B51" s="10">
        <v>0</v>
      </c>
      <c r="C51" s="10">
        <v>0</v>
      </c>
      <c r="D51" s="10">
        <v>0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0">
        <f>SUM(C51:I51)</f>
        <v>0</v>
      </c>
      <c r="K51" s="10">
        <v>0</v>
      </c>
      <c r="L51" s="10">
        <v>0</v>
      </c>
      <c r="M51" s="10">
        <v>0</v>
      </c>
      <c r="N51" s="10">
        <v>0</v>
      </c>
      <c r="O51" s="10">
        <f>SUM(K51:N51)</f>
        <v>0</v>
      </c>
      <c r="P51" s="10">
        <v>0</v>
      </c>
      <c r="Q51" s="10">
        <v>0</v>
      </c>
      <c r="R51" s="10">
        <v>0</v>
      </c>
      <c r="S51" s="10">
        <v>0</v>
      </c>
      <c r="T51" s="10">
        <f>SUM(Q51:S51)</f>
        <v>0</v>
      </c>
      <c r="U51" s="10">
        <v>0</v>
      </c>
      <c r="V51" s="10">
        <v>0</v>
      </c>
      <c r="W51" s="10">
        <v>1760.7079721381499</v>
      </c>
      <c r="X51" s="10">
        <v>0</v>
      </c>
      <c r="Y51" s="10">
        <v>0</v>
      </c>
      <c r="Z51" s="10">
        <f>SUM(U51:Y51)</f>
        <v>1760.7079721381499</v>
      </c>
      <c r="AA51" s="10">
        <f>SUM(P51,T51,Z51)</f>
        <v>1760.7079721381499</v>
      </c>
      <c r="AB51" s="10">
        <v>0</v>
      </c>
      <c r="AC51" s="10">
        <f>SUM(B51,J51,O51,AA51:AB51)</f>
        <v>1760.7079721381499</v>
      </c>
    </row>
    <row r="52" spans="1:29" ht="10.5" x14ac:dyDescent="0.25">
      <c r="A52" s="21" t="s">
        <v>83</v>
      </c>
      <c r="B52" s="13">
        <f t="shared" ref="B52:AC52" si="8">SUM(B47:B51)</f>
        <v>-1217.0124254748944</v>
      </c>
      <c r="C52" s="13">
        <f t="shared" si="8"/>
        <v>0</v>
      </c>
      <c r="D52" s="13">
        <f t="shared" si="8"/>
        <v>0</v>
      </c>
      <c r="E52" s="13">
        <f t="shared" si="8"/>
        <v>0</v>
      </c>
      <c r="F52" s="13">
        <f t="shared" si="8"/>
        <v>0</v>
      </c>
      <c r="G52" s="13">
        <f t="shared" si="8"/>
        <v>0</v>
      </c>
      <c r="H52" s="13">
        <f t="shared" si="8"/>
        <v>2009.0001050855044</v>
      </c>
      <c r="I52" s="13">
        <f t="shared" si="8"/>
        <v>0</v>
      </c>
      <c r="J52" s="13">
        <f t="shared" si="8"/>
        <v>2009.0001050855044</v>
      </c>
      <c r="K52" s="13">
        <f t="shared" si="8"/>
        <v>0</v>
      </c>
      <c r="L52" s="13">
        <f t="shared" si="8"/>
        <v>0</v>
      </c>
      <c r="M52" s="13">
        <f t="shared" si="8"/>
        <v>0</v>
      </c>
      <c r="N52" s="13">
        <f t="shared" si="8"/>
        <v>16513.765999401534</v>
      </c>
      <c r="O52" s="13">
        <f t="shared" si="8"/>
        <v>16513.765999401534</v>
      </c>
      <c r="P52" s="13">
        <f t="shared" si="8"/>
        <v>0</v>
      </c>
      <c r="Q52" s="13">
        <f t="shared" si="8"/>
        <v>0</v>
      </c>
      <c r="R52" s="13">
        <f t="shared" si="8"/>
        <v>0</v>
      </c>
      <c r="S52" s="13">
        <f t="shared" si="8"/>
        <v>0</v>
      </c>
      <c r="T52" s="13">
        <f t="shared" si="8"/>
        <v>0</v>
      </c>
      <c r="U52" s="13">
        <f t="shared" si="8"/>
        <v>0</v>
      </c>
      <c r="V52" s="13">
        <f t="shared" si="8"/>
        <v>0</v>
      </c>
      <c r="W52" s="13">
        <f t="shared" si="8"/>
        <v>15801.350360444414</v>
      </c>
      <c r="X52" s="13">
        <f t="shared" si="8"/>
        <v>0</v>
      </c>
      <c r="Y52" s="13">
        <f t="shared" si="8"/>
        <v>0</v>
      </c>
      <c r="Z52" s="13">
        <f t="shared" si="8"/>
        <v>15801.350360444414</v>
      </c>
      <c r="AA52" s="13">
        <f t="shared" si="8"/>
        <v>15801.350360444414</v>
      </c>
      <c r="AB52" s="13">
        <f t="shared" si="8"/>
        <v>-10868.482582275099</v>
      </c>
      <c r="AC52" s="13">
        <f t="shared" si="8"/>
        <v>22238.62145718146</v>
      </c>
    </row>
    <row r="53" spans="1:29" ht="10.5" x14ac:dyDescent="0.25">
      <c r="A53" s="16" t="s">
        <v>84</v>
      </c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x14ac:dyDescent="0.2">
      <c r="A54" s="17" t="s">
        <v>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2842.429110643056</v>
      </c>
      <c r="I54" s="10">
        <v>0</v>
      </c>
      <c r="J54" s="10">
        <f>SUM(C54:I54)</f>
        <v>2842.429110643056</v>
      </c>
      <c r="K54" s="10">
        <v>3187.6228666472398</v>
      </c>
      <c r="L54" s="10">
        <v>0</v>
      </c>
      <c r="M54" s="10">
        <v>0</v>
      </c>
      <c r="N54" s="10">
        <v>24294.590264317107</v>
      </c>
      <c r="O54" s="10">
        <f>SUM(K54:N54)</f>
        <v>27482.213130964345</v>
      </c>
      <c r="P54" s="10">
        <v>0</v>
      </c>
      <c r="Q54" s="10">
        <v>0</v>
      </c>
      <c r="R54" s="10">
        <v>0</v>
      </c>
      <c r="S54" s="10">
        <v>0</v>
      </c>
      <c r="T54" s="10">
        <f>SUM(Q54:S54)</f>
        <v>0</v>
      </c>
      <c r="U54" s="10">
        <v>0</v>
      </c>
      <c r="V54" s="10">
        <v>0</v>
      </c>
      <c r="W54" s="10">
        <v>42041.519597128754</v>
      </c>
      <c r="X54" s="10">
        <v>0</v>
      </c>
      <c r="Y54" s="10">
        <v>0</v>
      </c>
      <c r="Z54" s="10">
        <f>SUM(U54:Y54)</f>
        <v>42041.519597128754</v>
      </c>
      <c r="AA54" s="10">
        <f>SUM(P54,T54,Z54)</f>
        <v>42041.519597128754</v>
      </c>
      <c r="AB54" s="10">
        <v>10156.634007313194</v>
      </c>
      <c r="AC54" s="10">
        <f>SUM(B54,J54,O54,AA54:AB54)</f>
        <v>82522.795846049354</v>
      </c>
    </row>
    <row r="55" spans="1:29" x14ac:dyDescent="0.2">
      <c r="A55" s="17" t="s">
        <v>86</v>
      </c>
      <c r="B55" s="10">
        <v>0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f>SUM(C55:I55)</f>
        <v>0</v>
      </c>
      <c r="K55" s="10">
        <v>0</v>
      </c>
      <c r="L55" s="10">
        <v>0</v>
      </c>
      <c r="M55" s="10">
        <v>0</v>
      </c>
      <c r="N55" s="10">
        <v>0</v>
      </c>
      <c r="O55" s="10">
        <f>SUM(K55:N55)</f>
        <v>0</v>
      </c>
      <c r="P55" s="10">
        <v>0</v>
      </c>
      <c r="Q55" s="10">
        <v>0</v>
      </c>
      <c r="R55" s="10">
        <v>0</v>
      </c>
      <c r="S55" s="10">
        <v>0</v>
      </c>
      <c r="T55" s="10">
        <f>SUM(Q55:S55)</f>
        <v>0</v>
      </c>
      <c r="U55" s="10">
        <v>0</v>
      </c>
      <c r="V55" s="10">
        <v>0</v>
      </c>
      <c r="W55" s="10">
        <v>17575.411101155736</v>
      </c>
      <c r="X55" s="10">
        <v>0</v>
      </c>
      <c r="Y55" s="10">
        <v>0</v>
      </c>
      <c r="Z55" s="10">
        <f>SUM(U55:Y55)</f>
        <v>17575.411101155736</v>
      </c>
      <c r="AA55" s="10">
        <f>SUM(P55,T55,Z55)</f>
        <v>17575.411101155736</v>
      </c>
      <c r="AB55" s="10">
        <v>-11805.388953875876</v>
      </c>
      <c r="AC55" s="10">
        <f>SUM(B55,J55,O55,AA55:AB55)</f>
        <v>5770.0221472798603</v>
      </c>
    </row>
    <row r="56" spans="1:29" x14ac:dyDescent="0.2">
      <c r="A56" s="17" t="s">
        <v>87</v>
      </c>
      <c r="B56" s="10">
        <v>0</v>
      </c>
      <c r="C56" s="10">
        <v>0</v>
      </c>
      <c r="D56" s="10">
        <v>5725.8000718839248</v>
      </c>
      <c r="E56" s="10">
        <v>8704.774964258344</v>
      </c>
      <c r="F56" s="10">
        <v>4625.5721565656286</v>
      </c>
      <c r="G56" s="10">
        <v>0</v>
      </c>
      <c r="H56" s="10">
        <v>791.35810466766895</v>
      </c>
      <c r="I56" s="10">
        <v>0</v>
      </c>
      <c r="J56" s="10">
        <f>SUM(C56:I56)</f>
        <v>19847.505297375566</v>
      </c>
      <c r="K56" s="10">
        <v>0</v>
      </c>
      <c r="L56" s="10">
        <v>272.95411490178503</v>
      </c>
      <c r="M56" s="10">
        <v>0</v>
      </c>
      <c r="N56" s="10">
        <v>81489.879819432957</v>
      </c>
      <c r="O56" s="10">
        <f>SUM(K56:N56)</f>
        <v>81762.833934334747</v>
      </c>
      <c r="P56" s="10">
        <v>0</v>
      </c>
      <c r="Q56" s="10">
        <v>0</v>
      </c>
      <c r="R56" s="10">
        <v>0</v>
      </c>
      <c r="S56" s="10">
        <v>1356.7776164973238</v>
      </c>
      <c r="T56" s="10">
        <f>SUM(Q56:S56)</f>
        <v>1356.7776164973238</v>
      </c>
      <c r="U56" s="10">
        <v>31756.415056746879</v>
      </c>
      <c r="V56" s="10">
        <v>0</v>
      </c>
      <c r="W56" s="10">
        <v>106853.41338801281</v>
      </c>
      <c r="X56" s="10">
        <v>0</v>
      </c>
      <c r="Y56" s="10">
        <v>0</v>
      </c>
      <c r="Z56" s="10">
        <f>SUM(U56:Y56)</f>
        <v>138609.82844475968</v>
      </c>
      <c r="AA56" s="10">
        <f>SUM(P56,T56,Z56)</f>
        <v>139966.60606125701</v>
      </c>
      <c r="AB56" s="10">
        <v>5031.3296219908889</v>
      </c>
      <c r="AC56" s="10">
        <f>SUM(B56,J56,O56,AA56:AB56)</f>
        <v>246608.27491495819</v>
      </c>
    </row>
    <row r="57" spans="1:29" ht="10.5" x14ac:dyDescent="0.25">
      <c r="A57" s="21" t="s">
        <v>88</v>
      </c>
      <c r="B57" s="13">
        <f t="shared" ref="B57:AC57" si="9">SUM(B54:B56)</f>
        <v>0</v>
      </c>
      <c r="C57" s="13">
        <f t="shared" si="9"/>
        <v>0</v>
      </c>
      <c r="D57" s="13">
        <f t="shared" si="9"/>
        <v>5725.8000718839248</v>
      </c>
      <c r="E57" s="13">
        <f t="shared" si="9"/>
        <v>8704.774964258344</v>
      </c>
      <c r="F57" s="13">
        <f t="shared" si="9"/>
        <v>4625.5721565656286</v>
      </c>
      <c r="G57" s="13">
        <f t="shared" si="9"/>
        <v>0</v>
      </c>
      <c r="H57" s="13">
        <f t="shared" si="9"/>
        <v>3633.7872153107251</v>
      </c>
      <c r="I57" s="13">
        <f t="shared" si="9"/>
        <v>0</v>
      </c>
      <c r="J57" s="13">
        <f t="shared" si="9"/>
        <v>22689.934408018624</v>
      </c>
      <c r="K57" s="13">
        <f t="shared" si="9"/>
        <v>3187.6228666472398</v>
      </c>
      <c r="L57" s="13">
        <f t="shared" si="9"/>
        <v>272.95411490178503</v>
      </c>
      <c r="M57" s="13">
        <f t="shared" si="9"/>
        <v>0</v>
      </c>
      <c r="N57" s="13">
        <f t="shared" si="9"/>
        <v>105784.47008375006</v>
      </c>
      <c r="O57" s="13">
        <f t="shared" si="9"/>
        <v>109245.04706529909</v>
      </c>
      <c r="P57" s="13">
        <f t="shared" si="9"/>
        <v>0</v>
      </c>
      <c r="Q57" s="13">
        <f t="shared" si="9"/>
        <v>0</v>
      </c>
      <c r="R57" s="13">
        <f t="shared" si="9"/>
        <v>0</v>
      </c>
      <c r="S57" s="13">
        <f t="shared" si="9"/>
        <v>1356.7776164973238</v>
      </c>
      <c r="T57" s="13">
        <f t="shared" si="9"/>
        <v>1356.7776164973238</v>
      </c>
      <c r="U57" s="13">
        <f t="shared" si="9"/>
        <v>31756.415056746879</v>
      </c>
      <c r="V57" s="13">
        <f t="shared" si="9"/>
        <v>0</v>
      </c>
      <c r="W57" s="13">
        <f t="shared" si="9"/>
        <v>166470.34408629729</v>
      </c>
      <c r="X57" s="13">
        <f t="shared" si="9"/>
        <v>0</v>
      </c>
      <c r="Y57" s="13">
        <f t="shared" si="9"/>
        <v>0</v>
      </c>
      <c r="Z57" s="13">
        <f t="shared" si="9"/>
        <v>198226.75914304418</v>
      </c>
      <c r="AA57" s="13">
        <f t="shared" si="9"/>
        <v>199583.53675954149</v>
      </c>
      <c r="AB57" s="13">
        <f t="shared" si="9"/>
        <v>3382.5746754282072</v>
      </c>
      <c r="AC57" s="13">
        <f t="shared" si="9"/>
        <v>334901.09290828742</v>
      </c>
    </row>
    <row r="58" spans="1:29" ht="10.5" x14ac:dyDescent="0.25">
      <c r="A58" s="16" t="s">
        <v>89</v>
      </c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x14ac:dyDescent="0.2">
      <c r="A59" s="17" t="s">
        <v>277</v>
      </c>
      <c r="B59" s="10">
        <v>0</v>
      </c>
      <c r="C59" s="10">
        <v>0</v>
      </c>
      <c r="D59" s="10">
        <v>0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10">
        <f>SUM(C59:I59)</f>
        <v>0</v>
      </c>
      <c r="K59" s="10">
        <v>0</v>
      </c>
      <c r="L59" s="10">
        <v>0</v>
      </c>
      <c r="M59" s="10">
        <v>0</v>
      </c>
      <c r="N59" s="10">
        <v>0</v>
      </c>
      <c r="O59" s="10">
        <f>SUM(K59:N59)</f>
        <v>0</v>
      </c>
      <c r="P59" s="10">
        <v>0</v>
      </c>
      <c r="Q59" s="10">
        <v>0</v>
      </c>
      <c r="R59" s="10">
        <v>0</v>
      </c>
      <c r="S59" s="10">
        <v>0</v>
      </c>
      <c r="T59" s="10">
        <f>SUM(Q59:S59)</f>
        <v>0</v>
      </c>
      <c r="U59" s="10">
        <v>0</v>
      </c>
      <c r="V59" s="10">
        <v>0</v>
      </c>
      <c r="W59" s="10">
        <v>3185.88026950828</v>
      </c>
      <c r="X59" s="10">
        <v>0</v>
      </c>
      <c r="Y59" s="10">
        <v>0</v>
      </c>
      <c r="Z59" s="10">
        <f>SUM(U59:Y59)</f>
        <v>3185.88026950828</v>
      </c>
      <c r="AA59" s="10">
        <f>SUM(P59,T59,Z59)</f>
        <v>3185.88026950828</v>
      </c>
      <c r="AB59" s="10">
        <v>0</v>
      </c>
      <c r="AC59" s="10">
        <f>SUM(B59,J59,O59,AA59:AB59)</f>
        <v>3185.88026950828</v>
      </c>
    </row>
    <row r="60" spans="1:29" x14ac:dyDescent="0.2">
      <c r="A60" s="17" t="s">
        <v>90</v>
      </c>
      <c r="B60" s="10">
        <v>0</v>
      </c>
      <c r="C60" s="10">
        <v>0</v>
      </c>
      <c r="D60" s="10">
        <v>0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10">
        <f>SUM(C60:I60)</f>
        <v>0</v>
      </c>
      <c r="K60" s="10">
        <v>0</v>
      </c>
      <c r="L60" s="10">
        <v>0</v>
      </c>
      <c r="M60" s="10">
        <v>0</v>
      </c>
      <c r="N60" s="10">
        <v>0</v>
      </c>
      <c r="O60" s="10">
        <f>SUM(K60:N60)</f>
        <v>0</v>
      </c>
      <c r="P60" s="10">
        <v>0</v>
      </c>
      <c r="Q60" s="10">
        <v>0</v>
      </c>
      <c r="R60" s="10">
        <v>0</v>
      </c>
      <c r="S60" s="10">
        <v>0</v>
      </c>
      <c r="T60" s="10">
        <f>SUM(Q60:S60)</f>
        <v>0</v>
      </c>
      <c r="U60" s="10">
        <v>0</v>
      </c>
      <c r="V60" s="10">
        <v>0</v>
      </c>
      <c r="W60" s="10">
        <v>3532.8210630406602</v>
      </c>
      <c r="X60" s="10">
        <v>0</v>
      </c>
      <c r="Y60" s="10">
        <v>0</v>
      </c>
      <c r="Z60" s="10">
        <f>SUM(U60:Y60)</f>
        <v>3532.8210630406602</v>
      </c>
      <c r="AA60" s="10">
        <f>SUM(P60,T60,Z60)</f>
        <v>3532.8210630406602</v>
      </c>
      <c r="AB60" s="10">
        <v>0</v>
      </c>
      <c r="AC60" s="10">
        <f>SUM(B60,J60,O60,AA60:AB60)</f>
        <v>3532.8210630406602</v>
      </c>
    </row>
    <row r="61" spans="1:29" ht="10.5" x14ac:dyDescent="0.25">
      <c r="A61" s="21" t="s">
        <v>91</v>
      </c>
      <c r="B61" s="13">
        <f t="shared" ref="B61:AC61" si="10">SUM(B59:B60)</f>
        <v>0</v>
      </c>
      <c r="C61" s="13">
        <f t="shared" si="10"/>
        <v>0</v>
      </c>
      <c r="D61" s="13">
        <f t="shared" si="10"/>
        <v>0</v>
      </c>
      <c r="E61" s="13">
        <f t="shared" si="10"/>
        <v>0</v>
      </c>
      <c r="F61" s="13">
        <f t="shared" si="10"/>
        <v>0</v>
      </c>
      <c r="G61" s="13">
        <f t="shared" si="10"/>
        <v>0</v>
      </c>
      <c r="H61" s="13">
        <f t="shared" si="10"/>
        <v>0</v>
      </c>
      <c r="I61" s="13">
        <f t="shared" si="10"/>
        <v>0</v>
      </c>
      <c r="J61" s="13">
        <f t="shared" si="10"/>
        <v>0</v>
      </c>
      <c r="K61" s="13">
        <f t="shared" si="10"/>
        <v>0</v>
      </c>
      <c r="L61" s="13">
        <f t="shared" si="10"/>
        <v>0</v>
      </c>
      <c r="M61" s="13">
        <f t="shared" si="10"/>
        <v>0</v>
      </c>
      <c r="N61" s="13">
        <f t="shared" si="10"/>
        <v>0</v>
      </c>
      <c r="O61" s="13">
        <f t="shared" si="10"/>
        <v>0</v>
      </c>
      <c r="P61" s="13">
        <f t="shared" si="10"/>
        <v>0</v>
      </c>
      <c r="Q61" s="13">
        <f t="shared" si="10"/>
        <v>0</v>
      </c>
      <c r="R61" s="13">
        <f t="shared" si="10"/>
        <v>0</v>
      </c>
      <c r="S61" s="13">
        <f t="shared" si="10"/>
        <v>0</v>
      </c>
      <c r="T61" s="13">
        <f t="shared" si="10"/>
        <v>0</v>
      </c>
      <c r="U61" s="13">
        <f t="shared" si="10"/>
        <v>0</v>
      </c>
      <c r="V61" s="13">
        <f t="shared" si="10"/>
        <v>0</v>
      </c>
      <c r="W61" s="13">
        <f t="shared" si="10"/>
        <v>6718.7013325489406</v>
      </c>
      <c r="X61" s="13">
        <f t="shared" si="10"/>
        <v>0</v>
      </c>
      <c r="Y61" s="13">
        <f t="shared" si="10"/>
        <v>0</v>
      </c>
      <c r="Z61" s="13">
        <f t="shared" si="10"/>
        <v>6718.7013325489406</v>
      </c>
      <c r="AA61" s="13">
        <f t="shared" si="10"/>
        <v>6718.7013325489406</v>
      </c>
      <c r="AB61" s="13">
        <f t="shared" si="10"/>
        <v>0</v>
      </c>
      <c r="AC61" s="13">
        <f t="shared" si="10"/>
        <v>6718.7013325489406</v>
      </c>
    </row>
    <row r="62" spans="1:29" ht="10.5" x14ac:dyDescent="0.25">
      <c r="A62" s="16" t="s">
        <v>92</v>
      </c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x14ac:dyDescent="0.2">
      <c r="A63" s="17" t="s">
        <v>93</v>
      </c>
      <c r="B63" s="10">
        <v>0</v>
      </c>
      <c r="C63" s="10">
        <v>0</v>
      </c>
      <c r="D63" s="10">
        <v>1684.2148385180378</v>
      </c>
      <c r="E63" s="10">
        <v>0</v>
      </c>
      <c r="F63" s="10">
        <v>0</v>
      </c>
      <c r="G63" s="10">
        <v>0</v>
      </c>
      <c r="H63" s="10">
        <v>6800.1312990383294</v>
      </c>
      <c r="I63" s="10">
        <v>0</v>
      </c>
      <c r="J63" s="10">
        <f t="shared" ref="J63:J71" si="11">SUM(C63:I63)</f>
        <v>8484.3461375563675</v>
      </c>
      <c r="K63" s="10">
        <v>0</v>
      </c>
      <c r="L63" s="10">
        <v>0</v>
      </c>
      <c r="M63" s="10">
        <v>0</v>
      </c>
      <c r="N63" s="10">
        <v>6503.3248209119083</v>
      </c>
      <c r="O63" s="10">
        <f t="shared" ref="O63:O71" si="12">SUM(K63:N63)</f>
        <v>6503.3248209119083</v>
      </c>
      <c r="P63" s="10">
        <v>0</v>
      </c>
      <c r="Q63" s="10">
        <v>0</v>
      </c>
      <c r="R63" s="10">
        <v>0</v>
      </c>
      <c r="S63" s="10">
        <v>0</v>
      </c>
      <c r="T63" s="10">
        <f t="shared" ref="T63:T71" si="13">SUM(Q63:S63)</f>
        <v>0</v>
      </c>
      <c r="U63" s="10">
        <v>795.59696455593541</v>
      </c>
      <c r="V63" s="10">
        <v>0</v>
      </c>
      <c r="W63" s="10">
        <v>4073.9247548056637</v>
      </c>
      <c r="X63" s="10">
        <v>0</v>
      </c>
      <c r="Y63" s="10">
        <v>470.92548715309738</v>
      </c>
      <c r="Z63" s="10">
        <f t="shared" ref="Z63:Z71" si="14">SUM(U63:Y63)</f>
        <v>5340.4472065146965</v>
      </c>
      <c r="AA63" s="10">
        <f t="shared" ref="AA63:AA71" si="15">SUM(P63,T63,Z63)</f>
        <v>5340.4472065146965</v>
      </c>
      <c r="AB63" s="10">
        <v>6142.9402859292986</v>
      </c>
      <c r="AC63" s="10">
        <f t="shared" ref="AC63:AC71" si="16">SUM(B63,J63,O63,AA63:AB63)</f>
        <v>26471.058450912271</v>
      </c>
    </row>
    <row r="64" spans="1:29" x14ac:dyDescent="0.2">
      <c r="A64" s="17" t="s">
        <v>94</v>
      </c>
      <c r="B64" s="10">
        <v>0</v>
      </c>
      <c r="C64" s="10">
        <v>0</v>
      </c>
      <c r="D64" s="10">
        <v>9218.2758989711401</v>
      </c>
      <c r="E64" s="10">
        <v>0</v>
      </c>
      <c r="F64" s="10">
        <v>0</v>
      </c>
      <c r="G64" s="10">
        <v>0</v>
      </c>
      <c r="H64" s="10">
        <v>1803.2134061385784</v>
      </c>
      <c r="I64" s="10">
        <v>0</v>
      </c>
      <c r="J64" s="10">
        <f t="shared" si="11"/>
        <v>11021.489305109719</v>
      </c>
      <c r="K64" s="10">
        <v>0</v>
      </c>
      <c r="L64" s="10">
        <v>0</v>
      </c>
      <c r="M64" s="10">
        <v>0</v>
      </c>
      <c r="N64" s="10">
        <v>32225.105823434817</v>
      </c>
      <c r="O64" s="10">
        <f t="shared" si="12"/>
        <v>32225.105823434817</v>
      </c>
      <c r="P64" s="10">
        <v>0</v>
      </c>
      <c r="Q64" s="10">
        <v>0</v>
      </c>
      <c r="R64" s="10">
        <v>0</v>
      </c>
      <c r="S64" s="10">
        <v>0</v>
      </c>
      <c r="T64" s="10">
        <f t="shared" si="13"/>
        <v>0</v>
      </c>
      <c r="U64" s="10">
        <v>1939.205809885912</v>
      </c>
      <c r="V64" s="10">
        <v>0</v>
      </c>
      <c r="W64" s="10">
        <v>10418.173479109197</v>
      </c>
      <c r="X64" s="10">
        <v>0</v>
      </c>
      <c r="Y64" s="10">
        <v>1088.6848382999999</v>
      </c>
      <c r="Z64" s="10">
        <f t="shared" si="14"/>
        <v>13446.064127295109</v>
      </c>
      <c r="AA64" s="10">
        <f t="shared" si="15"/>
        <v>13446.064127295109</v>
      </c>
      <c r="AB64" s="10">
        <v>718.6311681773152</v>
      </c>
      <c r="AC64" s="10">
        <f t="shared" si="16"/>
        <v>57411.290424016959</v>
      </c>
    </row>
    <row r="65" spans="1:29" x14ac:dyDescent="0.2">
      <c r="A65" s="17" t="s">
        <v>95</v>
      </c>
      <c r="B65" s="10">
        <v>0</v>
      </c>
      <c r="C65" s="10">
        <v>0</v>
      </c>
      <c r="D65" s="10">
        <v>6980.2376307697859</v>
      </c>
      <c r="E65" s="10">
        <v>0</v>
      </c>
      <c r="F65" s="10">
        <v>0</v>
      </c>
      <c r="G65" s="10">
        <v>0</v>
      </c>
      <c r="H65" s="10">
        <v>4819.07828679667</v>
      </c>
      <c r="I65" s="10">
        <v>0</v>
      </c>
      <c r="J65" s="10">
        <f t="shared" si="11"/>
        <v>11799.315917566455</v>
      </c>
      <c r="K65" s="10">
        <v>0</v>
      </c>
      <c r="L65" s="10">
        <v>0</v>
      </c>
      <c r="M65" s="10">
        <v>0</v>
      </c>
      <c r="N65" s="10">
        <v>36654.520769643277</v>
      </c>
      <c r="O65" s="10">
        <f t="shared" si="12"/>
        <v>36654.520769643277</v>
      </c>
      <c r="P65" s="10">
        <v>0</v>
      </c>
      <c r="Q65" s="10">
        <v>0</v>
      </c>
      <c r="R65" s="10">
        <v>0</v>
      </c>
      <c r="S65" s="10">
        <v>0</v>
      </c>
      <c r="T65" s="10">
        <f t="shared" si="13"/>
        <v>0</v>
      </c>
      <c r="U65" s="10">
        <v>11014.859878534173</v>
      </c>
      <c r="V65" s="10">
        <v>0</v>
      </c>
      <c r="W65" s="10">
        <v>6291.9342921947782</v>
      </c>
      <c r="X65" s="10">
        <v>0</v>
      </c>
      <c r="Y65" s="10">
        <v>103.3089209144058</v>
      </c>
      <c r="Z65" s="10">
        <f t="shared" si="14"/>
        <v>17410.103091643356</v>
      </c>
      <c r="AA65" s="10">
        <f t="shared" si="15"/>
        <v>17410.103091643356</v>
      </c>
      <c r="AB65" s="10">
        <v>174.8098868549626</v>
      </c>
      <c r="AC65" s="10">
        <f t="shared" si="16"/>
        <v>66038.749665708048</v>
      </c>
    </row>
    <row r="66" spans="1:29" x14ac:dyDescent="0.2">
      <c r="A66" s="17" t="s">
        <v>96</v>
      </c>
      <c r="B66" s="10">
        <v>0</v>
      </c>
      <c r="C66" s="10">
        <v>0</v>
      </c>
      <c r="D66" s="10">
        <v>659.46478252908946</v>
      </c>
      <c r="E66" s="10">
        <v>0</v>
      </c>
      <c r="F66" s="10">
        <v>0</v>
      </c>
      <c r="G66" s="10">
        <v>0</v>
      </c>
      <c r="H66" s="10">
        <v>149.97148228415031</v>
      </c>
      <c r="I66" s="10">
        <v>0</v>
      </c>
      <c r="J66" s="10">
        <f t="shared" si="11"/>
        <v>809.43626481323975</v>
      </c>
      <c r="K66" s="10">
        <v>0</v>
      </c>
      <c r="L66" s="10">
        <v>0</v>
      </c>
      <c r="M66" s="10">
        <v>0</v>
      </c>
      <c r="N66" s="10">
        <v>3852.3887615687872</v>
      </c>
      <c r="O66" s="10">
        <f t="shared" si="12"/>
        <v>3852.3887615687872</v>
      </c>
      <c r="P66" s="10">
        <v>0</v>
      </c>
      <c r="Q66" s="10">
        <v>87.917028856032132</v>
      </c>
      <c r="R66" s="10">
        <v>0</v>
      </c>
      <c r="S66" s="10">
        <v>0</v>
      </c>
      <c r="T66" s="10">
        <f t="shared" si="13"/>
        <v>87.917028856032132</v>
      </c>
      <c r="U66" s="10">
        <v>2861.0091578442721</v>
      </c>
      <c r="V66" s="10">
        <v>0</v>
      </c>
      <c r="W66" s="10">
        <v>2968.6960305115581</v>
      </c>
      <c r="X66" s="10">
        <v>0</v>
      </c>
      <c r="Y66" s="10">
        <v>334.32312000000002</v>
      </c>
      <c r="Z66" s="10">
        <f t="shared" si="14"/>
        <v>6164.0283083558306</v>
      </c>
      <c r="AA66" s="10">
        <f t="shared" si="15"/>
        <v>6251.9453372118624</v>
      </c>
      <c r="AB66" s="10">
        <v>4019.5344095760947</v>
      </c>
      <c r="AC66" s="10">
        <f t="shared" si="16"/>
        <v>14933.304773169984</v>
      </c>
    </row>
    <row r="67" spans="1:29" x14ac:dyDescent="0.2">
      <c r="A67" s="17" t="s">
        <v>97</v>
      </c>
      <c r="B67" s="10">
        <v>0</v>
      </c>
      <c r="C67" s="10">
        <v>0</v>
      </c>
      <c r="D67" s="10">
        <v>1242.2604992655827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f t="shared" si="11"/>
        <v>1242.2604992655827</v>
      </c>
      <c r="K67" s="10">
        <v>0</v>
      </c>
      <c r="L67" s="10">
        <v>0</v>
      </c>
      <c r="M67" s="10">
        <v>0</v>
      </c>
      <c r="N67" s="10">
        <v>1346.1625062848045</v>
      </c>
      <c r="O67" s="10">
        <f t="shared" si="12"/>
        <v>1346.1625062848045</v>
      </c>
      <c r="P67" s="10">
        <v>0</v>
      </c>
      <c r="Q67" s="10">
        <v>0</v>
      </c>
      <c r="R67" s="10">
        <v>0</v>
      </c>
      <c r="S67" s="10">
        <v>0</v>
      </c>
      <c r="T67" s="10">
        <f t="shared" si="13"/>
        <v>0</v>
      </c>
      <c r="U67" s="10">
        <v>0</v>
      </c>
      <c r="V67" s="10">
        <v>0</v>
      </c>
      <c r="W67" s="10">
        <v>569.30935350000004</v>
      </c>
      <c r="X67" s="10">
        <v>0</v>
      </c>
      <c r="Y67" s="10">
        <v>0</v>
      </c>
      <c r="Z67" s="10">
        <f t="shared" si="14"/>
        <v>569.30935350000004</v>
      </c>
      <c r="AA67" s="10">
        <f t="shared" si="15"/>
        <v>569.30935350000004</v>
      </c>
      <c r="AB67" s="10">
        <v>0</v>
      </c>
      <c r="AC67" s="10">
        <f t="shared" si="16"/>
        <v>3157.7323590503875</v>
      </c>
    </row>
    <row r="68" spans="1:29" x14ac:dyDescent="0.2">
      <c r="A68" s="17" t="s">
        <v>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f t="shared" si="11"/>
        <v>0</v>
      </c>
      <c r="K68" s="10">
        <v>0</v>
      </c>
      <c r="L68" s="10">
        <v>0</v>
      </c>
      <c r="M68" s="10">
        <v>0</v>
      </c>
      <c r="N68" s="10">
        <v>0</v>
      </c>
      <c r="O68" s="10">
        <f t="shared" si="12"/>
        <v>0</v>
      </c>
      <c r="P68" s="10">
        <v>0</v>
      </c>
      <c r="Q68" s="10">
        <v>0</v>
      </c>
      <c r="R68" s="10">
        <v>0</v>
      </c>
      <c r="S68" s="10">
        <v>0</v>
      </c>
      <c r="T68" s="10">
        <f t="shared" si="13"/>
        <v>0</v>
      </c>
      <c r="U68" s="10">
        <v>0</v>
      </c>
      <c r="V68" s="10">
        <v>0</v>
      </c>
      <c r="W68" s="10">
        <v>6079.161315320569</v>
      </c>
      <c r="X68" s="10">
        <v>0</v>
      </c>
      <c r="Y68" s="10">
        <v>0</v>
      </c>
      <c r="Z68" s="10">
        <f t="shared" si="14"/>
        <v>6079.161315320569</v>
      </c>
      <c r="AA68" s="10">
        <f t="shared" si="15"/>
        <v>6079.161315320569</v>
      </c>
      <c r="AB68" s="10">
        <v>1687.3428991868961</v>
      </c>
      <c r="AC68" s="10">
        <f t="shared" si="16"/>
        <v>7766.5042145074649</v>
      </c>
    </row>
    <row r="69" spans="1:29" x14ac:dyDescent="0.2">
      <c r="A69" s="17" t="s">
        <v>99</v>
      </c>
      <c r="B69" s="10">
        <v>0</v>
      </c>
      <c r="C69" s="10">
        <v>0</v>
      </c>
      <c r="D69" s="10">
        <v>0</v>
      </c>
      <c r="E69" s="10">
        <v>0</v>
      </c>
      <c r="F69" s="10">
        <v>0</v>
      </c>
      <c r="G69" s="10">
        <v>0</v>
      </c>
      <c r="H69" s="10">
        <v>546.53299215961442</v>
      </c>
      <c r="I69" s="10">
        <v>0</v>
      </c>
      <c r="J69" s="10">
        <f t="shared" si="11"/>
        <v>546.53299215961442</v>
      </c>
      <c r="K69" s="10">
        <v>0</v>
      </c>
      <c r="L69" s="10">
        <v>0</v>
      </c>
      <c r="M69" s="10">
        <v>0</v>
      </c>
      <c r="N69" s="10">
        <v>1772.7123462162174</v>
      </c>
      <c r="O69" s="10">
        <f t="shared" si="12"/>
        <v>1772.7123462162174</v>
      </c>
      <c r="P69" s="10">
        <v>0</v>
      </c>
      <c r="Q69" s="10">
        <v>0</v>
      </c>
      <c r="R69" s="10">
        <v>0</v>
      </c>
      <c r="S69" s="10">
        <v>0</v>
      </c>
      <c r="T69" s="10">
        <f t="shared" si="13"/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f t="shared" si="14"/>
        <v>0</v>
      </c>
      <c r="AA69" s="10">
        <f t="shared" si="15"/>
        <v>0</v>
      </c>
      <c r="AB69" s="10">
        <v>85.535504198850958</v>
      </c>
      <c r="AC69" s="10">
        <f t="shared" si="16"/>
        <v>2404.780842574683</v>
      </c>
    </row>
    <row r="70" spans="1:29" x14ac:dyDescent="0.2">
      <c r="A70" s="17" t="s">
        <v>278</v>
      </c>
      <c r="B70" s="10">
        <v>0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f t="shared" si="11"/>
        <v>0</v>
      </c>
      <c r="K70" s="10">
        <v>0</v>
      </c>
      <c r="L70" s="10">
        <v>0</v>
      </c>
      <c r="M70" s="10">
        <v>0</v>
      </c>
      <c r="N70" s="10">
        <v>8043.8152270687851</v>
      </c>
      <c r="O70" s="10">
        <f t="shared" si="12"/>
        <v>8043.8152270687851</v>
      </c>
      <c r="P70" s="10">
        <v>0</v>
      </c>
      <c r="Q70" s="10">
        <v>0</v>
      </c>
      <c r="R70" s="10">
        <v>0</v>
      </c>
      <c r="S70" s="10">
        <v>0</v>
      </c>
      <c r="T70" s="10">
        <f t="shared" si="13"/>
        <v>0</v>
      </c>
      <c r="U70" s="10">
        <v>933.85543982146919</v>
      </c>
      <c r="V70" s="10">
        <v>0</v>
      </c>
      <c r="W70" s="10">
        <v>5446.6601935679673</v>
      </c>
      <c r="X70" s="10">
        <v>0</v>
      </c>
      <c r="Y70" s="10">
        <v>0</v>
      </c>
      <c r="Z70" s="10">
        <f t="shared" si="14"/>
        <v>6380.5156333894365</v>
      </c>
      <c r="AA70" s="10">
        <f t="shared" si="15"/>
        <v>6380.5156333894365</v>
      </c>
      <c r="AB70" s="10">
        <v>0</v>
      </c>
      <c r="AC70" s="10">
        <f t="shared" si="16"/>
        <v>14424.330860458222</v>
      </c>
    </row>
    <row r="71" spans="1:29" x14ac:dyDescent="0.2">
      <c r="A71" s="17" t="s">
        <v>100</v>
      </c>
      <c r="B71" s="10">
        <v>0</v>
      </c>
      <c r="C71" s="10">
        <v>0</v>
      </c>
      <c r="D71" s="10">
        <v>321.76479333253491</v>
      </c>
      <c r="E71" s="10">
        <v>0</v>
      </c>
      <c r="F71" s="10">
        <v>0</v>
      </c>
      <c r="G71" s="10">
        <v>0</v>
      </c>
      <c r="H71" s="10">
        <v>1598.8563677538739</v>
      </c>
      <c r="I71" s="10">
        <v>0</v>
      </c>
      <c r="J71" s="10">
        <f t="shared" si="11"/>
        <v>1920.6211610864088</v>
      </c>
      <c r="K71" s="10">
        <v>0</v>
      </c>
      <c r="L71" s="10">
        <v>0</v>
      </c>
      <c r="M71" s="10">
        <v>0</v>
      </c>
      <c r="N71" s="10">
        <v>5085.8588516205946</v>
      </c>
      <c r="O71" s="10">
        <f t="shared" si="12"/>
        <v>5085.8588516205946</v>
      </c>
      <c r="P71" s="10">
        <v>0</v>
      </c>
      <c r="Q71" s="10">
        <v>0</v>
      </c>
      <c r="R71" s="10">
        <v>0</v>
      </c>
      <c r="S71" s="10">
        <v>0</v>
      </c>
      <c r="T71" s="10">
        <f t="shared" si="13"/>
        <v>0</v>
      </c>
      <c r="U71" s="10">
        <v>573.22861439999997</v>
      </c>
      <c r="V71" s="10">
        <v>0</v>
      </c>
      <c r="W71" s="10">
        <v>8889.7260243109667</v>
      </c>
      <c r="X71" s="10">
        <v>0</v>
      </c>
      <c r="Y71" s="10">
        <v>51.989504099999998</v>
      </c>
      <c r="Z71" s="10">
        <f t="shared" si="14"/>
        <v>9514.9441428109658</v>
      </c>
      <c r="AA71" s="10">
        <f t="shared" si="15"/>
        <v>9514.9441428109658</v>
      </c>
      <c r="AB71" s="10">
        <v>802.94208906300742</v>
      </c>
      <c r="AC71" s="10">
        <f t="shared" si="16"/>
        <v>17324.366244580975</v>
      </c>
    </row>
    <row r="72" spans="1:29" ht="10.5" x14ac:dyDescent="0.25">
      <c r="A72" s="21" t="s">
        <v>101</v>
      </c>
      <c r="B72" s="13">
        <f t="shared" ref="B72:AC72" si="17">SUM(B63:B71)</f>
        <v>0</v>
      </c>
      <c r="C72" s="13">
        <f t="shared" si="17"/>
        <v>0</v>
      </c>
      <c r="D72" s="13">
        <f t="shared" si="17"/>
        <v>20106.218443386169</v>
      </c>
      <c r="E72" s="13">
        <f t="shared" si="17"/>
        <v>0</v>
      </c>
      <c r="F72" s="13">
        <f t="shared" si="17"/>
        <v>0</v>
      </c>
      <c r="G72" s="13">
        <f t="shared" si="17"/>
        <v>0</v>
      </c>
      <c r="H72" s="13">
        <f t="shared" si="17"/>
        <v>15717.783834171216</v>
      </c>
      <c r="I72" s="13">
        <f t="shared" si="17"/>
        <v>0</v>
      </c>
      <c r="J72" s="13">
        <f t="shared" si="17"/>
        <v>35824.002277557389</v>
      </c>
      <c r="K72" s="13">
        <f t="shared" si="17"/>
        <v>0</v>
      </c>
      <c r="L72" s="13">
        <f t="shared" si="17"/>
        <v>0</v>
      </c>
      <c r="M72" s="13">
        <f t="shared" si="17"/>
        <v>0</v>
      </c>
      <c r="N72" s="13">
        <f t="shared" si="17"/>
        <v>95483.889106749179</v>
      </c>
      <c r="O72" s="13">
        <f t="shared" si="17"/>
        <v>95483.889106749179</v>
      </c>
      <c r="P72" s="13">
        <f t="shared" si="17"/>
        <v>0</v>
      </c>
      <c r="Q72" s="13">
        <f t="shared" si="17"/>
        <v>87.917028856032132</v>
      </c>
      <c r="R72" s="13">
        <f t="shared" si="17"/>
        <v>0</v>
      </c>
      <c r="S72" s="13">
        <f t="shared" si="17"/>
        <v>0</v>
      </c>
      <c r="T72" s="13">
        <f t="shared" si="17"/>
        <v>87.917028856032132</v>
      </c>
      <c r="U72" s="13">
        <f t="shared" si="17"/>
        <v>18117.75586504176</v>
      </c>
      <c r="V72" s="13">
        <f t="shared" si="17"/>
        <v>0</v>
      </c>
      <c r="W72" s="13">
        <f t="shared" si="17"/>
        <v>44737.585443320699</v>
      </c>
      <c r="X72" s="13">
        <f t="shared" si="17"/>
        <v>0</v>
      </c>
      <c r="Y72" s="13">
        <f t="shared" si="17"/>
        <v>2049.2318704675031</v>
      </c>
      <c r="Z72" s="13">
        <f t="shared" si="17"/>
        <v>64904.57317882996</v>
      </c>
      <c r="AA72" s="13">
        <f t="shared" si="17"/>
        <v>64992.490207685994</v>
      </c>
      <c r="AB72" s="13">
        <f t="shared" si="17"/>
        <v>13631.736242986428</v>
      </c>
      <c r="AC72" s="13">
        <f t="shared" si="17"/>
        <v>209932.11783497903</v>
      </c>
    </row>
    <row r="73" spans="1:29" ht="10.5" x14ac:dyDescent="0.25">
      <c r="A73" s="16" t="s">
        <v>102</v>
      </c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</row>
    <row r="74" spans="1:29" x14ac:dyDescent="0.2">
      <c r="A74" s="17" t="s">
        <v>103</v>
      </c>
      <c r="B74" s="10">
        <v>0</v>
      </c>
      <c r="C74" s="10">
        <v>0</v>
      </c>
      <c r="D74" s="10">
        <v>2247.5046951378599</v>
      </c>
      <c r="E74" s="10">
        <v>0</v>
      </c>
      <c r="F74" s="10">
        <v>0</v>
      </c>
      <c r="G74" s="10">
        <v>0</v>
      </c>
      <c r="H74" s="10">
        <v>4504.9413003391301</v>
      </c>
      <c r="I74" s="10">
        <v>0</v>
      </c>
      <c r="J74" s="10">
        <f t="shared" ref="J74:J79" si="18">SUM(C74:I74)</f>
        <v>6752.44599547699</v>
      </c>
      <c r="K74" s="10">
        <v>0</v>
      </c>
      <c r="L74" s="10">
        <v>0</v>
      </c>
      <c r="M74" s="10">
        <v>0</v>
      </c>
      <c r="N74" s="10">
        <v>16969.5</v>
      </c>
      <c r="O74" s="10">
        <f t="shared" ref="O74:O79" si="19">SUM(K74:N74)</f>
        <v>16969.5</v>
      </c>
      <c r="P74" s="10">
        <v>0</v>
      </c>
      <c r="Q74" s="10">
        <v>812.18265064664979</v>
      </c>
      <c r="R74" s="10">
        <v>25907.68480948537</v>
      </c>
      <c r="S74" s="10">
        <v>0</v>
      </c>
      <c r="T74" s="10">
        <f t="shared" ref="T74:T79" si="20">SUM(Q74:S74)</f>
        <v>26719.86746013202</v>
      </c>
      <c r="U74" s="10">
        <v>1311.31467</v>
      </c>
      <c r="V74" s="10">
        <v>0</v>
      </c>
      <c r="W74" s="10">
        <v>45930.41782993987</v>
      </c>
      <c r="X74" s="10">
        <v>0</v>
      </c>
      <c r="Y74" s="10">
        <v>0</v>
      </c>
      <c r="Z74" s="10">
        <f t="shared" ref="Z74:Z79" si="21">SUM(U74:Y74)</f>
        <v>47241.73249993987</v>
      </c>
      <c r="AA74" s="10">
        <f t="shared" ref="AA74:AA79" si="22">SUM(P74,T74,Z74)</f>
        <v>73961.599960071893</v>
      </c>
      <c r="AB74" s="10">
        <v>-16527.998619941962</v>
      </c>
      <c r="AC74" s="10">
        <f t="shared" ref="AC74:AC79" si="23">SUM(B74,J74,O74,AA74:AB74)</f>
        <v>81155.547335606912</v>
      </c>
    </row>
    <row r="75" spans="1:29" x14ac:dyDescent="0.2">
      <c r="A75" s="17" t="s">
        <v>104</v>
      </c>
      <c r="B75" s="10">
        <v>0</v>
      </c>
      <c r="C75" s="10">
        <v>0</v>
      </c>
      <c r="D75" s="10">
        <v>2959.0546302176394</v>
      </c>
      <c r="E75" s="10">
        <v>5156.5973678647069</v>
      </c>
      <c r="F75" s="10">
        <v>0</v>
      </c>
      <c r="G75" s="10">
        <v>0</v>
      </c>
      <c r="H75" s="10">
        <v>6156.9273668602982</v>
      </c>
      <c r="I75" s="10">
        <v>1399.9623302433185</v>
      </c>
      <c r="J75" s="10">
        <f t="shared" si="18"/>
        <v>15672.541695185964</v>
      </c>
      <c r="K75" s="10">
        <v>0</v>
      </c>
      <c r="L75" s="10">
        <v>609.63143249999996</v>
      </c>
      <c r="M75" s="10">
        <v>1467.9528834982448</v>
      </c>
      <c r="N75" s="10">
        <v>4665.2029998010839</v>
      </c>
      <c r="O75" s="10">
        <f t="shared" si="19"/>
        <v>6742.787315799329</v>
      </c>
      <c r="P75" s="10">
        <v>0</v>
      </c>
      <c r="Q75" s="10">
        <v>0</v>
      </c>
      <c r="R75" s="10">
        <v>2140.8173312888403</v>
      </c>
      <c r="S75" s="10">
        <v>0</v>
      </c>
      <c r="T75" s="10">
        <f t="shared" si="20"/>
        <v>2140.8173312888403</v>
      </c>
      <c r="U75" s="10">
        <v>780.10844375795295</v>
      </c>
      <c r="V75" s="10">
        <v>0</v>
      </c>
      <c r="W75" s="10">
        <v>3316.6850312040278</v>
      </c>
      <c r="X75" s="10">
        <v>0</v>
      </c>
      <c r="Y75" s="10">
        <v>984.72220053236845</v>
      </c>
      <c r="Z75" s="10">
        <f t="shared" si="21"/>
        <v>5081.5156754943491</v>
      </c>
      <c r="AA75" s="10">
        <f t="shared" si="22"/>
        <v>7222.3330067831894</v>
      </c>
      <c r="AB75" s="10">
        <v>9099.056204462564</v>
      </c>
      <c r="AC75" s="10">
        <f t="shared" si="23"/>
        <v>38736.718222231044</v>
      </c>
    </row>
    <row r="76" spans="1:29" x14ac:dyDescent="0.2">
      <c r="A76" s="17" t="s">
        <v>105</v>
      </c>
      <c r="B76" s="10">
        <v>0</v>
      </c>
      <c r="C76" s="10">
        <v>0</v>
      </c>
      <c r="D76" s="10">
        <v>0</v>
      </c>
      <c r="E76" s="10">
        <v>41409.719725570591</v>
      </c>
      <c r="F76" s="10">
        <v>0</v>
      </c>
      <c r="G76" s="10">
        <v>0</v>
      </c>
      <c r="H76" s="10">
        <v>68360.628937930524</v>
      </c>
      <c r="I76" s="10">
        <v>0</v>
      </c>
      <c r="J76" s="10">
        <f t="shared" si="18"/>
        <v>109770.34866350112</v>
      </c>
      <c r="K76" s="10">
        <v>0</v>
      </c>
      <c r="L76" s="10">
        <v>0</v>
      </c>
      <c r="M76" s="10">
        <v>0</v>
      </c>
      <c r="N76" s="10">
        <v>47621.826406150998</v>
      </c>
      <c r="O76" s="10">
        <f t="shared" si="19"/>
        <v>47621.826406150998</v>
      </c>
      <c r="P76" s="10">
        <v>0</v>
      </c>
      <c r="Q76" s="10">
        <v>0</v>
      </c>
      <c r="R76" s="10">
        <v>0</v>
      </c>
      <c r="S76" s="10">
        <v>0</v>
      </c>
      <c r="T76" s="10">
        <f t="shared" si="20"/>
        <v>0</v>
      </c>
      <c r="U76" s="10">
        <v>0</v>
      </c>
      <c r="V76" s="10">
        <v>0</v>
      </c>
      <c r="W76" s="10">
        <v>1037.7005624999999</v>
      </c>
      <c r="X76" s="10">
        <v>0</v>
      </c>
      <c r="Y76" s="10">
        <v>3272.089606582736</v>
      </c>
      <c r="Z76" s="10">
        <f t="shared" si="21"/>
        <v>4309.7901690827357</v>
      </c>
      <c r="AA76" s="10">
        <f t="shared" si="22"/>
        <v>4309.7901690827357</v>
      </c>
      <c r="AB76" s="10">
        <v>28966.030892368359</v>
      </c>
      <c r="AC76" s="10">
        <f t="shared" si="23"/>
        <v>190667.99613110319</v>
      </c>
    </row>
    <row r="77" spans="1:29" x14ac:dyDescent="0.2">
      <c r="A77" s="17" t="s">
        <v>279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f t="shared" si="18"/>
        <v>0</v>
      </c>
      <c r="K77" s="10">
        <v>0</v>
      </c>
      <c r="L77" s="10">
        <v>0</v>
      </c>
      <c r="M77" s="10">
        <v>0</v>
      </c>
      <c r="N77" s="10">
        <v>0</v>
      </c>
      <c r="O77" s="10">
        <f t="shared" si="19"/>
        <v>0</v>
      </c>
      <c r="P77" s="10">
        <v>0</v>
      </c>
      <c r="Q77" s="10">
        <v>0</v>
      </c>
      <c r="R77" s="10">
        <v>0</v>
      </c>
      <c r="S77" s="10">
        <v>0</v>
      </c>
      <c r="T77" s="10">
        <f t="shared" si="20"/>
        <v>0</v>
      </c>
      <c r="U77" s="10">
        <v>0</v>
      </c>
      <c r="V77" s="10">
        <v>0</v>
      </c>
      <c r="W77" s="10">
        <v>1526.2233957886494</v>
      </c>
      <c r="X77" s="10">
        <v>0</v>
      </c>
      <c r="Y77" s="10">
        <v>0</v>
      </c>
      <c r="Z77" s="10">
        <f t="shared" si="21"/>
        <v>1526.2233957886494</v>
      </c>
      <c r="AA77" s="10">
        <f t="shared" si="22"/>
        <v>1526.2233957886494</v>
      </c>
      <c r="AB77" s="10">
        <v>0</v>
      </c>
      <c r="AC77" s="10">
        <f t="shared" si="23"/>
        <v>1526.2233957886494</v>
      </c>
    </row>
    <row r="78" spans="1:29" x14ac:dyDescent="0.2">
      <c r="A78" s="17" t="s">
        <v>106</v>
      </c>
      <c r="B78" s="10">
        <v>0</v>
      </c>
      <c r="C78" s="10">
        <v>0</v>
      </c>
      <c r="D78" s="10">
        <v>4765.636775416373</v>
      </c>
      <c r="E78" s="10">
        <v>0</v>
      </c>
      <c r="F78" s="10">
        <v>1558.85715</v>
      </c>
      <c r="G78" s="10">
        <v>0</v>
      </c>
      <c r="H78" s="10">
        <v>24749.169012897528</v>
      </c>
      <c r="I78" s="10">
        <v>0</v>
      </c>
      <c r="J78" s="10">
        <f t="shared" si="18"/>
        <v>31073.662938313901</v>
      </c>
      <c r="K78" s="10">
        <v>0</v>
      </c>
      <c r="L78" s="10">
        <v>0</v>
      </c>
      <c r="M78" s="10">
        <v>0</v>
      </c>
      <c r="N78" s="10">
        <v>47311.363293263705</v>
      </c>
      <c r="O78" s="10">
        <f t="shared" si="19"/>
        <v>47311.363293263705</v>
      </c>
      <c r="P78" s="10">
        <v>0</v>
      </c>
      <c r="Q78" s="10">
        <v>0</v>
      </c>
      <c r="R78" s="10">
        <v>0</v>
      </c>
      <c r="S78" s="10">
        <v>0</v>
      </c>
      <c r="T78" s="10">
        <f t="shared" si="20"/>
        <v>0</v>
      </c>
      <c r="U78" s="10">
        <v>0</v>
      </c>
      <c r="V78" s="10">
        <v>0</v>
      </c>
      <c r="W78" s="10">
        <v>293.66219999999998</v>
      </c>
      <c r="X78" s="10">
        <v>0</v>
      </c>
      <c r="Y78" s="10">
        <v>1192.6321800354908</v>
      </c>
      <c r="Z78" s="10">
        <f t="shared" si="21"/>
        <v>1486.2943800354908</v>
      </c>
      <c r="AA78" s="10">
        <f t="shared" si="22"/>
        <v>1486.2943800354908</v>
      </c>
      <c r="AB78" s="10">
        <v>-10217.036294179703</v>
      </c>
      <c r="AC78" s="10">
        <f t="shared" si="23"/>
        <v>69654.284317433383</v>
      </c>
    </row>
    <row r="79" spans="1:29" x14ac:dyDescent="0.2">
      <c r="A79" s="17" t="s">
        <v>107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f t="shared" si="18"/>
        <v>0</v>
      </c>
      <c r="K79" s="10">
        <v>0</v>
      </c>
      <c r="L79" s="10">
        <v>0</v>
      </c>
      <c r="M79" s="10">
        <v>0</v>
      </c>
      <c r="N79" s="10">
        <v>0</v>
      </c>
      <c r="O79" s="10">
        <f t="shared" si="19"/>
        <v>0</v>
      </c>
      <c r="P79" s="10">
        <v>0</v>
      </c>
      <c r="Q79" s="10">
        <v>0</v>
      </c>
      <c r="R79" s="10">
        <v>0</v>
      </c>
      <c r="S79" s="10">
        <v>0</v>
      </c>
      <c r="T79" s="10">
        <f t="shared" si="20"/>
        <v>0</v>
      </c>
      <c r="U79" s="10">
        <v>0</v>
      </c>
      <c r="V79" s="10">
        <v>0</v>
      </c>
      <c r="W79" s="10">
        <v>0</v>
      </c>
      <c r="X79" s="10">
        <v>0</v>
      </c>
      <c r="Y79" s="10">
        <v>0</v>
      </c>
      <c r="Z79" s="10">
        <f t="shared" si="21"/>
        <v>0</v>
      </c>
      <c r="AA79" s="10">
        <f t="shared" si="22"/>
        <v>0</v>
      </c>
      <c r="AB79" s="10">
        <v>65000</v>
      </c>
      <c r="AC79" s="10">
        <f t="shared" si="23"/>
        <v>65000</v>
      </c>
    </row>
    <row r="80" spans="1:29" ht="10.5" x14ac:dyDescent="0.25">
      <c r="A80" s="21" t="s">
        <v>108</v>
      </c>
      <c r="B80" s="13">
        <f t="shared" ref="B80:AC80" si="24">SUM(B74:B79)</f>
        <v>0</v>
      </c>
      <c r="C80" s="13">
        <f t="shared" si="24"/>
        <v>0</v>
      </c>
      <c r="D80" s="13">
        <f t="shared" si="24"/>
        <v>9972.1961007718728</v>
      </c>
      <c r="E80" s="13">
        <f t="shared" si="24"/>
        <v>46566.317093435297</v>
      </c>
      <c r="F80" s="13">
        <f t="shared" si="24"/>
        <v>1558.85715</v>
      </c>
      <c r="G80" s="13">
        <f t="shared" si="24"/>
        <v>0</v>
      </c>
      <c r="H80" s="13">
        <f t="shared" si="24"/>
        <v>103771.66661802749</v>
      </c>
      <c r="I80" s="13">
        <f t="shared" si="24"/>
        <v>1399.9623302433185</v>
      </c>
      <c r="J80" s="13">
        <f t="shared" si="24"/>
        <v>163268.99929247799</v>
      </c>
      <c r="K80" s="13">
        <f t="shared" si="24"/>
        <v>0</v>
      </c>
      <c r="L80" s="13">
        <f t="shared" si="24"/>
        <v>609.63143249999996</v>
      </c>
      <c r="M80" s="13">
        <f t="shared" si="24"/>
        <v>1467.9528834982448</v>
      </c>
      <c r="N80" s="13">
        <f t="shared" si="24"/>
        <v>116567.89269921579</v>
      </c>
      <c r="O80" s="13">
        <f t="shared" si="24"/>
        <v>118645.47701521404</v>
      </c>
      <c r="P80" s="13">
        <f t="shared" si="24"/>
        <v>0</v>
      </c>
      <c r="Q80" s="13">
        <f t="shared" si="24"/>
        <v>812.18265064664979</v>
      </c>
      <c r="R80" s="13">
        <f t="shared" si="24"/>
        <v>28048.50214077421</v>
      </c>
      <c r="S80" s="13">
        <f t="shared" si="24"/>
        <v>0</v>
      </c>
      <c r="T80" s="13">
        <f t="shared" si="24"/>
        <v>28860.684791420859</v>
      </c>
      <c r="U80" s="13">
        <f t="shared" si="24"/>
        <v>2091.4231137579527</v>
      </c>
      <c r="V80" s="13">
        <f t="shared" si="24"/>
        <v>0</v>
      </c>
      <c r="W80" s="13">
        <f t="shared" si="24"/>
        <v>52104.689019432546</v>
      </c>
      <c r="X80" s="13">
        <f t="shared" si="24"/>
        <v>0</v>
      </c>
      <c r="Y80" s="13">
        <f t="shared" si="24"/>
        <v>5449.4439871505956</v>
      </c>
      <c r="Z80" s="13">
        <f t="shared" si="24"/>
        <v>59645.556120341091</v>
      </c>
      <c r="AA80" s="13">
        <f t="shared" si="24"/>
        <v>88506.240911761954</v>
      </c>
      <c r="AB80" s="13">
        <f t="shared" si="24"/>
        <v>76320.05218270926</v>
      </c>
      <c r="AC80" s="13">
        <f t="shared" si="24"/>
        <v>446740.76940216316</v>
      </c>
    </row>
    <row r="81" spans="1:29" ht="10.5" x14ac:dyDescent="0.25">
      <c r="A81" s="16" t="s">
        <v>109</v>
      </c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</row>
    <row r="82" spans="1:29" x14ac:dyDescent="0.2">
      <c r="A82" s="17" t="s">
        <v>110</v>
      </c>
      <c r="B82" s="10">
        <v>0</v>
      </c>
      <c r="C82" s="10">
        <v>0</v>
      </c>
      <c r="D82" s="10">
        <v>0</v>
      </c>
      <c r="E82" s="10">
        <v>0</v>
      </c>
      <c r="F82" s="10">
        <v>0</v>
      </c>
      <c r="G82" s="10">
        <v>0</v>
      </c>
      <c r="H82" s="10">
        <v>2928.8803118448031</v>
      </c>
      <c r="I82" s="10">
        <v>0</v>
      </c>
      <c r="J82" s="10">
        <f t="shared" ref="J82:J87" si="25">SUM(C82:I82)</f>
        <v>2928.8803118448031</v>
      </c>
      <c r="K82" s="10">
        <v>0</v>
      </c>
      <c r="L82" s="10">
        <v>0</v>
      </c>
      <c r="M82" s="10">
        <v>0</v>
      </c>
      <c r="N82" s="10">
        <v>12057.019168549878</v>
      </c>
      <c r="O82" s="10">
        <f t="shared" ref="O82:O87" si="26">SUM(K82:N82)</f>
        <v>12057.019168549878</v>
      </c>
      <c r="P82" s="10">
        <v>0</v>
      </c>
      <c r="Q82" s="10">
        <v>0</v>
      </c>
      <c r="R82" s="10">
        <v>0</v>
      </c>
      <c r="S82" s="10">
        <v>0</v>
      </c>
      <c r="T82" s="10">
        <f t="shared" ref="T82:T87" si="27">SUM(Q82:S82)</f>
        <v>0</v>
      </c>
      <c r="U82" s="10">
        <v>39.53145</v>
      </c>
      <c r="V82" s="10">
        <v>0</v>
      </c>
      <c r="W82" s="10">
        <v>2671.5096637973897</v>
      </c>
      <c r="X82" s="10">
        <v>0</v>
      </c>
      <c r="Y82" s="10">
        <v>0</v>
      </c>
      <c r="Z82" s="10">
        <f t="shared" ref="Z82:Z87" si="28">SUM(U82:Y82)</f>
        <v>2711.0411137973897</v>
      </c>
      <c r="AA82" s="10">
        <f t="shared" ref="AA82:AA87" si="29">SUM(P82,T82,Z82)</f>
        <v>2711.0411137973897</v>
      </c>
      <c r="AB82" s="10">
        <v>1464.4609900522419</v>
      </c>
      <c r="AC82" s="10">
        <f t="shared" ref="AC82:AC87" si="30">SUM(B82,J82,O82,AA82:AB82)</f>
        <v>19161.401584244311</v>
      </c>
    </row>
    <row r="83" spans="1:29" x14ac:dyDescent="0.2">
      <c r="A83" s="17" t="s">
        <v>111</v>
      </c>
      <c r="B83" s="10">
        <v>0</v>
      </c>
      <c r="C83" s="10">
        <v>0</v>
      </c>
      <c r="D83" s="10">
        <v>0</v>
      </c>
      <c r="E83" s="10">
        <v>0</v>
      </c>
      <c r="F83" s="10">
        <v>0</v>
      </c>
      <c r="G83" s="10">
        <v>0</v>
      </c>
      <c r="H83" s="10">
        <v>4187.3091092793193</v>
      </c>
      <c r="I83" s="10">
        <v>0</v>
      </c>
      <c r="J83" s="10">
        <f t="shared" si="25"/>
        <v>4187.3091092793193</v>
      </c>
      <c r="K83" s="10">
        <v>0</v>
      </c>
      <c r="L83" s="10">
        <v>0</v>
      </c>
      <c r="M83" s="10">
        <v>0</v>
      </c>
      <c r="N83" s="10">
        <v>655.07619310034681</v>
      </c>
      <c r="O83" s="10">
        <f t="shared" si="26"/>
        <v>655.07619310034681</v>
      </c>
      <c r="P83" s="10">
        <v>0</v>
      </c>
      <c r="Q83" s="10">
        <v>0</v>
      </c>
      <c r="R83" s="10">
        <v>0</v>
      </c>
      <c r="S83" s="10">
        <v>0</v>
      </c>
      <c r="T83" s="10">
        <f t="shared" si="27"/>
        <v>0</v>
      </c>
      <c r="U83" s="10">
        <v>2852.3070644999998</v>
      </c>
      <c r="V83" s="10">
        <v>0</v>
      </c>
      <c r="W83" s="10">
        <v>662.58369260722486</v>
      </c>
      <c r="X83" s="10">
        <v>0</v>
      </c>
      <c r="Y83" s="10">
        <v>1432.0255757639413</v>
      </c>
      <c r="Z83" s="10">
        <f t="shared" si="28"/>
        <v>4946.9163328711657</v>
      </c>
      <c r="AA83" s="10">
        <f t="shared" si="29"/>
        <v>4946.9163328711657</v>
      </c>
      <c r="AB83" s="10">
        <v>118.18734863834516</v>
      </c>
      <c r="AC83" s="10">
        <f t="shared" si="30"/>
        <v>9907.4889838891759</v>
      </c>
    </row>
    <row r="84" spans="1:29" x14ac:dyDescent="0.2">
      <c r="A84" s="17" t="s">
        <v>112</v>
      </c>
      <c r="B84" s="10">
        <v>0</v>
      </c>
      <c r="C84" s="10">
        <v>0</v>
      </c>
      <c r="D84" s="10">
        <v>115.70571416588663</v>
      </c>
      <c r="E84" s="10">
        <v>0</v>
      </c>
      <c r="F84" s="10">
        <v>0</v>
      </c>
      <c r="G84" s="10">
        <v>0</v>
      </c>
      <c r="H84" s="10">
        <v>269.44592294191426</v>
      </c>
      <c r="I84" s="10">
        <v>0</v>
      </c>
      <c r="J84" s="10">
        <f t="shared" si="25"/>
        <v>385.15163710780087</v>
      </c>
      <c r="K84" s="10">
        <v>0</v>
      </c>
      <c r="L84" s="10">
        <v>0</v>
      </c>
      <c r="M84" s="10">
        <v>0</v>
      </c>
      <c r="N84" s="10">
        <v>5693.9895357428122</v>
      </c>
      <c r="O84" s="10">
        <f t="shared" si="26"/>
        <v>5693.9895357428122</v>
      </c>
      <c r="P84" s="10">
        <v>0</v>
      </c>
      <c r="Q84" s="10">
        <v>0</v>
      </c>
      <c r="R84" s="10">
        <v>0</v>
      </c>
      <c r="S84" s="10">
        <v>0</v>
      </c>
      <c r="T84" s="10">
        <f t="shared" si="27"/>
        <v>0</v>
      </c>
      <c r="U84" s="10">
        <v>0</v>
      </c>
      <c r="V84" s="10">
        <v>0</v>
      </c>
      <c r="W84" s="10">
        <v>293.27027684502332</v>
      </c>
      <c r="X84" s="10">
        <v>0</v>
      </c>
      <c r="Y84" s="10">
        <v>0</v>
      </c>
      <c r="Z84" s="10">
        <f t="shared" si="28"/>
        <v>293.27027684502332</v>
      </c>
      <c r="AA84" s="10">
        <f t="shared" si="29"/>
        <v>293.27027684502332</v>
      </c>
      <c r="AB84" s="10">
        <v>0</v>
      </c>
      <c r="AC84" s="10">
        <f t="shared" si="30"/>
        <v>6372.4114496956363</v>
      </c>
    </row>
    <row r="85" spans="1:29" x14ac:dyDescent="0.2">
      <c r="A85" s="17" t="s">
        <v>113</v>
      </c>
      <c r="B85" s="10">
        <v>0</v>
      </c>
      <c r="C85" s="10">
        <v>0</v>
      </c>
      <c r="D85" s="10">
        <v>934.77611461226832</v>
      </c>
      <c r="E85" s="10">
        <v>0</v>
      </c>
      <c r="F85" s="10">
        <v>0</v>
      </c>
      <c r="G85" s="10">
        <v>0</v>
      </c>
      <c r="H85" s="10">
        <v>0</v>
      </c>
      <c r="I85" s="10">
        <v>0</v>
      </c>
      <c r="J85" s="10">
        <f t="shared" si="25"/>
        <v>934.77611461226832</v>
      </c>
      <c r="K85" s="10">
        <v>0</v>
      </c>
      <c r="L85" s="10">
        <v>0</v>
      </c>
      <c r="M85" s="10">
        <v>0</v>
      </c>
      <c r="N85" s="10">
        <v>36571.391608054379</v>
      </c>
      <c r="O85" s="10">
        <f t="shared" si="26"/>
        <v>36571.391608054379</v>
      </c>
      <c r="P85" s="10">
        <v>0</v>
      </c>
      <c r="Q85" s="10">
        <v>0</v>
      </c>
      <c r="R85" s="10">
        <v>64.184305028825491</v>
      </c>
      <c r="S85" s="10">
        <v>0</v>
      </c>
      <c r="T85" s="10">
        <f t="shared" si="27"/>
        <v>64.184305028825491</v>
      </c>
      <c r="U85" s="10">
        <v>3267.619047754763</v>
      </c>
      <c r="V85" s="10">
        <v>0</v>
      </c>
      <c r="W85" s="10">
        <v>84292.40085056104</v>
      </c>
      <c r="X85" s="10">
        <v>0</v>
      </c>
      <c r="Y85" s="10">
        <v>2080.1371734562281</v>
      </c>
      <c r="Z85" s="10">
        <f t="shared" si="28"/>
        <v>89640.157071772031</v>
      </c>
      <c r="AA85" s="10">
        <f t="shared" si="29"/>
        <v>89704.341376800861</v>
      </c>
      <c r="AB85" s="10">
        <v>35484.259391968415</v>
      </c>
      <c r="AC85" s="10">
        <f t="shared" si="30"/>
        <v>162694.76849143591</v>
      </c>
    </row>
    <row r="86" spans="1:29" x14ac:dyDescent="0.2">
      <c r="A86" s="17" t="s">
        <v>114</v>
      </c>
      <c r="B86" s="10">
        <v>0</v>
      </c>
      <c r="C86" s="10">
        <v>0</v>
      </c>
      <c r="D86" s="10">
        <v>0</v>
      </c>
      <c r="E86" s="10">
        <v>0</v>
      </c>
      <c r="F86" s="10">
        <v>0</v>
      </c>
      <c r="G86" s="10">
        <v>0</v>
      </c>
      <c r="H86" s="10">
        <v>344.92836125887209</v>
      </c>
      <c r="I86" s="10">
        <v>0</v>
      </c>
      <c r="J86" s="10">
        <f t="shared" si="25"/>
        <v>344.92836125887209</v>
      </c>
      <c r="K86" s="10">
        <v>0</v>
      </c>
      <c r="L86" s="10">
        <v>0</v>
      </c>
      <c r="M86" s="10">
        <v>0</v>
      </c>
      <c r="N86" s="10">
        <v>0</v>
      </c>
      <c r="O86" s="10">
        <f t="shared" si="26"/>
        <v>0</v>
      </c>
      <c r="P86" s="10">
        <v>0</v>
      </c>
      <c r="Q86" s="10">
        <v>0</v>
      </c>
      <c r="R86" s="10">
        <v>0</v>
      </c>
      <c r="S86" s="10">
        <v>0</v>
      </c>
      <c r="T86" s="10">
        <f t="shared" si="27"/>
        <v>0</v>
      </c>
      <c r="U86" s="10">
        <v>0</v>
      </c>
      <c r="V86" s="10">
        <v>0</v>
      </c>
      <c r="W86" s="10">
        <v>0</v>
      </c>
      <c r="X86" s="10">
        <v>0</v>
      </c>
      <c r="Y86" s="10">
        <v>0</v>
      </c>
      <c r="Z86" s="10">
        <f t="shared" si="28"/>
        <v>0</v>
      </c>
      <c r="AA86" s="10">
        <f t="shared" si="29"/>
        <v>0</v>
      </c>
      <c r="AB86" s="10">
        <v>0</v>
      </c>
      <c r="AC86" s="10">
        <f t="shared" si="30"/>
        <v>344.92836125887209</v>
      </c>
    </row>
    <row r="87" spans="1:29" x14ac:dyDescent="0.2">
      <c r="A87" s="17" t="s">
        <v>280</v>
      </c>
      <c r="B87" s="10">
        <v>0</v>
      </c>
      <c r="C87" s="10">
        <v>0</v>
      </c>
      <c r="D87" s="10">
        <v>0</v>
      </c>
      <c r="E87" s="10">
        <v>0</v>
      </c>
      <c r="F87" s="10">
        <v>0</v>
      </c>
      <c r="G87" s="10">
        <v>0</v>
      </c>
      <c r="H87" s="10">
        <v>0</v>
      </c>
      <c r="I87" s="10">
        <v>0</v>
      </c>
      <c r="J87" s="10">
        <f t="shared" si="25"/>
        <v>0</v>
      </c>
      <c r="K87" s="10">
        <v>0</v>
      </c>
      <c r="L87" s="10">
        <v>0</v>
      </c>
      <c r="M87" s="10">
        <v>0</v>
      </c>
      <c r="N87" s="10">
        <v>0</v>
      </c>
      <c r="O87" s="10">
        <f t="shared" si="26"/>
        <v>0</v>
      </c>
      <c r="P87" s="10">
        <v>0</v>
      </c>
      <c r="Q87" s="10">
        <v>0</v>
      </c>
      <c r="R87" s="10">
        <v>0</v>
      </c>
      <c r="S87" s="10">
        <v>0</v>
      </c>
      <c r="T87" s="10">
        <f t="shared" si="27"/>
        <v>0</v>
      </c>
      <c r="U87" s="10">
        <v>0</v>
      </c>
      <c r="V87" s="10">
        <v>0</v>
      </c>
      <c r="W87" s="10">
        <v>1698.5526819315389</v>
      </c>
      <c r="X87" s="10">
        <v>0</v>
      </c>
      <c r="Y87" s="10">
        <v>0</v>
      </c>
      <c r="Z87" s="10">
        <f t="shared" si="28"/>
        <v>1698.5526819315389</v>
      </c>
      <c r="AA87" s="10">
        <f t="shared" si="29"/>
        <v>1698.5526819315389</v>
      </c>
      <c r="AB87" s="10">
        <v>0</v>
      </c>
      <c r="AC87" s="10">
        <f t="shared" si="30"/>
        <v>1698.5526819315389</v>
      </c>
    </row>
    <row r="88" spans="1:29" ht="10.5" x14ac:dyDescent="0.25">
      <c r="A88" s="21" t="s">
        <v>115</v>
      </c>
      <c r="B88" s="13">
        <f t="shared" ref="B88:AC88" si="31">SUM(B82:B87)</f>
        <v>0</v>
      </c>
      <c r="C88" s="13">
        <f t="shared" si="31"/>
        <v>0</v>
      </c>
      <c r="D88" s="13">
        <f t="shared" si="31"/>
        <v>1050.481828778155</v>
      </c>
      <c r="E88" s="13">
        <f t="shared" si="31"/>
        <v>0</v>
      </c>
      <c r="F88" s="13">
        <f t="shared" si="31"/>
        <v>0</v>
      </c>
      <c r="G88" s="13">
        <f t="shared" si="31"/>
        <v>0</v>
      </c>
      <c r="H88" s="13">
        <f t="shared" si="31"/>
        <v>7730.5637053249093</v>
      </c>
      <c r="I88" s="13">
        <f t="shared" si="31"/>
        <v>0</v>
      </c>
      <c r="J88" s="13">
        <f t="shared" si="31"/>
        <v>8781.0455341030629</v>
      </c>
      <c r="K88" s="13">
        <f t="shared" si="31"/>
        <v>0</v>
      </c>
      <c r="L88" s="13">
        <f t="shared" si="31"/>
        <v>0</v>
      </c>
      <c r="M88" s="13">
        <f t="shared" si="31"/>
        <v>0</v>
      </c>
      <c r="N88" s="13">
        <f t="shared" si="31"/>
        <v>54977.476505447412</v>
      </c>
      <c r="O88" s="13">
        <f t="shared" si="31"/>
        <v>54977.476505447412</v>
      </c>
      <c r="P88" s="13">
        <f t="shared" si="31"/>
        <v>0</v>
      </c>
      <c r="Q88" s="13">
        <f t="shared" si="31"/>
        <v>0</v>
      </c>
      <c r="R88" s="13">
        <f t="shared" si="31"/>
        <v>64.184305028825491</v>
      </c>
      <c r="S88" s="13">
        <f t="shared" si="31"/>
        <v>0</v>
      </c>
      <c r="T88" s="13">
        <f t="shared" si="31"/>
        <v>64.184305028825491</v>
      </c>
      <c r="U88" s="13">
        <f t="shared" si="31"/>
        <v>6159.4575622547627</v>
      </c>
      <c r="V88" s="13">
        <f t="shared" si="31"/>
        <v>0</v>
      </c>
      <c r="W88" s="13">
        <f t="shared" si="31"/>
        <v>89618.317165742221</v>
      </c>
      <c r="X88" s="13">
        <f t="shared" si="31"/>
        <v>0</v>
      </c>
      <c r="Y88" s="13">
        <f t="shared" si="31"/>
        <v>3512.1627492201696</v>
      </c>
      <c r="Z88" s="13">
        <f t="shared" si="31"/>
        <v>99289.937477217158</v>
      </c>
      <c r="AA88" s="13">
        <f t="shared" si="31"/>
        <v>99354.121782245988</v>
      </c>
      <c r="AB88" s="13">
        <f t="shared" si="31"/>
        <v>37066.907730659004</v>
      </c>
      <c r="AC88" s="13">
        <f t="shared" si="31"/>
        <v>200179.55155245544</v>
      </c>
    </row>
    <row r="89" spans="1:29" ht="10.5" x14ac:dyDescent="0.25">
      <c r="A89" s="16" t="s">
        <v>116</v>
      </c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</row>
    <row r="90" spans="1:29" x14ac:dyDescent="0.2">
      <c r="A90" s="17" t="s">
        <v>117</v>
      </c>
      <c r="B90" s="10">
        <v>0</v>
      </c>
      <c r="C90" s="10">
        <v>0</v>
      </c>
      <c r="D90" s="10">
        <v>0</v>
      </c>
      <c r="E90" s="10">
        <v>0</v>
      </c>
      <c r="F90" s="10">
        <v>0</v>
      </c>
      <c r="G90" s="10">
        <v>0</v>
      </c>
      <c r="H90" s="10">
        <v>1754.136788031434</v>
      </c>
      <c r="I90" s="10">
        <v>0</v>
      </c>
      <c r="J90" s="10">
        <f t="shared" ref="J90:J100" si="32">SUM(C90:I90)</f>
        <v>1754.136788031434</v>
      </c>
      <c r="K90" s="10">
        <v>0</v>
      </c>
      <c r="L90" s="10">
        <v>0</v>
      </c>
      <c r="M90" s="10">
        <v>0</v>
      </c>
      <c r="N90" s="10">
        <v>3327.0624860318776</v>
      </c>
      <c r="O90" s="10">
        <f t="shared" ref="O90:O100" si="33">SUM(K90:N90)</f>
        <v>3327.0624860318776</v>
      </c>
      <c r="P90" s="10">
        <v>0</v>
      </c>
      <c r="Q90" s="10">
        <v>0</v>
      </c>
      <c r="R90" s="10">
        <v>0</v>
      </c>
      <c r="S90" s="10">
        <v>0</v>
      </c>
      <c r="T90" s="10">
        <f t="shared" ref="T90:T100" si="34">SUM(Q90:S90)</f>
        <v>0</v>
      </c>
      <c r="U90" s="10">
        <v>0</v>
      </c>
      <c r="V90" s="10">
        <v>0</v>
      </c>
      <c r="W90" s="10">
        <v>103080.56732683429</v>
      </c>
      <c r="X90" s="10">
        <v>0</v>
      </c>
      <c r="Y90" s="10">
        <v>0</v>
      </c>
      <c r="Z90" s="10">
        <f t="shared" ref="Z90:Z100" si="35">SUM(U90:Y90)</f>
        <v>103080.56732683429</v>
      </c>
      <c r="AA90" s="10">
        <f t="shared" ref="AA90:AA100" si="36">SUM(P90,T90,Z90)</f>
        <v>103080.56732683429</v>
      </c>
      <c r="AB90" s="10">
        <v>-40087.795366591949</v>
      </c>
      <c r="AC90" s="10">
        <f t="shared" ref="AC90:AC100" si="37">SUM(B90,J90,O90,AA90:AB90)</f>
        <v>68073.97123430566</v>
      </c>
    </row>
    <row r="91" spans="1:29" x14ac:dyDescent="0.2">
      <c r="A91" s="17" t="s">
        <v>118</v>
      </c>
      <c r="B91" s="10">
        <v>0</v>
      </c>
      <c r="C91" s="10">
        <v>0</v>
      </c>
      <c r="D91" s="10">
        <v>0</v>
      </c>
      <c r="E91" s="10">
        <v>0</v>
      </c>
      <c r="F91" s="10">
        <v>0</v>
      </c>
      <c r="G91" s="10">
        <v>0</v>
      </c>
      <c r="H91" s="10">
        <v>0</v>
      </c>
      <c r="I91" s="10">
        <v>0</v>
      </c>
      <c r="J91" s="10">
        <f t="shared" si="32"/>
        <v>0</v>
      </c>
      <c r="K91" s="10">
        <v>0</v>
      </c>
      <c r="L91" s="10">
        <v>0</v>
      </c>
      <c r="M91" s="10">
        <v>0</v>
      </c>
      <c r="N91" s="10">
        <v>0</v>
      </c>
      <c r="O91" s="10">
        <f t="shared" si="33"/>
        <v>0</v>
      </c>
      <c r="P91" s="10">
        <v>0</v>
      </c>
      <c r="Q91" s="10">
        <v>0</v>
      </c>
      <c r="R91" s="10">
        <v>0</v>
      </c>
      <c r="S91" s="10">
        <v>0</v>
      </c>
      <c r="T91" s="10">
        <f t="shared" si="34"/>
        <v>0</v>
      </c>
      <c r="U91" s="10">
        <v>0</v>
      </c>
      <c r="V91" s="10">
        <v>0</v>
      </c>
      <c r="W91" s="10">
        <v>0</v>
      </c>
      <c r="X91" s="10">
        <v>0</v>
      </c>
      <c r="Y91" s="10">
        <v>0</v>
      </c>
      <c r="Z91" s="10">
        <f t="shared" si="35"/>
        <v>0</v>
      </c>
      <c r="AA91" s="10">
        <f t="shared" si="36"/>
        <v>0</v>
      </c>
      <c r="AB91" s="10">
        <v>15305.946703310326</v>
      </c>
      <c r="AC91" s="10">
        <f t="shared" si="37"/>
        <v>15305.946703310326</v>
      </c>
    </row>
    <row r="92" spans="1:29" x14ac:dyDescent="0.2">
      <c r="A92" s="17" t="s">
        <v>119</v>
      </c>
      <c r="B92" s="10">
        <v>0</v>
      </c>
      <c r="C92" s="10">
        <v>0</v>
      </c>
      <c r="D92" s="10">
        <v>0</v>
      </c>
      <c r="E92" s="10">
        <v>0</v>
      </c>
      <c r="F92" s="10">
        <v>0</v>
      </c>
      <c r="G92" s="10">
        <v>0</v>
      </c>
      <c r="H92" s="10">
        <v>0</v>
      </c>
      <c r="I92" s="10">
        <v>0</v>
      </c>
      <c r="J92" s="10">
        <f t="shared" si="32"/>
        <v>0</v>
      </c>
      <c r="K92" s="10">
        <v>0</v>
      </c>
      <c r="L92" s="10">
        <v>0</v>
      </c>
      <c r="M92" s="10">
        <v>0</v>
      </c>
      <c r="N92" s="10">
        <v>0</v>
      </c>
      <c r="O92" s="10">
        <f t="shared" si="33"/>
        <v>0</v>
      </c>
      <c r="P92" s="10">
        <v>0</v>
      </c>
      <c r="Q92" s="10">
        <v>0</v>
      </c>
      <c r="R92" s="10">
        <v>0</v>
      </c>
      <c r="S92" s="10">
        <v>0</v>
      </c>
      <c r="T92" s="10">
        <f t="shared" si="34"/>
        <v>0</v>
      </c>
      <c r="U92" s="10">
        <v>0</v>
      </c>
      <c r="V92" s="10">
        <v>0</v>
      </c>
      <c r="W92" s="10">
        <v>0</v>
      </c>
      <c r="X92" s="10">
        <v>0</v>
      </c>
      <c r="Y92" s="10">
        <v>0</v>
      </c>
      <c r="Z92" s="10">
        <f t="shared" si="35"/>
        <v>0</v>
      </c>
      <c r="AA92" s="10">
        <f t="shared" si="36"/>
        <v>0</v>
      </c>
      <c r="AB92" s="10">
        <v>1362.27</v>
      </c>
      <c r="AC92" s="10">
        <f t="shared" si="37"/>
        <v>1362.27</v>
      </c>
    </row>
    <row r="93" spans="1:29" x14ac:dyDescent="0.2">
      <c r="A93" s="17" t="s">
        <v>120</v>
      </c>
      <c r="B93" s="10">
        <v>0</v>
      </c>
      <c r="C93" s="10">
        <v>0</v>
      </c>
      <c r="D93" s="10">
        <v>0</v>
      </c>
      <c r="E93" s="10">
        <v>0</v>
      </c>
      <c r="F93" s="10">
        <v>0</v>
      </c>
      <c r="G93" s="10">
        <v>0</v>
      </c>
      <c r="H93" s="10">
        <v>117.11826209533091</v>
      </c>
      <c r="I93" s="10">
        <v>0</v>
      </c>
      <c r="J93" s="10">
        <f t="shared" si="32"/>
        <v>117.11826209533091</v>
      </c>
      <c r="K93" s="10">
        <v>0</v>
      </c>
      <c r="L93" s="10">
        <v>0</v>
      </c>
      <c r="M93" s="10">
        <v>0</v>
      </c>
      <c r="N93" s="10">
        <v>274.22147041995379</v>
      </c>
      <c r="O93" s="10">
        <f t="shared" si="33"/>
        <v>274.22147041995379</v>
      </c>
      <c r="P93" s="10">
        <v>0</v>
      </c>
      <c r="Q93" s="10">
        <v>0</v>
      </c>
      <c r="R93" s="10">
        <v>0</v>
      </c>
      <c r="S93" s="10">
        <v>0</v>
      </c>
      <c r="T93" s="10">
        <f t="shared" si="34"/>
        <v>0</v>
      </c>
      <c r="U93" s="10">
        <v>0</v>
      </c>
      <c r="V93" s="10">
        <v>0</v>
      </c>
      <c r="W93" s="10">
        <v>5114.2633270447759</v>
      </c>
      <c r="X93" s="10">
        <v>0</v>
      </c>
      <c r="Y93" s="10">
        <v>0</v>
      </c>
      <c r="Z93" s="10">
        <f t="shared" si="35"/>
        <v>5114.2633270447759</v>
      </c>
      <c r="AA93" s="10">
        <f t="shared" si="36"/>
        <v>5114.2633270447759</v>
      </c>
      <c r="AB93" s="10">
        <v>1112.1318336415816</v>
      </c>
      <c r="AC93" s="10">
        <f t="shared" si="37"/>
        <v>6617.7348932016421</v>
      </c>
    </row>
    <row r="94" spans="1:29" x14ac:dyDescent="0.2">
      <c r="A94" s="17" t="s">
        <v>121</v>
      </c>
      <c r="B94" s="10">
        <v>0</v>
      </c>
      <c r="C94" s="10">
        <v>0</v>
      </c>
      <c r="D94" s="10">
        <v>0</v>
      </c>
      <c r="E94" s="10">
        <v>0</v>
      </c>
      <c r="F94" s="10">
        <v>0</v>
      </c>
      <c r="G94" s="10">
        <v>0</v>
      </c>
      <c r="H94" s="10">
        <v>6133.413515475524</v>
      </c>
      <c r="I94" s="10">
        <v>0</v>
      </c>
      <c r="J94" s="10">
        <f t="shared" si="32"/>
        <v>6133.413515475524</v>
      </c>
      <c r="K94" s="10">
        <v>0</v>
      </c>
      <c r="L94" s="10">
        <v>0</v>
      </c>
      <c r="M94" s="10">
        <v>0</v>
      </c>
      <c r="N94" s="10">
        <v>0</v>
      </c>
      <c r="O94" s="10">
        <f t="shared" si="33"/>
        <v>0</v>
      </c>
      <c r="P94" s="10">
        <v>0</v>
      </c>
      <c r="Q94" s="10">
        <v>0</v>
      </c>
      <c r="R94" s="10">
        <v>0</v>
      </c>
      <c r="S94" s="10">
        <v>0</v>
      </c>
      <c r="T94" s="10">
        <f t="shared" si="34"/>
        <v>0</v>
      </c>
      <c r="U94" s="10">
        <v>0</v>
      </c>
      <c r="V94" s="10">
        <v>0</v>
      </c>
      <c r="W94" s="10">
        <v>0</v>
      </c>
      <c r="X94" s="10">
        <v>0</v>
      </c>
      <c r="Y94" s="10">
        <v>0</v>
      </c>
      <c r="Z94" s="10">
        <f t="shared" si="35"/>
        <v>0</v>
      </c>
      <c r="AA94" s="10">
        <f t="shared" si="36"/>
        <v>0</v>
      </c>
      <c r="AB94" s="10">
        <v>0</v>
      </c>
      <c r="AC94" s="10">
        <f t="shared" si="37"/>
        <v>6133.413515475524</v>
      </c>
    </row>
    <row r="95" spans="1:29" x14ac:dyDescent="0.2">
      <c r="A95" s="17" t="s">
        <v>122</v>
      </c>
      <c r="B95" s="10">
        <v>0</v>
      </c>
      <c r="C95" s="10">
        <v>0</v>
      </c>
      <c r="D95" s="10">
        <v>0</v>
      </c>
      <c r="E95" s="10">
        <v>0</v>
      </c>
      <c r="F95" s="10">
        <v>0</v>
      </c>
      <c r="G95" s="10">
        <v>0</v>
      </c>
      <c r="H95" s="10">
        <v>0</v>
      </c>
      <c r="I95" s="10">
        <v>0</v>
      </c>
      <c r="J95" s="10">
        <f t="shared" si="32"/>
        <v>0</v>
      </c>
      <c r="K95" s="10">
        <v>0</v>
      </c>
      <c r="L95" s="10">
        <v>0</v>
      </c>
      <c r="M95" s="10">
        <v>0</v>
      </c>
      <c r="N95" s="10">
        <v>0</v>
      </c>
      <c r="O95" s="10">
        <f t="shared" si="33"/>
        <v>0</v>
      </c>
      <c r="P95" s="10">
        <v>0</v>
      </c>
      <c r="Q95" s="10">
        <v>0</v>
      </c>
      <c r="R95" s="10">
        <v>0</v>
      </c>
      <c r="S95" s="10">
        <v>0</v>
      </c>
      <c r="T95" s="10">
        <f t="shared" si="34"/>
        <v>0</v>
      </c>
      <c r="U95" s="10">
        <v>0</v>
      </c>
      <c r="V95" s="10">
        <v>0</v>
      </c>
      <c r="W95" s="10">
        <v>166.47899826706811</v>
      </c>
      <c r="X95" s="10">
        <v>0</v>
      </c>
      <c r="Y95" s="10">
        <v>0</v>
      </c>
      <c r="Z95" s="10">
        <f t="shared" si="35"/>
        <v>166.47899826706811</v>
      </c>
      <c r="AA95" s="10">
        <f t="shared" si="36"/>
        <v>166.47899826706811</v>
      </c>
      <c r="AB95" s="10">
        <v>1342.5</v>
      </c>
      <c r="AC95" s="10">
        <f t="shared" si="37"/>
        <v>1508.9789982670682</v>
      </c>
    </row>
    <row r="96" spans="1:29" x14ac:dyDescent="0.2">
      <c r="A96" s="17" t="s">
        <v>281</v>
      </c>
      <c r="B96" s="10">
        <v>0</v>
      </c>
      <c r="C96" s="10">
        <v>0</v>
      </c>
      <c r="D96" s="10">
        <v>0</v>
      </c>
      <c r="E96" s="10">
        <v>0</v>
      </c>
      <c r="F96" s="10">
        <v>0</v>
      </c>
      <c r="G96" s="10">
        <v>0</v>
      </c>
      <c r="H96" s="10">
        <v>238.13843007132749</v>
      </c>
      <c r="I96" s="10">
        <v>0</v>
      </c>
      <c r="J96" s="10">
        <f t="shared" si="32"/>
        <v>238.13843007132749</v>
      </c>
      <c r="K96" s="10">
        <v>0</v>
      </c>
      <c r="L96" s="10">
        <v>0</v>
      </c>
      <c r="M96" s="10">
        <v>0</v>
      </c>
      <c r="N96" s="10">
        <v>0</v>
      </c>
      <c r="O96" s="10">
        <f t="shared" si="33"/>
        <v>0</v>
      </c>
      <c r="P96" s="10">
        <v>0</v>
      </c>
      <c r="Q96" s="10">
        <v>0</v>
      </c>
      <c r="R96" s="10">
        <v>0</v>
      </c>
      <c r="S96" s="10">
        <v>0</v>
      </c>
      <c r="T96" s="10">
        <f t="shared" si="34"/>
        <v>0</v>
      </c>
      <c r="U96" s="10">
        <v>0</v>
      </c>
      <c r="V96" s="10">
        <v>0</v>
      </c>
      <c r="W96" s="10">
        <v>0</v>
      </c>
      <c r="X96" s="10">
        <v>0</v>
      </c>
      <c r="Y96" s="10">
        <v>0</v>
      </c>
      <c r="Z96" s="10">
        <f t="shared" si="35"/>
        <v>0</v>
      </c>
      <c r="AA96" s="10">
        <f t="shared" si="36"/>
        <v>0</v>
      </c>
      <c r="AB96" s="10">
        <v>0</v>
      </c>
      <c r="AC96" s="10">
        <f t="shared" si="37"/>
        <v>238.13843007132749</v>
      </c>
    </row>
    <row r="97" spans="1:29" x14ac:dyDescent="0.2">
      <c r="A97" s="17" t="s">
        <v>123</v>
      </c>
      <c r="B97" s="10">
        <v>0</v>
      </c>
      <c r="C97" s="10">
        <v>0</v>
      </c>
      <c r="D97" s="10">
        <v>376.54506815129844</v>
      </c>
      <c r="E97" s="10">
        <v>0</v>
      </c>
      <c r="F97" s="10">
        <v>0</v>
      </c>
      <c r="G97" s="10">
        <v>0</v>
      </c>
      <c r="H97" s="10">
        <v>0</v>
      </c>
      <c r="I97" s="10">
        <v>0</v>
      </c>
      <c r="J97" s="10">
        <f t="shared" si="32"/>
        <v>376.54506815129844</v>
      </c>
      <c r="K97" s="10">
        <v>0</v>
      </c>
      <c r="L97" s="10">
        <v>0</v>
      </c>
      <c r="M97" s="10">
        <v>0</v>
      </c>
      <c r="N97" s="10">
        <v>4771.5132240207004</v>
      </c>
      <c r="O97" s="10">
        <f t="shared" si="33"/>
        <v>4771.5132240207004</v>
      </c>
      <c r="P97" s="10">
        <v>0</v>
      </c>
      <c r="Q97" s="10">
        <v>0</v>
      </c>
      <c r="R97" s="10">
        <v>0</v>
      </c>
      <c r="S97" s="10">
        <v>0</v>
      </c>
      <c r="T97" s="10">
        <f t="shared" si="34"/>
        <v>0</v>
      </c>
      <c r="U97" s="10">
        <v>534.64136866495562</v>
      </c>
      <c r="V97" s="10">
        <v>0</v>
      </c>
      <c r="W97" s="10">
        <v>6493.3593700584752</v>
      </c>
      <c r="X97" s="10">
        <v>0</v>
      </c>
      <c r="Y97" s="10">
        <v>68.209356874919706</v>
      </c>
      <c r="Z97" s="10">
        <f t="shared" si="35"/>
        <v>7096.2100955983506</v>
      </c>
      <c r="AA97" s="10">
        <f t="shared" si="36"/>
        <v>7096.2100955983506</v>
      </c>
      <c r="AB97" s="10">
        <v>8279.6645595183527</v>
      </c>
      <c r="AC97" s="10">
        <f t="shared" si="37"/>
        <v>20523.932947288704</v>
      </c>
    </row>
    <row r="98" spans="1:29" x14ac:dyDescent="0.2">
      <c r="A98" s="17" t="s">
        <v>282</v>
      </c>
      <c r="B98" s="10">
        <v>0</v>
      </c>
      <c r="C98" s="10">
        <v>0</v>
      </c>
      <c r="D98" s="10">
        <v>0</v>
      </c>
      <c r="E98" s="10">
        <v>0</v>
      </c>
      <c r="F98" s="10">
        <v>0</v>
      </c>
      <c r="G98" s="10">
        <v>0</v>
      </c>
      <c r="H98" s="10">
        <v>0</v>
      </c>
      <c r="I98" s="10">
        <v>0</v>
      </c>
      <c r="J98" s="10">
        <f t="shared" si="32"/>
        <v>0</v>
      </c>
      <c r="K98" s="10">
        <v>0</v>
      </c>
      <c r="L98" s="10">
        <v>0</v>
      </c>
      <c r="M98" s="10">
        <v>0</v>
      </c>
      <c r="N98" s="10">
        <v>0</v>
      </c>
      <c r="O98" s="10">
        <f t="shared" si="33"/>
        <v>0</v>
      </c>
      <c r="P98" s="10">
        <v>0</v>
      </c>
      <c r="Q98" s="10">
        <v>0</v>
      </c>
      <c r="R98" s="10">
        <v>0</v>
      </c>
      <c r="S98" s="10">
        <v>0</v>
      </c>
      <c r="T98" s="10">
        <f t="shared" si="34"/>
        <v>0</v>
      </c>
      <c r="U98" s="10">
        <v>0</v>
      </c>
      <c r="V98" s="10">
        <v>0</v>
      </c>
      <c r="W98" s="10">
        <v>0</v>
      </c>
      <c r="X98" s="10">
        <v>0</v>
      </c>
      <c r="Y98" s="10">
        <v>0</v>
      </c>
      <c r="Z98" s="10">
        <f t="shared" si="35"/>
        <v>0</v>
      </c>
      <c r="AA98" s="10">
        <f t="shared" si="36"/>
        <v>0</v>
      </c>
      <c r="AB98" s="10">
        <v>8.1369035582039995E-3</v>
      </c>
      <c r="AC98" s="10">
        <f t="shared" si="37"/>
        <v>8.1369035582039995E-3</v>
      </c>
    </row>
    <row r="99" spans="1:29" x14ac:dyDescent="0.2">
      <c r="A99" s="17" t="s">
        <v>124</v>
      </c>
      <c r="B99" s="10">
        <v>0</v>
      </c>
      <c r="C99" s="10">
        <v>0</v>
      </c>
      <c r="D99" s="10">
        <v>2894.21266044</v>
      </c>
      <c r="E99" s="10">
        <v>0</v>
      </c>
      <c r="F99" s="10">
        <v>0</v>
      </c>
      <c r="G99" s="10">
        <v>0</v>
      </c>
      <c r="H99" s="10">
        <v>0</v>
      </c>
      <c r="I99" s="10">
        <v>0</v>
      </c>
      <c r="J99" s="10">
        <f t="shared" si="32"/>
        <v>2894.21266044</v>
      </c>
      <c r="K99" s="10">
        <v>0</v>
      </c>
      <c r="L99" s="10">
        <v>0</v>
      </c>
      <c r="M99" s="10">
        <v>0</v>
      </c>
      <c r="N99" s="10">
        <v>0</v>
      </c>
      <c r="O99" s="10">
        <f t="shared" si="33"/>
        <v>0</v>
      </c>
      <c r="P99" s="10">
        <v>0</v>
      </c>
      <c r="Q99" s="10">
        <v>0</v>
      </c>
      <c r="R99" s="10">
        <v>0</v>
      </c>
      <c r="S99" s="10">
        <v>0</v>
      </c>
      <c r="T99" s="10">
        <f t="shared" si="34"/>
        <v>0</v>
      </c>
      <c r="U99" s="10">
        <v>0</v>
      </c>
      <c r="V99" s="10">
        <v>0</v>
      </c>
      <c r="W99" s="10">
        <v>5013.1667444990062</v>
      </c>
      <c r="X99" s="10">
        <v>0</v>
      </c>
      <c r="Y99" s="10">
        <v>0</v>
      </c>
      <c r="Z99" s="10">
        <f t="shared" si="35"/>
        <v>5013.1667444990062</v>
      </c>
      <c r="AA99" s="10">
        <f t="shared" si="36"/>
        <v>5013.1667444990062</v>
      </c>
      <c r="AB99" s="10">
        <v>0</v>
      </c>
      <c r="AC99" s="10">
        <f t="shared" si="37"/>
        <v>7907.3794049390062</v>
      </c>
    </row>
    <row r="100" spans="1:29" x14ac:dyDescent="0.2">
      <c r="A100" s="17" t="s">
        <v>125</v>
      </c>
      <c r="B100" s="10">
        <v>0</v>
      </c>
      <c r="C100" s="10">
        <v>0</v>
      </c>
      <c r="D100" s="10">
        <v>0</v>
      </c>
      <c r="E100" s="10">
        <v>0</v>
      </c>
      <c r="F100" s="10">
        <v>0</v>
      </c>
      <c r="G100" s="10">
        <v>0</v>
      </c>
      <c r="H100" s="10">
        <v>0</v>
      </c>
      <c r="I100" s="10">
        <v>0</v>
      </c>
      <c r="J100" s="10">
        <f t="shared" si="32"/>
        <v>0</v>
      </c>
      <c r="K100" s="10">
        <v>0</v>
      </c>
      <c r="L100" s="10">
        <v>0</v>
      </c>
      <c r="M100" s="10">
        <v>0</v>
      </c>
      <c r="N100" s="10">
        <v>0</v>
      </c>
      <c r="O100" s="10">
        <f t="shared" si="33"/>
        <v>0</v>
      </c>
      <c r="P100" s="10">
        <v>0</v>
      </c>
      <c r="Q100" s="10">
        <v>0</v>
      </c>
      <c r="R100" s="10">
        <v>0</v>
      </c>
      <c r="S100" s="10">
        <v>0</v>
      </c>
      <c r="T100" s="10">
        <f t="shared" si="34"/>
        <v>0</v>
      </c>
      <c r="U100" s="10">
        <v>0</v>
      </c>
      <c r="V100" s="10">
        <v>0</v>
      </c>
      <c r="W100" s="10">
        <v>212.46048057505163</v>
      </c>
      <c r="X100" s="10">
        <v>0</v>
      </c>
      <c r="Y100" s="10">
        <v>0</v>
      </c>
      <c r="Z100" s="10">
        <f t="shared" si="35"/>
        <v>212.46048057505163</v>
      </c>
      <c r="AA100" s="10">
        <f t="shared" si="36"/>
        <v>212.46048057505163</v>
      </c>
      <c r="AB100" s="10">
        <v>0</v>
      </c>
      <c r="AC100" s="10">
        <f t="shared" si="37"/>
        <v>212.46048057505163</v>
      </c>
    </row>
    <row r="101" spans="1:29" ht="10.5" x14ac:dyDescent="0.25">
      <c r="A101" s="21" t="s">
        <v>126</v>
      </c>
      <c r="B101" s="13">
        <f t="shared" ref="B101:AC101" si="38">SUM(B90:B100)</f>
        <v>0</v>
      </c>
      <c r="C101" s="13">
        <f t="shared" si="38"/>
        <v>0</v>
      </c>
      <c r="D101" s="13">
        <f t="shared" si="38"/>
        <v>3270.7577285912985</v>
      </c>
      <c r="E101" s="13">
        <f t="shared" si="38"/>
        <v>0</v>
      </c>
      <c r="F101" s="13">
        <f t="shared" si="38"/>
        <v>0</v>
      </c>
      <c r="G101" s="13">
        <f t="shared" si="38"/>
        <v>0</v>
      </c>
      <c r="H101" s="13">
        <f t="shared" si="38"/>
        <v>8242.8069956736163</v>
      </c>
      <c r="I101" s="13">
        <f t="shared" si="38"/>
        <v>0</v>
      </c>
      <c r="J101" s="13">
        <f t="shared" si="38"/>
        <v>11513.564724264914</v>
      </c>
      <c r="K101" s="13">
        <f t="shared" si="38"/>
        <v>0</v>
      </c>
      <c r="L101" s="13">
        <f t="shared" si="38"/>
        <v>0</v>
      </c>
      <c r="M101" s="13">
        <f t="shared" si="38"/>
        <v>0</v>
      </c>
      <c r="N101" s="13">
        <f t="shared" si="38"/>
        <v>8372.7971804725312</v>
      </c>
      <c r="O101" s="13">
        <f t="shared" si="38"/>
        <v>8372.7971804725312</v>
      </c>
      <c r="P101" s="13">
        <f t="shared" si="38"/>
        <v>0</v>
      </c>
      <c r="Q101" s="13">
        <f t="shared" si="38"/>
        <v>0</v>
      </c>
      <c r="R101" s="13">
        <f t="shared" si="38"/>
        <v>0</v>
      </c>
      <c r="S101" s="13">
        <f t="shared" si="38"/>
        <v>0</v>
      </c>
      <c r="T101" s="13">
        <f t="shared" si="38"/>
        <v>0</v>
      </c>
      <c r="U101" s="13">
        <f t="shared" si="38"/>
        <v>534.64136866495562</v>
      </c>
      <c r="V101" s="13">
        <f t="shared" si="38"/>
        <v>0</v>
      </c>
      <c r="W101" s="13">
        <f t="shared" si="38"/>
        <v>120080.29624727866</v>
      </c>
      <c r="X101" s="13">
        <f t="shared" si="38"/>
        <v>0</v>
      </c>
      <c r="Y101" s="13">
        <f t="shared" si="38"/>
        <v>68.209356874919706</v>
      </c>
      <c r="Z101" s="13">
        <f t="shared" si="38"/>
        <v>120683.14697281853</v>
      </c>
      <c r="AA101" s="13">
        <f t="shared" si="38"/>
        <v>120683.14697281853</v>
      </c>
      <c r="AB101" s="13">
        <f t="shared" si="38"/>
        <v>-12685.274133218127</v>
      </c>
      <c r="AC101" s="13">
        <f t="shared" si="38"/>
        <v>127884.23474433788</v>
      </c>
    </row>
    <row r="102" spans="1:29" ht="10.5" x14ac:dyDescent="0.25">
      <c r="A102" s="16" t="s">
        <v>127</v>
      </c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</row>
    <row r="103" spans="1:29" x14ac:dyDescent="0.2">
      <c r="A103" s="17" t="s">
        <v>283</v>
      </c>
      <c r="B103" s="10">
        <v>0</v>
      </c>
      <c r="C103" s="10">
        <v>0</v>
      </c>
      <c r="D103" s="10">
        <v>0</v>
      </c>
      <c r="E103" s="10">
        <v>0</v>
      </c>
      <c r="F103" s="10">
        <v>0</v>
      </c>
      <c r="G103" s="10">
        <v>0</v>
      </c>
      <c r="H103" s="10">
        <v>962.65078972033427</v>
      </c>
      <c r="I103" s="10">
        <v>0</v>
      </c>
      <c r="J103" s="10">
        <f>SUM(C103:I103)</f>
        <v>962.65078972033427</v>
      </c>
      <c r="K103" s="10">
        <v>0</v>
      </c>
      <c r="L103" s="10">
        <v>0</v>
      </c>
      <c r="M103" s="10">
        <v>0</v>
      </c>
      <c r="N103" s="10">
        <v>0</v>
      </c>
      <c r="O103" s="10">
        <f>SUM(K103:N103)</f>
        <v>0</v>
      </c>
      <c r="P103" s="10">
        <v>0</v>
      </c>
      <c r="Q103" s="10">
        <v>0</v>
      </c>
      <c r="R103" s="10">
        <v>0</v>
      </c>
      <c r="S103" s="10">
        <v>0</v>
      </c>
      <c r="T103" s="10">
        <f>SUM(Q103:S103)</f>
        <v>0</v>
      </c>
      <c r="U103" s="10">
        <v>0</v>
      </c>
      <c r="V103" s="10">
        <v>0</v>
      </c>
      <c r="W103" s="10">
        <v>78.700417769717944</v>
      </c>
      <c r="X103" s="10">
        <v>0</v>
      </c>
      <c r="Y103" s="10">
        <v>0</v>
      </c>
      <c r="Z103" s="10">
        <f>SUM(U103:Y103)</f>
        <v>78.700417769717944</v>
      </c>
      <c r="AA103" s="10">
        <f>SUM(P103,T103,Z103)</f>
        <v>78.700417769717944</v>
      </c>
      <c r="AB103" s="10">
        <v>0</v>
      </c>
      <c r="AC103" s="10">
        <f>SUM(B103,J103,O103,AA103:AB103)</f>
        <v>1041.3512074900523</v>
      </c>
    </row>
    <row r="104" spans="1:29" ht="10.5" x14ac:dyDescent="0.25">
      <c r="A104" s="21" t="s">
        <v>128</v>
      </c>
      <c r="B104" s="13">
        <f t="shared" ref="B104:AC104" si="39">SUM(B103)</f>
        <v>0</v>
      </c>
      <c r="C104" s="13">
        <f t="shared" si="39"/>
        <v>0</v>
      </c>
      <c r="D104" s="13">
        <f t="shared" si="39"/>
        <v>0</v>
      </c>
      <c r="E104" s="13">
        <f t="shared" si="39"/>
        <v>0</v>
      </c>
      <c r="F104" s="13">
        <f t="shared" si="39"/>
        <v>0</v>
      </c>
      <c r="G104" s="13">
        <f t="shared" si="39"/>
        <v>0</v>
      </c>
      <c r="H104" s="13">
        <f t="shared" si="39"/>
        <v>962.65078972033427</v>
      </c>
      <c r="I104" s="13">
        <f t="shared" si="39"/>
        <v>0</v>
      </c>
      <c r="J104" s="13">
        <f t="shared" si="39"/>
        <v>962.65078972033427</v>
      </c>
      <c r="K104" s="13">
        <f t="shared" si="39"/>
        <v>0</v>
      </c>
      <c r="L104" s="13">
        <f t="shared" si="39"/>
        <v>0</v>
      </c>
      <c r="M104" s="13">
        <f t="shared" si="39"/>
        <v>0</v>
      </c>
      <c r="N104" s="13">
        <f t="shared" si="39"/>
        <v>0</v>
      </c>
      <c r="O104" s="13">
        <f t="shared" si="39"/>
        <v>0</v>
      </c>
      <c r="P104" s="13">
        <f t="shared" si="39"/>
        <v>0</v>
      </c>
      <c r="Q104" s="13">
        <f t="shared" si="39"/>
        <v>0</v>
      </c>
      <c r="R104" s="13">
        <f t="shared" si="39"/>
        <v>0</v>
      </c>
      <c r="S104" s="13">
        <f t="shared" si="39"/>
        <v>0</v>
      </c>
      <c r="T104" s="13">
        <f t="shared" si="39"/>
        <v>0</v>
      </c>
      <c r="U104" s="13">
        <f t="shared" si="39"/>
        <v>0</v>
      </c>
      <c r="V104" s="13">
        <f t="shared" si="39"/>
        <v>0</v>
      </c>
      <c r="W104" s="13">
        <f t="shared" si="39"/>
        <v>78.700417769717944</v>
      </c>
      <c r="X104" s="13">
        <f t="shared" si="39"/>
        <v>0</v>
      </c>
      <c r="Y104" s="13">
        <f t="shared" si="39"/>
        <v>0</v>
      </c>
      <c r="Z104" s="13">
        <f t="shared" si="39"/>
        <v>78.700417769717944</v>
      </c>
      <c r="AA104" s="13">
        <f t="shared" si="39"/>
        <v>78.700417769717944</v>
      </c>
      <c r="AB104" s="13">
        <f t="shared" si="39"/>
        <v>0</v>
      </c>
      <c r="AC104" s="13">
        <f t="shared" si="39"/>
        <v>1041.3512074900523</v>
      </c>
    </row>
    <row r="105" spans="1:29" ht="10.5" x14ac:dyDescent="0.25">
      <c r="A105" s="16" t="s">
        <v>284</v>
      </c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</row>
    <row r="106" spans="1:29" x14ac:dyDescent="0.2">
      <c r="A106" s="17" t="s">
        <v>285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0</v>
      </c>
      <c r="I106" s="10">
        <v>0</v>
      </c>
      <c r="J106" s="10">
        <f>SUM(C106:I106)</f>
        <v>0</v>
      </c>
      <c r="K106" s="10">
        <v>0</v>
      </c>
      <c r="L106" s="10">
        <v>0</v>
      </c>
      <c r="M106" s="10">
        <v>0</v>
      </c>
      <c r="N106" s="10">
        <v>0</v>
      </c>
      <c r="O106" s="10">
        <f>SUM(K106:N106)</f>
        <v>0</v>
      </c>
      <c r="P106" s="10">
        <v>0</v>
      </c>
      <c r="Q106" s="10">
        <v>0</v>
      </c>
      <c r="R106" s="10">
        <v>0</v>
      </c>
      <c r="S106" s="10">
        <v>0</v>
      </c>
      <c r="T106" s="10">
        <f>SUM(Q106:S106)</f>
        <v>0</v>
      </c>
      <c r="U106" s="10">
        <v>0</v>
      </c>
      <c r="V106" s="10">
        <v>0</v>
      </c>
      <c r="W106" s="10">
        <v>0</v>
      </c>
      <c r="X106" s="10">
        <v>0</v>
      </c>
      <c r="Y106" s="10">
        <v>0</v>
      </c>
      <c r="Z106" s="10">
        <f>SUM(U106:Y106)</f>
        <v>0</v>
      </c>
      <c r="AA106" s="10">
        <f>SUM(P106,T106,Z106)</f>
        <v>0</v>
      </c>
      <c r="AB106" s="10">
        <v>3907.409870099048</v>
      </c>
      <c r="AC106" s="10">
        <f>SUM(B106,J106,O106,AA106:AB106)</f>
        <v>3907.409870099048</v>
      </c>
    </row>
    <row r="107" spans="1:29" ht="10.5" x14ac:dyDescent="0.25">
      <c r="A107" s="21" t="s">
        <v>286</v>
      </c>
      <c r="B107" s="13">
        <f t="shared" ref="B107:AC107" si="40">SUM(B106)</f>
        <v>0</v>
      </c>
      <c r="C107" s="13">
        <f t="shared" si="40"/>
        <v>0</v>
      </c>
      <c r="D107" s="13">
        <f t="shared" si="40"/>
        <v>0</v>
      </c>
      <c r="E107" s="13">
        <f t="shared" si="40"/>
        <v>0</v>
      </c>
      <c r="F107" s="13">
        <f t="shared" si="40"/>
        <v>0</v>
      </c>
      <c r="G107" s="13">
        <f t="shared" si="40"/>
        <v>0</v>
      </c>
      <c r="H107" s="13">
        <f t="shared" si="40"/>
        <v>0</v>
      </c>
      <c r="I107" s="13">
        <f t="shared" si="40"/>
        <v>0</v>
      </c>
      <c r="J107" s="13">
        <f t="shared" si="40"/>
        <v>0</v>
      </c>
      <c r="K107" s="13">
        <f t="shared" si="40"/>
        <v>0</v>
      </c>
      <c r="L107" s="13">
        <f t="shared" si="40"/>
        <v>0</v>
      </c>
      <c r="M107" s="13">
        <f t="shared" si="40"/>
        <v>0</v>
      </c>
      <c r="N107" s="13">
        <f t="shared" si="40"/>
        <v>0</v>
      </c>
      <c r="O107" s="13">
        <f t="shared" si="40"/>
        <v>0</v>
      </c>
      <c r="P107" s="13">
        <f t="shared" si="40"/>
        <v>0</v>
      </c>
      <c r="Q107" s="13">
        <f t="shared" si="40"/>
        <v>0</v>
      </c>
      <c r="R107" s="13">
        <f t="shared" si="40"/>
        <v>0</v>
      </c>
      <c r="S107" s="13">
        <f t="shared" si="40"/>
        <v>0</v>
      </c>
      <c r="T107" s="13">
        <f t="shared" si="40"/>
        <v>0</v>
      </c>
      <c r="U107" s="13">
        <f t="shared" si="40"/>
        <v>0</v>
      </c>
      <c r="V107" s="13">
        <f t="shared" si="40"/>
        <v>0</v>
      </c>
      <c r="W107" s="13">
        <f t="shared" si="40"/>
        <v>0</v>
      </c>
      <c r="X107" s="13">
        <f t="shared" si="40"/>
        <v>0</v>
      </c>
      <c r="Y107" s="13">
        <f t="shared" si="40"/>
        <v>0</v>
      </c>
      <c r="Z107" s="13">
        <f t="shared" si="40"/>
        <v>0</v>
      </c>
      <c r="AA107" s="13">
        <f t="shared" si="40"/>
        <v>0</v>
      </c>
      <c r="AB107" s="13">
        <f t="shared" si="40"/>
        <v>3907.409870099048</v>
      </c>
      <c r="AC107" s="13">
        <f t="shared" si="40"/>
        <v>3907.409870099048</v>
      </c>
    </row>
    <row r="108" spans="1:29" ht="10.5" x14ac:dyDescent="0.25">
      <c r="A108" s="16" t="s">
        <v>129</v>
      </c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</row>
    <row r="109" spans="1:29" x14ac:dyDescent="0.2">
      <c r="A109" s="17" t="s">
        <v>130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14029.470121524388</v>
      </c>
      <c r="I109" s="10">
        <v>0</v>
      </c>
      <c r="J109" s="10">
        <f t="shared" ref="J109:J121" si="41">SUM(C109:I109)</f>
        <v>14029.470121524388</v>
      </c>
      <c r="K109" s="10">
        <v>0</v>
      </c>
      <c r="L109" s="10">
        <v>0</v>
      </c>
      <c r="M109" s="10">
        <v>0</v>
      </c>
      <c r="N109" s="10">
        <v>0</v>
      </c>
      <c r="O109" s="10">
        <f t="shared" ref="O109:O121" si="42">SUM(K109:N109)</f>
        <v>0</v>
      </c>
      <c r="P109" s="10">
        <v>0</v>
      </c>
      <c r="Q109" s="10">
        <v>0</v>
      </c>
      <c r="R109" s="10">
        <v>0</v>
      </c>
      <c r="S109" s="10">
        <v>0</v>
      </c>
      <c r="T109" s="10">
        <f t="shared" ref="T109:T121" si="43">SUM(Q109:S109)</f>
        <v>0</v>
      </c>
      <c r="U109" s="10">
        <v>0</v>
      </c>
      <c r="V109" s="10">
        <v>0</v>
      </c>
      <c r="W109" s="10">
        <v>0</v>
      </c>
      <c r="X109" s="10">
        <v>0</v>
      </c>
      <c r="Y109" s="10">
        <v>0</v>
      </c>
      <c r="Z109" s="10">
        <f t="shared" ref="Z109:Z121" si="44">SUM(U109:Y109)</f>
        <v>0</v>
      </c>
      <c r="AA109" s="10">
        <f t="shared" ref="AA109:AA121" si="45">SUM(P109,T109,Z109)</f>
        <v>0</v>
      </c>
      <c r="AB109" s="10">
        <v>0</v>
      </c>
      <c r="AC109" s="10">
        <f t="shared" ref="AC109:AC121" si="46">SUM(B109,J109,O109,AA109:AB109)</f>
        <v>14029.470121524388</v>
      </c>
    </row>
    <row r="110" spans="1:29" x14ac:dyDescent="0.2">
      <c r="A110" s="17" t="s">
        <v>131</v>
      </c>
      <c r="B110" s="10">
        <v>0</v>
      </c>
      <c r="C110" s="10">
        <v>0</v>
      </c>
      <c r="D110" s="10">
        <v>11342.623453353039</v>
      </c>
      <c r="E110" s="10">
        <v>4507.9801842410461</v>
      </c>
      <c r="F110" s="10">
        <v>0</v>
      </c>
      <c r="G110" s="10">
        <v>0</v>
      </c>
      <c r="H110" s="10">
        <v>2214.4997353014201</v>
      </c>
      <c r="I110" s="10">
        <v>74.29949918265774</v>
      </c>
      <c r="J110" s="10">
        <f t="shared" si="41"/>
        <v>18139.402872078161</v>
      </c>
      <c r="K110" s="10">
        <v>0</v>
      </c>
      <c r="L110" s="10">
        <v>0</v>
      </c>
      <c r="M110" s="10">
        <v>1714.8198182186186</v>
      </c>
      <c r="N110" s="10">
        <v>17875.098706699631</v>
      </c>
      <c r="O110" s="10">
        <f t="shared" si="42"/>
        <v>19589.918524918248</v>
      </c>
      <c r="P110" s="10">
        <v>0</v>
      </c>
      <c r="Q110" s="10">
        <v>0</v>
      </c>
      <c r="R110" s="10">
        <v>57.776895869102127</v>
      </c>
      <c r="S110" s="10">
        <v>854.237514915465</v>
      </c>
      <c r="T110" s="10">
        <f t="shared" si="43"/>
        <v>912.01441078456708</v>
      </c>
      <c r="U110" s="10">
        <v>44426.312930520595</v>
      </c>
      <c r="V110" s="10">
        <v>0</v>
      </c>
      <c r="W110" s="10">
        <v>34921.862360963969</v>
      </c>
      <c r="X110" s="10">
        <v>0</v>
      </c>
      <c r="Y110" s="10">
        <v>753.8472520302206</v>
      </c>
      <c r="Z110" s="10">
        <f t="shared" si="44"/>
        <v>80102.022543514788</v>
      </c>
      <c r="AA110" s="10">
        <f t="shared" si="45"/>
        <v>81014.036954299358</v>
      </c>
      <c r="AB110" s="10">
        <v>64383.628607788058</v>
      </c>
      <c r="AC110" s="10">
        <f t="shared" si="46"/>
        <v>183126.98695908382</v>
      </c>
    </row>
    <row r="111" spans="1:29" x14ac:dyDescent="0.2">
      <c r="A111" s="17" t="s">
        <v>287</v>
      </c>
      <c r="B111" s="10">
        <v>0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0</v>
      </c>
      <c r="I111" s="10">
        <v>0</v>
      </c>
      <c r="J111" s="10">
        <f t="shared" si="41"/>
        <v>0</v>
      </c>
      <c r="K111" s="10">
        <v>0</v>
      </c>
      <c r="L111" s="10">
        <v>0</v>
      </c>
      <c r="M111" s="10">
        <v>0</v>
      </c>
      <c r="N111" s="10">
        <v>203.40328823903309</v>
      </c>
      <c r="O111" s="10">
        <f t="shared" si="42"/>
        <v>203.40328823903309</v>
      </c>
      <c r="P111" s="10">
        <v>0</v>
      </c>
      <c r="Q111" s="10">
        <v>0</v>
      </c>
      <c r="R111" s="10">
        <v>0</v>
      </c>
      <c r="S111" s="10">
        <v>0</v>
      </c>
      <c r="T111" s="10">
        <f t="shared" si="43"/>
        <v>0</v>
      </c>
      <c r="U111" s="10">
        <v>0</v>
      </c>
      <c r="V111" s="10">
        <v>0</v>
      </c>
      <c r="W111" s="10">
        <v>733.97481150115721</v>
      </c>
      <c r="X111" s="10">
        <v>0</v>
      </c>
      <c r="Y111" s="10">
        <v>0</v>
      </c>
      <c r="Z111" s="10">
        <f t="shared" si="44"/>
        <v>733.97481150115721</v>
      </c>
      <c r="AA111" s="10">
        <f t="shared" si="45"/>
        <v>733.97481150115721</v>
      </c>
      <c r="AB111" s="10">
        <v>299.91031220000002</v>
      </c>
      <c r="AC111" s="10">
        <f t="shared" si="46"/>
        <v>1237.2884119401901</v>
      </c>
    </row>
    <row r="112" spans="1:29" x14ac:dyDescent="0.2">
      <c r="A112" s="17" t="s">
        <v>132</v>
      </c>
      <c r="B112" s="10">
        <v>0</v>
      </c>
      <c r="C112" s="10">
        <v>0</v>
      </c>
      <c r="D112" s="10">
        <v>311.31354620026599</v>
      </c>
      <c r="E112" s="10">
        <v>0</v>
      </c>
      <c r="F112" s="10">
        <v>0</v>
      </c>
      <c r="G112" s="10">
        <v>0</v>
      </c>
      <c r="H112" s="10">
        <v>326.94354051905799</v>
      </c>
      <c r="I112" s="10">
        <v>0</v>
      </c>
      <c r="J112" s="10">
        <f t="shared" si="41"/>
        <v>638.25708671932398</v>
      </c>
      <c r="K112" s="10">
        <v>0</v>
      </c>
      <c r="L112" s="10">
        <v>0</v>
      </c>
      <c r="M112" s="10">
        <v>680.56220901028269</v>
      </c>
      <c r="N112" s="10">
        <v>0</v>
      </c>
      <c r="O112" s="10">
        <f t="shared" si="42"/>
        <v>680.56220901028269</v>
      </c>
      <c r="P112" s="10">
        <v>0</v>
      </c>
      <c r="Q112" s="10">
        <v>0</v>
      </c>
      <c r="R112" s="10">
        <v>0</v>
      </c>
      <c r="S112" s="10">
        <v>0</v>
      </c>
      <c r="T112" s="10">
        <f t="shared" si="43"/>
        <v>0</v>
      </c>
      <c r="U112" s="10">
        <v>1956.8873975672484</v>
      </c>
      <c r="V112" s="10">
        <v>0</v>
      </c>
      <c r="W112" s="10">
        <v>3086.6386004271385</v>
      </c>
      <c r="X112" s="10">
        <v>0</v>
      </c>
      <c r="Y112" s="10">
        <v>672.43078947952847</v>
      </c>
      <c r="Z112" s="10">
        <f t="shared" si="44"/>
        <v>5715.956787473915</v>
      </c>
      <c r="AA112" s="10">
        <f t="shared" si="45"/>
        <v>5715.956787473915</v>
      </c>
      <c r="AB112" s="10">
        <v>0</v>
      </c>
      <c r="AC112" s="10">
        <f t="shared" si="46"/>
        <v>7034.7760832035219</v>
      </c>
    </row>
    <row r="113" spans="1:29" x14ac:dyDescent="0.2">
      <c r="A113" s="17" t="s">
        <v>133</v>
      </c>
      <c r="B113" s="10">
        <v>0</v>
      </c>
      <c r="C113" s="10">
        <v>0</v>
      </c>
      <c r="D113" s="10">
        <v>0</v>
      </c>
      <c r="E113" s="10">
        <v>0</v>
      </c>
      <c r="F113" s="10">
        <v>0</v>
      </c>
      <c r="G113" s="10">
        <v>0</v>
      </c>
      <c r="H113" s="10">
        <v>0</v>
      </c>
      <c r="I113" s="10">
        <v>0</v>
      </c>
      <c r="J113" s="10">
        <f t="shared" si="41"/>
        <v>0</v>
      </c>
      <c r="K113" s="10">
        <v>800</v>
      </c>
      <c r="L113" s="10">
        <v>0</v>
      </c>
      <c r="M113" s="10">
        <v>0</v>
      </c>
      <c r="N113" s="10">
        <v>698.24154381111759</v>
      </c>
      <c r="O113" s="10">
        <f t="shared" si="42"/>
        <v>1498.2415438111175</v>
      </c>
      <c r="P113" s="10">
        <v>0</v>
      </c>
      <c r="Q113" s="10">
        <v>0</v>
      </c>
      <c r="R113" s="10">
        <v>0</v>
      </c>
      <c r="S113" s="10">
        <v>0</v>
      </c>
      <c r="T113" s="10">
        <f t="shared" si="43"/>
        <v>0</v>
      </c>
      <c r="U113" s="10">
        <v>0</v>
      </c>
      <c r="V113" s="10">
        <v>0</v>
      </c>
      <c r="W113" s="10">
        <v>0</v>
      </c>
      <c r="X113" s="10">
        <v>0</v>
      </c>
      <c r="Y113" s="10">
        <v>0</v>
      </c>
      <c r="Z113" s="10">
        <f t="shared" si="44"/>
        <v>0</v>
      </c>
      <c r="AA113" s="10">
        <f t="shared" si="45"/>
        <v>0</v>
      </c>
      <c r="AB113" s="10">
        <v>1737.5999700677933</v>
      </c>
      <c r="AC113" s="10">
        <f t="shared" si="46"/>
        <v>3235.8415138789105</v>
      </c>
    </row>
    <row r="114" spans="1:29" x14ac:dyDescent="0.2">
      <c r="A114" s="17" t="s">
        <v>134</v>
      </c>
      <c r="B114" s="10">
        <v>0</v>
      </c>
      <c r="C114" s="10">
        <v>0</v>
      </c>
      <c r="D114" s="10">
        <v>0</v>
      </c>
      <c r="E114" s="10">
        <v>0</v>
      </c>
      <c r="F114" s="10">
        <v>0</v>
      </c>
      <c r="G114" s="10">
        <v>0</v>
      </c>
      <c r="H114" s="10">
        <v>9318.1570813529597</v>
      </c>
      <c r="I114" s="10">
        <v>0</v>
      </c>
      <c r="J114" s="10">
        <f t="shared" si="41"/>
        <v>9318.1570813529597</v>
      </c>
      <c r="K114" s="10">
        <v>0</v>
      </c>
      <c r="L114" s="10">
        <v>0</v>
      </c>
      <c r="M114" s="10">
        <v>0</v>
      </c>
      <c r="N114" s="10">
        <v>0</v>
      </c>
      <c r="O114" s="10">
        <f t="shared" si="42"/>
        <v>0</v>
      </c>
      <c r="P114" s="10">
        <v>0</v>
      </c>
      <c r="Q114" s="10">
        <v>0</v>
      </c>
      <c r="R114" s="10">
        <v>0</v>
      </c>
      <c r="S114" s="10">
        <v>0</v>
      </c>
      <c r="T114" s="10">
        <f t="shared" si="43"/>
        <v>0</v>
      </c>
      <c r="U114" s="10">
        <v>0</v>
      </c>
      <c r="V114" s="10">
        <v>0</v>
      </c>
      <c r="W114" s="10">
        <v>0</v>
      </c>
      <c r="X114" s="10">
        <v>0</v>
      </c>
      <c r="Y114" s="10">
        <v>0</v>
      </c>
      <c r="Z114" s="10">
        <f t="shared" si="44"/>
        <v>0</v>
      </c>
      <c r="AA114" s="10">
        <f t="shared" si="45"/>
        <v>0</v>
      </c>
      <c r="AB114" s="10">
        <v>0</v>
      </c>
      <c r="AC114" s="10">
        <f t="shared" si="46"/>
        <v>9318.1570813529597</v>
      </c>
    </row>
    <row r="115" spans="1:29" x14ac:dyDescent="0.2">
      <c r="A115" s="17" t="s">
        <v>135</v>
      </c>
      <c r="B115" s="10">
        <v>0</v>
      </c>
      <c r="C115" s="10">
        <v>0</v>
      </c>
      <c r="D115" s="10">
        <v>138.21324390000001</v>
      </c>
      <c r="E115" s="10">
        <v>494.33768150611786</v>
      </c>
      <c r="F115" s="10">
        <v>0</v>
      </c>
      <c r="G115" s="10">
        <v>0</v>
      </c>
      <c r="H115" s="10">
        <v>0</v>
      </c>
      <c r="I115" s="10">
        <v>0</v>
      </c>
      <c r="J115" s="10">
        <f t="shared" si="41"/>
        <v>632.55092540611781</v>
      </c>
      <c r="K115" s="10">
        <v>0</v>
      </c>
      <c r="L115" s="10">
        <v>0</v>
      </c>
      <c r="M115" s="10">
        <v>161.58439878181321</v>
      </c>
      <c r="N115" s="10">
        <v>20251.085541632146</v>
      </c>
      <c r="O115" s="10">
        <f t="shared" si="42"/>
        <v>20412.669940413958</v>
      </c>
      <c r="P115" s="10">
        <v>0</v>
      </c>
      <c r="Q115" s="10">
        <v>0</v>
      </c>
      <c r="R115" s="10">
        <v>0</v>
      </c>
      <c r="S115" s="10">
        <v>0</v>
      </c>
      <c r="T115" s="10">
        <f t="shared" si="43"/>
        <v>0</v>
      </c>
      <c r="U115" s="10">
        <v>1368.3429383862197</v>
      </c>
      <c r="V115" s="10">
        <v>0</v>
      </c>
      <c r="W115" s="10">
        <v>1062.0233570204682</v>
      </c>
      <c r="X115" s="10">
        <v>0</v>
      </c>
      <c r="Y115" s="10">
        <v>0</v>
      </c>
      <c r="Z115" s="10">
        <f t="shared" si="44"/>
        <v>2430.3662954066876</v>
      </c>
      <c r="AA115" s="10">
        <f t="shared" si="45"/>
        <v>2430.3662954066876</v>
      </c>
      <c r="AB115" s="10">
        <v>-17667.853368852335</v>
      </c>
      <c r="AC115" s="10">
        <f t="shared" si="46"/>
        <v>5807.7337923744308</v>
      </c>
    </row>
    <row r="116" spans="1:29" x14ac:dyDescent="0.2">
      <c r="A116" s="17" t="s">
        <v>288</v>
      </c>
      <c r="B116" s="10">
        <v>0</v>
      </c>
      <c r="C116" s="10">
        <v>0</v>
      </c>
      <c r="D116" s="10">
        <v>0</v>
      </c>
      <c r="E116" s="10">
        <v>0</v>
      </c>
      <c r="F116" s="10">
        <v>0</v>
      </c>
      <c r="G116" s="10">
        <v>0</v>
      </c>
      <c r="H116" s="10">
        <v>0</v>
      </c>
      <c r="I116" s="10">
        <v>0</v>
      </c>
      <c r="J116" s="10">
        <f t="shared" si="41"/>
        <v>0</v>
      </c>
      <c r="K116" s="10">
        <v>0</v>
      </c>
      <c r="L116" s="10">
        <v>0</v>
      </c>
      <c r="M116" s="10">
        <v>0</v>
      </c>
      <c r="N116" s="10">
        <v>0</v>
      </c>
      <c r="O116" s="10">
        <f t="shared" si="42"/>
        <v>0</v>
      </c>
      <c r="P116" s="10">
        <v>0</v>
      </c>
      <c r="Q116" s="10">
        <v>0</v>
      </c>
      <c r="R116" s="10">
        <v>0</v>
      </c>
      <c r="S116" s="10">
        <v>0</v>
      </c>
      <c r="T116" s="10">
        <f t="shared" si="43"/>
        <v>0</v>
      </c>
      <c r="U116" s="10">
        <v>0</v>
      </c>
      <c r="V116" s="10">
        <v>0</v>
      </c>
      <c r="W116" s="10">
        <v>365.86297515414412</v>
      </c>
      <c r="X116" s="10">
        <v>0</v>
      </c>
      <c r="Y116" s="10">
        <v>0</v>
      </c>
      <c r="Z116" s="10">
        <f t="shared" si="44"/>
        <v>365.86297515414412</v>
      </c>
      <c r="AA116" s="10">
        <f t="shared" si="45"/>
        <v>365.86297515414412</v>
      </c>
      <c r="AB116" s="10">
        <v>88.592131350012821</v>
      </c>
      <c r="AC116" s="10">
        <f t="shared" si="46"/>
        <v>454.45510650415696</v>
      </c>
    </row>
    <row r="117" spans="1:29" x14ac:dyDescent="0.2">
      <c r="A117" s="17" t="s">
        <v>289</v>
      </c>
      <c r="B117" s="10">
        <v>0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  <c r="I117" s="10">
        <v>0</v>
      </c>
      <c r="J117" s="10">
        <f t="shared" si="41"/>
        <v>0</v>
      </c>
      <c r="K117" s="10">
        <v>0</v>
      </c>
      <c r="L117" s="10">
        <v>0</v>
      </c>
      <c r="M117" s="10">
        <v>0</v>
      </c>
      <c r="N117" s="10">
        <v>0</v>
      </c>
      <c r="O117" s="10">
        <f t="shared" si="42"/>
        <v>0</v>
      </c>
      <c r="P117" s="10">
        <v>0</v>
      </c>
      <c r="Q117" s="10">
        <v>0</v>
      </c>
      <c r="R117" s="10">
        <v>0</v>
      </c>
      <c r="S117" s="10">
        <v>0</v>
      </c>
      <c r="T117" s="10">
        <f t="shared" si="43"/>
        <v>0</v>
      </c>
      <c r="U117" s="10">
        <v>895.08238559999995</v>
      </c>
      <c r="V117" s="10">
        <v>0</v>
      </c>
      <c r="W117" s="10">
        <v>5765.4525403513835</v>
      </c>
      <c r="X117" s="10">
        <v>0</v>
      </c>
      <c r="Y117" s="10">
        <v>160.29438239999999</v>
      </c>
      <c r="Z117" s="10">
        <f t="shared" si="44"/>
        <v>6820.8293083513836</v>
      </c>
      <c r="AA117" s="10">
        <f t="shared" si="45"/>
        <v>6820.8293083513836</v>
      </c>
      <c r="AB117" s="10">
        <v>31.617376495434463</v>
      </c>
      <c r="AC117" s="10">
        <f t="shared" si="46"/>
        <v>6852.4466848468182</v>
      </c>
    </row>
    <row r="118" spans="1:29" x14ac:dyDescent="0.2">
      <c r="A118" s="17" t="s">
        <v>136</v>
      </c>
      <c r="B118" s="10">
        <v>0</v>
      </c>
      <c r="C118" s="10">
        <v>0</v>
      </c>
      <c r="D118" s="10">
        <v>20262.412163767916</v>
      </c>
      <c r="E118" s="10">
        <v>0</v>
      </c>
      <c r="F118" s="10">
        <v>0</v>
      </c>
      <c r="G118" s="10">
        <v>0</v>
      </c>
      <c r="H118" s="10">
        <v>0</v>
      </c>
      <c r="I118" s="10">
        <v>0</v>
      </c>
      <c r="J118" s="10">
        <f t="shared" si="41"/>
        <v>20262.412163767916</v>
      </c>
      <c r="K118" s="10">
        <v>0</v>
      </c>
      <c r="L118" s="10">
        <v>0</v>
      </c>
      <c r="M118" s="10">
        <v>0</v>
      </c>
      <c r="N118" s="10">
        <v>0</v>
      </c>
      <c r="O118" s="10">
        <f t="shared" si="42"/>
        <v>0</v>
      </c>
      <c r="P118" s="10">
        <v>0</v>
      </c>
      <c r="Q118" s="10">
        <v>0</v>
      </c>
      <c r="R118" s="10">
        <v>0</v>
      </c>
      <c r="S118" s="10">
        <v>0</v>
      </c>
      <c r="T118" s="10">
        <f t="shared" si="43"/>
        <v>0</v>
      </c>
      <c r="U118" s="10">
        <v>0</v>
      </c>
      <c r="V118" s="10">
        <v>0</v>
      </c>
      <c r="W118" s="10">
        <v>0</v>
      </c>
      <c r="X118" s="10">
        <v>0</v>
      </c>
      <c r="Y118" s="10">
        <v>0</v>
      </c>
      <c r="Z118" s="10">
        <f t="shared" si="44"/>
        <v>0</v>
      </c>
      <c r="AA118" s="10">
        <f t="shared" si="45"/>
        <v>0</v>
      </c>
      <c r="AB118" s="10">
        <v>0</v>
      </c>
      <c r="AC118" s="10">
        <f t="shared" si="46"/>
        <v>20262.412163767916</v>
      </c>
    </row>
    <row r="119" spans="1:29" x14ac:dyDescent="0.2">
      <c r="A119" s="17" t="s">
        <v>290</v>
      </c>
      <c r="B119" s="10">
        <v>0</v>
      </c>
      <c r="C119" s="10">
        <v>0</v>
      </c>
      <c r="D119" s="10">
        <v>0</v>
      </c>
      <c r="E119" s="10">
        <v>0</v>
      </c>
      <c r="F119" s="10">
        <v>0</v>
      </c>
      <c r="G119" s="10">
        <v>0</v>
      </c>
      <c r="H119" s="10">
        <v>0</v>
      </c>
      <c r="I119" s="10">
        <v>0</v>
      </c>
      <c r="J119" s="10">
        <f t="shared" si="41"/>
        <v>0</v>
      </c>
      <c r="K119" s="10">
        <v>0</v>
      </c>
      <c r="L119" s="10">
        <v>0</v>
      </c>
      <c r="M119" s="10">
        <v>0</v>
      </c>
      <c r="N119" s="10">
        <v>0</v>
      </c>
      <c r="O119" s="10">
        <f t="shared" si="42"/>
        <v>0</v>
      </c>
      <c r="P119" s="10">
        <v>0</v>
      </c>
      <c r="Q119" s="10">
        <v>0</v>
      </c>
      <c r="R119" s="10">
        <v>0</v>
      </c>
      <c r="S119" s="10">
        <v>5795.2124368346513</v>
      </c>
      <c r="T119" s="10">
        <f t="shared" si="43"/>
        <v>5795.2124368346513</v>
      </c>
      <c r="U119" s="10">
        <v>0</v>
      </c>
      <c r="V119" s="10">
        <v>0</v>
      </c>
      <c r="W119" s="10">
        <v>0</v>
      </c>
      <c r="X119" s="10">
        <v>0</v>
      </c>
      <c r="Y119" s="10">
        <v>0</v>
      </c>
      <c r="Z119" s="10">
        <f t="shared" si="44"/>
        <v>0</v>
      </c>
      <c r="AA119" s="10">
        <f t="shared" si="45"/>
        <v>5795.2124368346513</v>
      </c>
      <c r="AB119" s="10">
        <v>0</v>
      </c>
      <c r="AC119" s="10">
        <f t="shared" si="46"/>
        <v>5795.2124368346513</v>
      </c>
    </row>
    <row r="120" spans="1:29" x14ac:dyDescent="0.2">
      <c r="A120" s="17" t="s">
        <v>137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0</v>
      </c>
      <c r="I120" s="10">
        <v>0</v>
      </c>
      <c r="J120" s="10">
        <f t="shared" si="41"/>
        <v>0</v>
      </c>
      <c r="K120" s="10">
        <v>0</v>
      </c>
      <c r="L120" s="10">
        <v>0</v>
      </c>
      <c r="M120" s="10">
        <v>0</v>
      </c>
      <c r="N120" s="10">
        <v>0</v>
      </c>
      <c r="O120" s="10">
        <f t="shared" si="42"/>
        <v>0</v>
      </c>
      <c r="P120" s="10">
        <v>0</v>
      </c>
      <c r="Q120" s="10">
        <v>0</v>
      </c>
      <c r="R120" s="10">
        <v>0</v>
      </c>
      <c r="S120" s="10">
        <v>0</v>
      </c>
      <c r="T120" s="10">
        <f t="shared" si="43"/>
        <v>0</v>
      </c>
      <c r="U120" s="10">
        <v>17044.25648216519</v>
      </c>
      <c r="V120" s="10">
        <v>0</v>
      </c>
      <c r="W120" s="10">
        <v>0</v>
      </c>
      <c r="X120" s="10">
        <v>9976.2594300040364</v>
      </c>
      <c r="Y120" s="10">
        <v>0</v>
      </c>
      <c r="Z120" s="10">
        <f t="shared" si="44"/>
        <v>27020.515912169227</v>
      </c>
      <c r="AA120" s="10">
        <f t="shared" si="45"/>
        <v>27020.515912169227</v>
      </c>
      <c r="AB120" s="10">
        <v>0</v>
      </c>
      <c r="AC120" s="10">
        <f t="shared" si="46"/>
        <v>27020.515912169227</v>
      </c>
    </row>
    <row r="121" spans="1:29" x14ac:dyDescent="0.2">
      <c r="A121" s="17" t="s">
        <v>138</v>
      </c>
      <c r="B121" s="10">
        <v>0</v>
      </c>
      <c r="C121" s="10">
        <v>0</v>
      </c>
      <c r="D121" s="10">
        <v>0</v>
      </c>
      <c r="E121" s="10">
        <v>0</v>
      </c>
      <c r="F121" s="10">
        <v>0</v>
      </c>
      <c r="G121" s="10">
        <v>0</v>
      </c>
      <c r="H121" s="10">
        <v>0</v>
      </c>
      <c r="I121" s="10">
        <v>0</v>
      </c>
      <c r="J121" s="10">
        <f t="shared" si="41"/>
        <v>0</v>
      </c>
      <c r="K121" s="10">
        <v>0</v>
      </c>
      <c r="L121" s="10">
        <v>15589.575679843369</v>
      </c>
      <c r="M121" s="10">
        <v>0</v>
      </c>
      <c r="N121" s="10">
        <v>0</v>
      </c>
      <c r="O121" s="10">
        <f t="shared" si="42"/>
        <v>15589.575679843369</v>
      </c>
      <c r="P121" s="10">
        <v>0</v>
      </c>
      <c r="Q121" s="10">
        <v>0</v>
      </c>
      <c r="R121" s="10">
        <v>0</v>
      </c>
      <c r="S121" s="10">
        <v>0</v>
      </c>
      <c r="T121" s="10">
        <f t="shared" si="43"/>
        <v>0</v>
      </c>
      <c r="U121" s="10">
        <v>0</v>
      </c>
      <c r="V121" s="10">
        <v>0</v>
      </c>
      <c r="W121" s="10">
        <v>0</v>
      </c>
      <c r="X121" s="10">
        <v>0</v>
      </c>
      <c r="Y121" s="10">
        <v>0</v>
      </c>
      <c r="Z121" s="10">
        <f t="shared" si="44"/>
        <v>0</v>
      </c>
      <c r="AA121" s="10">
        <f t="shared" si="45"/>
        <v>0</v>
      </c>
      <c r="AB121" s="10">
        <v>0</v>
      </c>
      <c r="AC121" s="10">
        <f t="shared" si="46"/>
        <v>15589.575679843369</v>
      </c>
    </row>
    <row r="122" spans="1:29" ht="10.5" x14ac:dyDescent="0.25">
      <c r="A122" s="21" t="s">
        <v>139</v>
      </c>
      <c r="B122" s="13">
        <f t="shared" ref="B122:AC122" si="47">SUM(B109:B121)</f>
        <v>0</v>
      </c>
      <c r="C122" s="13">
        <f t="shared" si="47"/>
        <v>0</v>
      </c>
      <c r="D122" s="13">
        <f t="shared" si="47"/>
        <v>32054.562407221223</v>
      </c>
      <c r="E122" s="13">
        <f t="shared" si="47"/>
        <v>5002.3178657471635</v>
      </c>
      <c r="F122" s="13">
        <f t="shared" si="47"/>
        <v>0</v>
      </c>
      <c r="G122" s="13">
        <f t="shared" si="47"/>
        <v>0</v>
      </c>
      <c r="H122" s="13">
        <f t="shared" si="47"/>
        <v>25889.070478697824</v>
      </c>
      <c r="I122" s="13">
        <f t="shared" si="47"/>
        <v>74.29949918265774</v>
      </c>
      <c r="J122" s="13">
        <f t="shared" si="47"/>
        <v>63020.250250848869</v>
      </c>
      <c r="K122" s="13">
        <f t="shared" si="47"/>
        <v>800</v>
      </c>
      <c r="L122" s="13">
        <f t="shared" si="47"/>
        <v>15589.575679843369</v>
      </c>
      <c r="M122" s="13">
        <f t="shared" si="47"/>
        <v>2556.9664260107147</v>
      </c>
      <c r="N122" s="13">
        <f t="shared" si="47"/>
        <v>39027.829080381925</v>
      </c>
      <c r="O122" s="13">
        <f t="shared" si="47"/>
        <v>57974.371186236007</v>
      </c>
      <c r="P122" s="13">
        <f t="shared" si="47"/>
        <v>0</v>
      </c>
      <c r="Q122" s="13">
        <f t="shared" si="47"/>
        <v>0</v>
      </c>
      <c r="R122" s="13">
        <f t="shared" si="47"/>
        <v>57.776895869102127</v>
      </c>
      <c r="S122" s="13">
        <f t="shared" si="47"/>
        <v>6649.4499517501163</v>
      </c>
      <c r="T122" s="13">
        <f t="shared" si="47"/>
        <v>6707.2268476192185</v>
      </c>
      <c r="U122" s="13">
        <f t="shared" si="47"/>
        <v>65690.882134239248</v>
      </c>
      <c r="V122" s="13">
        <f t="shared" si="47"/>
        <v>0</v>
      </c>
      <c r="W122" s="13">
        <f t="shared" si="47"/>
        <v>45935.814645418264</v>
      </c>
      <c r="X122" s="13">
        <f t="shared" si="47"/>
        <v>9976.2594300040364</v>
      </c>
      <c r="Y122" s="13">
        <f t="shared" si="47"/>
        <v>1586.572423909749</v>
      </c>
      <c r="Z122" s="13">
        <f t="shared" si="47"/>
        <v>123189.5286335713</v>
      </c>
      <c r="AA122" s="13">
        <f t="shared" si="47"/>
        <v>129896.75548119053</v>
      </c>
      <c r="AB122" s="13">
        <f t="shared" si="47"/>
        <v>48873.495029048972</v>
      </c>
      <c r="AC122" s="13">
        <f t="shared" si="47"/>
        <v>299764.87194732431</v>
      </c>
    </row>
    <row r="123" spans="1:29" ht="10.5" x14ac:dyDescent="0.25">
      <c r="A123" s="16" t="s">
        <v>140</v>
      </c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</row>
    <row r="124" spans="1:29" x14ac:dyDescent="0.2">
      <c r="A124" s="17" t="s">
        <v>141</v>
      </c>
      <c r="B124" s="10">
        <v>0</v>
      </c>
      <c r="C124" s="10">
        <v>0</v>
      </c>
      <c r="D124" s="10">
        <v>45.765611948497707</v>
      </c>
      <c r="E124" s="10">
        <v>0</v>
      </c>
      <c r="F124" s="10">
        <v>0</v>
      </c>
      <c r="G124" s="10">
        <v>0</v>
      </c>
      <c r="H124" s="10">
        <v>301.30870852574219</v>
      </c>
      <c r="I124" s="10">
        <v>0</v>
      </c>
      <c r="J124" s="10">
        <f>SUM(C124:I124)</f>
        <v>347.07432047423993</v>
      </c>
      <c r="K124" s="10">
        <v>64.95</v>
      </c>
      <c r="L124" s="10">
        <v>0</v>
      </c>
      <c r="M124" s="10">
        <v>0</v>
      </c>
      <c r="N124" s="10">
        <v>8760.0635119706312</v>
      </c>
      <c r="O124" s="10">
        <f>SUM(K124:N124)</f>
        <v>8825.013511970632</v>
      </c>
      <c r="P124" s="10">
        <v>0</v>
      </c>
      <c r="Q124" s="10">
        <v>0</v>
      </c>
      <c r="R124" s="10">
        <v>0</v>
      </c>
      <c r="S124" s="10">
        <v>-0.84710249999999998</v>
      </c>
      <c r="T124" s="10">
        <f>SUM(Q124:S124)</f>
        <v>-0.84710249999999998</v>
      </c>
      <c r="U124" s="10">
        <v>382.24193260505785</v>
      </c>
      <c r="V124" s="10">
        <v>0</v>
      </c>
      <c r="W124" s="10">
        <v>2190.3742085440444</v>
      </c>
      <c r="X124" s="10">
        <v>0</v>
      </c>
      <c r="Y124" s="10">
        <v>0</v>
      </c>
      <c r="Z124" s="10">
        <f>SUM(U124:Y124)</f>
        <v>2572.6161411491021</v>
      </c>
      <c r="AA124" s="10">
        <f>SUM(P124,T124,Z124)</f>
        <v>2571.7690386491022</v>
      </c>
      <c r="AB124" s="10">
        <v>13374.433168991332</v>
      </c>
      <c r="AC124" s="10">
        <f>SUM(B124,J124,O124,AA124:AB124)</f>
        <v>25118.290040085303</v>
      </c>
    </row>
    <row r="125" spans="1:29" x14ac:dyDescent="0.2">
      <c r="A125" s="17" t="s">
        <v>142</v>
      </c>
      <c r="B125" s="10">
        <v>0</v>
      </c>
      <c r="C125" s="10">
        <v>0</v>
      </c>
      <c r="D125" s="10">
        <v>0</v>
      </c>
      <c r="E125" s="10">
        <v>0</v>
      </c>
      <c r="F125" s="10">
        <v>0</v>
      </c>
      <c r="G125" s="10">
        <v>0</v>
      </c>
      <c r="H125" s="10">
        <v>0</v>
      </c>
      <c r="I125" s="10">
        <v>0</v>
      </c>
      <c r="J125" s="10">
        <f>SUM(C125:I125)</f>
        <v>0</v>
      </c>
      <c r="K125" s="10">
        <v>0</v>
      </c>
      <c r="L125" s="10">
        <v>0</v>
      </c>
      <c r="M125" s="10">
        <v>0</v>
      </c>
      <c r="N125" s="10">
        <v>4528.5100486558831</v>
      </c>
      <c r="O125" s="10">
        <f>SUM(K125:N125)</f>
        <v>4528.5100486558831</v>
      </c>
      <c r="P125" s="10">
        <v>0</v>
      </c>
      <c r="Q125" s="10">
        <v>0</v>
      </c>
      <c r="R125" s="10">
        <v>0</v>
      </c>
      <c r="S125" s="10">
        <v>0</v>
      </c>
      <c r="T125" s="10">
        <f>SUM(Q125:S125)</f>
        <v>0</v>
      </c>
      <c r="U125" s="10">
        <v>0</v>
      </c>
      <c r="V125" s="10">
        <v>0</v>
      </c>
      <c r="W125" s="10">
        <v>1357.9769632162443</v>
      </c>
      <c r="X125" s="10">
        <v>0</v>
      </c>
      <c r="Y125" s="10">
        <v>0</v>
      </c>
      <c r="Z125" s="10">
        <f>SUM(U125:Y125)</f>
        <v>1357.9769632162443</v>
      </c>
      <c r="AA125" s="10">
        <f>SUM(P125,T125,Z125)</f>
        <v>1357.9769632162443</v>
      </c>
      <c r="AB125" s="10">
        <v>73742.559999999998</v>
      </c>
      <c r="AC125" s="10">
        <f>SUM(B125,J125,O125,AA125:AB125)</f>
        <v>79629.047011872128</v>
      </c>
    </row>
    <row r="126" spans="1:29" x14ac:dyDescent="0.2">
      <c r="A126" s="17" t="s">
        <v>143</v>
      </c>
      <c r="B126" s="10">
        <v>0</v>
      </c>
      <c r="C126" s="10">
        <v>0</v>
      </c>
      <c r="D126" s="10">
        <v>0</v>
      </c>
      <c r="E126" s="10">
        <v>0</v>
      </c>
      <c r="F126" s="10">
        <v>0</v>
      </c>
      <c r="G126" s="10">
        <v>0</v>
      </c>
      <c r="H126" s="10">
        <v>0</v>
      </c>
      <c r="I126" s="10">
        <v>0</v>
      </c>
      <c r="J126" s="10">
        <f>SUM(C126:I126)</f>
        <v>0</v>
      </c>
      <c r="K126" s="10">
        <v>0</v>
      </c>
      <c r="L126" s="10">
        <v>0</v>
      </c>
      <c r="M126" s="10">
        <v>0</v>
      </c>
      <c r="N126" s="10">
        <v>0</v>
      </c>
      <c r="O126" s="10">
        <f>SUM(K126:N126)</f>
        <v>0</v>
      </c>
      <c r="P126" s="10">
        <v>0</v>
      </c>
      <c r="Q126" s="10">
        <v>0</v>
      </c>
      <c r="R126" s="10">
        <v>0</v>
      </c>
      <c r="S126" s="10">
        <v>0</v>
      </c>
      <c r="T126" s="10">
        <f>SUM(Q126:S126)</f>
        <v>0</v>
      </c>
      <c r="U126" s="10">
        <v>0</v>
      </c>
      <c r="V126" s="10">
        <v>0</v>
      </c>
      <c r="W126" s="10">
        <v>72.049936530814605</v>
      </c>
      <c r="X126" s="10">
        <v>0</v>
      </c>
      <c r="Y126" s="10">
        <v>0</v>
      </c>
      <c r="Z126" s="10">
        <f>SUM(U126:Y126)</f>
        <v>72.049936530814605</v>
      </c>
      <c r="AA126" s="10">
        <f>SUM(P126,T126,Z126)</f>
        <v>72.049936530814605</v>
      </c>
      <c r="AB126" s="10">
        <v>18002.409913607506</v>
      </c>
      <c r="AC126" s="10">
        <f>SUM(B126,J126,O126,AA126:AB126)</f>
        <v>18074.459850138319</v>
      </c>
    </row>
    <row r="127" spans="1:29" x14ac:dyDescent="0.2">
      <c r="A127" s="17" t="s">
        <v>144</v>
      </c>
      <c r="B127" s="10">
        <v>0</v>
      </c>
      <c r="C127" s="10">
        <v>0</v>
      </c>
      <c r="D127" s="10">
        <v>0</v>
      </c>
      <c r="E127" s="10">
        <v>0</v>
      </c>
      <c r="F127" s="10">
        <v>0</v>
      </c>
      <c r="G127" s="10">
        <v>0</v>
      </c>
      <c r="H127" s="10">
        <v>0</v>
      </c>
      <c r="I127" s="10">
        <v>0</v>
      </c>
      <c r="J127" s="10">
        <f>SUM(C127:I127)</f>
        <v>0</v>
      </c>
      <c r="K127" s="10">
        <v>0</v>
      </c>
      <c r="L127" s="10">
        <v>0</v>
      </c>
      <c r="M127" s="10">
        <v>0</v>
      </c>
      <c r="N127" s="10">
        <v>0</v>
      </c>
      <c r="O127" s="10">
        <f>SUM(K127:N127)</f>
        <v>0</v>
      </c>
      <c r="P127" s="10">
        <v>0</v>
      </c>
      <c r="Q127" s="10">
        <v>0</v>
      </c>
      <c r="R127" s="10">
        <v>0</v>
      </c>
      <c r="S127" s="10">
        <v>0</v>
      </c>
      <c r="T127" s="10">
        <f>SUM(Q127:S127)</f>
        <v>0</v>
      </c>
      <c r="U127" s="10">
        <v>0</v>
      </c>
      <c r="V127" s="10">
        <v>0</v>
      </c>
      <c r="W127" s="10">
        <v>0</v>
      </c>
      <c r="X127" s="10">
        <v>0</v>
      </c>
      <c r="Y127" s="10">
        <v>0</v>
      </c>
      <c r="Z127" s="10">
        <f>SUM(U127:Y127)</f>
        <v>0</v>
      </c>
      <c r="AA127" s="10">
        <f>SUM(P127,T127,Z127)</f>
        <v>0</v>
      </c>
      <c r="AB127" s="10">
        <v>-16.89834403300376</v>
      </c>
      <c r="AC127" s="10">
        <f>SUM(B127,J127,O127,AA127:AB127)</f>
        <v>-16.89834403300376</v>
      </c>
    </row>
    <row r="128" spans="1:29" ht="10.5" x14ac:dyDescent="0.25">
      <c r="A128" s="21" t="s">
        <v>145</v>
      </c>
      <c r="B128" s="13">
        <f t="shared" ref="B128:AC128" si="48">SUM(B124:B127)</f>
        <v>0</v>
      </c>
      <c r="C128" s="13">
        <f t="shared" si="48"/>
        <v>0</v>
      </c>
      <c r="D128" s="13">
        <f t="shared" si="48"/>
        <v>45.765611948497707</v>
      </c>
      <c r="E128" s="13">
        <f t="shared" si="48"/>
        <v>0</v>
      </c>
      <c r="F128" s="13">
        <f t="shared" si="48"/>
        <v>0</v>
      </c>
      <c r="G128" s="13">
        <f t="shared" si="48"/>
        <v>0</v>
      </c>
      <c r="H128" s="13">
        <f t="shared" si="48"/>
        <v>301.30870852574219</v>
      </c>
      <c r="I128" s="13">
        <f t="shared" si="48"/>
        <v>0</v>
      </c>
      <c r="J128" s="13">
        <f t="shared" si="48"/>
        <v>347.07432047423993</v>
      </c>
      <c r="K128" s="13">
        <f t="shared" si="48"/>
        <v>64.95</v>
      </c>
      <c r="L128" s="13">
        <f t="shared" si="48"/>
        <v>0</v>
      </c>
      <c r="M128" s="13">
        <f t="shared" si="48"/>
        <v>0</v>
      </c>
      <c r="N128" s="13">
        <f t="shared" si="48"/>
        <v>13288.573560626515</v>
      </c>
      <c r="O128" s="13">
        <f t="shared" si="48"/>
        <v>13353.523560626516</v>
      </c>
      <c r="P128" s="13">
        <f t="shared" si="48"/>
        <v>0</v>
      </c>
      <c r="Q128" s="13">
        <f t="shared" si="48"/>
        <v>0</v>
      </c>
      <c r="R128" s="13">
        <f t="shared" si="48"/>
        <v>0</v>
      </c>
      <c r="S128" s="13">
        <f t="shared" si="48"/>
        <v>-0.84710249999999998</v>
      </c>
      <c r="T128" s="13">
        <f t="shared" si="48"/>
        <v>-0.84710249999999998</v>
      </c>
      <c r="U128" s="13">
        <f t="shared" si="48"/>
        <v>382.24193260505785</v>
      </c>
      <c r="V128" s="13">
        <f t="shared" si="48"/>
        <v>0</v>
      </c>
      <c r="W128" s="13">
        <f t="shared" si="48"/>
        <v>3620.4011082911034</v>
      </c>
      <c r="X128" s="13">
        <f t="shared" si="48"/>
        <v>0</v>
      </c>
      <c r="Y128" s="13">
        <f t="shared" si="48"/>
        <v>0</v>
      </c>
      <c r="Z128" s="13">
        <f t="shared" si="48"/>
        <v>4002.643040896161</v>
      </c>
      <c r="AA128" s="13">
        <f t="shared" si="48"/>
        <v>4001.7959383961611</v>
      </c>
      <c r="AB128" s="13">
        <f t="shared" si="48"/>
        <v>105102.50473856584</v>
      </c>
      <c r="AC128" s="13">
        <f t="shared" si="48"/>
        <v>122804.89855806275</v>
      </c>
    </row>
    <row r="129" spans="1:29" ht="10.5" x14ac:dyDescent="0.25">
      <c r="A129" s="12" t="s">
        <v>146</v>
      </c>
      <c r="B129" s="13">
        <f t="shared" ref="B129:AC129" si="49">SUM(B39,B45,B52,B57,B61,B72,B80,B88,B101,B104,B107,B122,B128)</f>
        <v>1233193.1574759828</v>
      </c>
      <c r="C129" s="13">
        <f t="shared" si="49"/>
        <v>14292.6717099341</v>
      </c>
      <c r="D129" s="13">
        <f t="shared" si="49"/>
        <v>73325.66805400225</v>
      </c>
      <c r="E129" s="13">
        <f t="shared" si="49"/>
        <v>161346.37620407357</v>
      </c>
      <c r="F129" s="13">
        <f t="shared" si="49"/>
        <v>6184.4293065656284</v>
      </c>
      <c r="G129" s="13">
        <f t="shared" si="49"/>
        <v>0</v>
      </c>
      <c r="H129" s="13">
        <f t="shared" si="49"/>
        <v>168258.63845053737</v>
      </c>
      <c r="I129" s="13">
        <f t="shared" si="49"/>
        <v>1474.2618294259762</v>
      </c>
      <c r="J129" s="13">
        <f t="shared" si="49"/>
        <v>424882.0455545389</v>
      </c>
      <c r="K129" s="13">
        <f t="shared" si="49"/>
        <v>4052.5728666472396</v>
      </c>
      <c r="L129" s="13">
        <f t="shared" si="49"/>
        <v>16472.161227245153</v>
      </c>
      <c r="M129" s="13">
        <f t="shared" si="49"/>
        <v>4024.9193095089595</v>
      </c>
      <c r="N129" s="13">
        <f t="shared" si="49"/>
        <v>450016.69421604491</v>
      </c>
      <c r="O129" s="13">
        <f t="shared" si="49"/>
        <v>474566.34761944629</v>
      </c>
      <c r="P129" s="13">
        <f t="shared" si="49"/>
        <v>0</v>
      </c>
      <c r="Q129" s="13">
        <f t="shared" si="49"/>
        <v>900.09967950268197</v>
      </c>
      <c r="R129" s="13">
        <f t="shared" si="49"/>
        <v>28170.463341672137</v>
      </c>
      <c r="S129" s="13">
        <f t="shared" si="49"/>
        <v>8005.3804657474402</v>
      </c>
      <c r="T129" s="13">
        <f t="shared" si="49"/>
        <v>37075.94348692226</v>
      </c>
      <c r="U129" s="13">
        <f t="shared" si="49"/>
        <v>124732.81703331061</v>
      </c>
      <c r="V129" s="13">
        <f t="shared" si="49"/>
        <v>0</v>
      </c>
      <c r="W129" s="13">
        <f t="shared" si="49"/>
        <v>545166.19982654392</v>
      </c>
      <c r="X129" s="13">
        <f t="shared" si="49"/>
        <v>9976.2594300040364</v>
      </c>
      <c r="Y129" s="13">
        <f t="shared" si="49"/>
        <v>12665.620387622937</v>
      </c>
      <c r="Z129" s="13">
        <f t="shared" si="49"/>
        <v>692540.89667748159</v>
      </c>
      <c r="AA129" s="13">
        <f t="shared" si="49"/>
        <v>729616.84016440366</v>
      </c>
      <c r="AB129" s="13">
        <f t="shared" si="49"/>
        <v>281184.6497202444</v>
      </c>
      <c r="AC129" s="13">
        <f t="shared" si="49"/>
        <v>3143443.0405346164</v>
      </c>
    </row>
    <row r="130" spans="1:29" ht="10.5" x14ac:dyDescent="0.25">
      <c r="A130" s="8" t="s">
        <v>147</v>
      </c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</row>
    <row r="131" spans="1:29" x14ac:dyDescent="0.2">
      <c r="A131" s="9" t="s">
        <v>148</v>
      </c>
      <c r="B131" s="10">
        <v>0</v>
      </c>
      <c r="C131" s="10">
        <v>0</v>
      </c>
      <c r="D131" s="10">
        <v>4704.5585725461442</v>
      </c>
      <c r="E131" s="10">
        <v>0</v>
      </c>
      <c r="F131" s="10">
        <v>0</v>
      </c>
      <c r="G131" s="10">
        <v>0</v>
      </c>
      <c r="H131" s="10">
        <v>2280.9098587081689</v>
      </c>
      <c r="I131" s="10">
        <v>0</v>
      </c>
      <c r="J131" s="10">
        <f t="shared" ref="J131:J148" si="50">SUM(C131:I131)</f>
        <v>6985.4684312543131</v>
      </c>
      <c r="K131" s="10">
        <v>0</v>
      </c>
      <c r="L131" s="10">
        <v>0</v>
      </c>
      <c r="M131" s="10">
        <v>0</v>
      </c>
      <c r="N131" s="10">
        <v>0</v>
      </c>
      <c r="O131" s="10">
        <f t="shared" ref="O131:O148" si="51">SUM(K131:N131)</f>
        <v>0</v>
      </c>
      <c r="P131" s="10">
        <v>0</v>
      </c>
      <c r="Q131" s="10">
        <v>0</v>
      </c>
      <c r="R131" s="10">
        <v>0</v>
      </c>
      <c r="S131" s="10">
        <v>0</v>
      </c>
      <c r="T131" s="10">
        <f t="shared" ref="T131:T148" si="52">SUM(Q131:S131)</f>
        <v>0</v>
      </c>
      <c r="U131" s="10">
        <v>53.085090000000001</v>
      </c>
      <c r="V131" s="10">
        <v>0</v>
      </c>
      <c r="W131" s="10">
        <v>32916.317808553846</v>
      </c>
      <c r="X131" s="10">
        <v>0</v>
      </c>
      <c r="Y131" s="10">
        <v>0</v>
      </c>
      <c r="Z131" s="10">
        <f t="shared" ref="Z131:Z148" si="53">SUM(U131:Y131)</f>
        <v>32969.402898553846</v>
      </c>
      <c r="AA131" s="10">
        <f t="shared" ref="AA131:AA148" si="54">SUM(P131,T131,Z131)</f>
        <v>32969.402898553846</v>
      </c>
      <c r="AB131" s="10">
        <v>2556.2002614444159</v>
      </c>
      <c r="AC131" s="10">
        <f t="shared" ref="AC131:AC148" si="55">SUM(B131,J131,O131,AA131:AB131)</f>
        <v>42511.07159125257</v>
      </c>
    </row>
    <row r="132" spans="1:29" x14ac:dyDescent="0.2">
      <c r="A132" s="9" t="s">
        <v>149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0</v>
      </c>
      <c r="J132" s="10">
        <f t="shared" si="50"/>
        <v>0</v>
      </c>
      <c r="K132" s="10">
        <v>0</v>
      </c>
      <c r="L132" s="10">
        <v>0</v>
      </c>
      <c r="M132" s="10">
        <v>0</v>
      </c>
      <c r="N132" s="10">
        <v>0</v>
      </c>
      <c r="O132" s="10">
        <f t="shared" si="51"/>
        <v>0</v>
      </c>
      <c r="P132" s="10">
        <v>0</v>
      </c>
      <c r="Q132" s="10">
        <v>0</v>
      </c>
      <c r="R132" s="10">
        <v>0</v>
      </c>
      <c r="S132" s="10">
        <v>0</v>
      </c>
      <c r="T132" s="10">
        <f t="shared" si="52"/>
        <v>0</v>
      </c>
      <c r="U132" s="10">
        <v>1667.2772010702529</v>
      </c>
      <c r="V132" s="10">
        <v>0</v>
      </c>
      <c r="W132" s="10">
        <v>7960.371725065299</v>
      </c>
      <c r="X132" s="10">
        <v>0</v>
      </c>
      <c r="Y132" s="10">
        <v>12367.242762704718</v>
      </c>
      <c r="Z132" s="10">
        <f t="shared" si="53"/>
        <v>21994.891688840271</v>
      </c>
      <c r="AA132" s="10">
        <f t="shared" si="54"/>
        <v>21994.891688840271</v>
      </c>
      <c r="AB132" s="10">
        <v>0</v>
      </c>
      <c r="AC132" s="10">
        <f t="shared" si="55"/>
        <v>21994.891688840271</v>
      </c>
    </row>
    <row r="133" spans="1:29" x14ac:dyDescent="0.2">
      <c r="A133" s="9" t="s">
        <v>291</v>
      </c>
      <c r="B133" s="10">
        <v>0</v>
      </c>
      <c r="C133" s="10">
        <v>0</v>
      </c>
      <c r="D133" s="10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10">
        <f t="shared" si="50"/>
        <v>0</v>
      </c>
      <c r="K133" s="10">
        <v>0</v>
      </c>
      <c r="L133" s="10">
        <v>0</v>
      </c>
      <c r="M133" s="10">
        <v>0</v>
      </c>
      <c r="N133" s="10">
        <v>2401.4902510745428</v>
      </c>
      <c r="O133" s="10">
        <f t="shared" si="51"/>
        <v>2401.4902510745428</v>
      </c>
      <c r="P133" s="10">
        <v>0</v>
      </c>
      <c r="Q133" s="10">
        <v>0</v>
      </c>
      <c r="R133" s="10">
        <v>0</v>
      </c>
      <c r="S133" s="10">
        <v>0</v>
      </c>
      <c r="T133" s="10">
        <f t="shared" si="52"/>
        <v>0</v>
      </c>
      <c r="U133" s="10">
        <v>0</v>
      </c>
      <c r="V133" s="10">
        <v>0</v>
      </c>
      <c r="W133" s="10">
        <v>0</v>
      </c>
      <c r="X133" s="10">
        <v>0</v>
      </c>
      <c r="Y133" s="10">
        <v>0</v>
      </c>
      <c r="Z133" s="10">
        <f t="shared" si="53"/>
        <v>0</v>
      </c>
      <c r="AA133" s="10">
        <f t="shared" si="54"/>
        <v>0</v>
      </c>
      <c r="AB133" s="10">
        <v>-392.87857271478907</v>
      </c>
      <c r="AC133" s="10">
        <f t="shared" si="55"/>
        <v>2008.6116783597538</v>
      </c>
    </row>
    <row r="134" spans="1:29" x14ac:dyDescent="0.2">
      <c r="A134" s="9" t="s">
        <v>150</v>
      </c>
      <c r="B134" s="10">
        <v>0</v>
      </c>
      <c r="C134" s="10">
        <v>0</v>
      </c>
      <c r="D134" s="10">
        <v>0</v>
      </c>
      <c r="E134" s="10">
        <v>0</v>
      </c>
      <c r="F134" s="10">
        <v>0</v>
      </c>
      <c r="G134" s="10">
        <v>0</v>
      </c>
      <c r="H134" s="10">
        <v>7440.7699193604476</v>
      </c>
      <c r="I134" s="10">
        <v>0</v>
      </c>
      <c r="J134" s="10">
        <f t="shared" si="50"/>
        <v>7440.7699193604476</v>
      </c>
      <c r="K134" s="10">
        <v>0</v>
      </c>
      <c r="L134" s="10">
        <v>0</v>
      </c>
      <c r="M134" s="10">
        <v>0</v>
      </c>
      <c r="N134" s="10">
        <v>455.73143498523501</v>
      </c>
      <c r="O134" s="10">
        <f t="shared" si="51"/>
        <v>455.73143498523501</v>
      </c>
      <c r="P134" s="10">
        <v>0</v>
      </c>
      <c r="Q134" s="10">
        <v>0</v>
      </c>
      <c r="R134" s="10">
        <v>0</v>
      </c>
      <c r="S134" s="10">
        <v>0</v>
      </c>
      <c r="T134" s="10">
        <f t="shared" si="52"/>
        <v>0</v>
      </c>
      <c r="U134" s="10">
        <v>280.94436780000001</v>
      </c>
      <c r="V134" s="10">
        <v>0</v>
      </c>
      <c r="W134" s="10">
        <v>100.07104200000001</v>
      </c>
      <c r="X134" s="10">
        <v>593.06210759999999</v>
      </c>
      <c r="Y134" s="10">
        <v>595.37597692616919</v>
      </c>
      <c r="Z134" s="10">
        <f t="shared" si="53"/>
        <v>1569.4534943261692</v>
      </c>
      <c r="AA134" s="10">
        <f t="shared" si="54"/>
        <v>1569.4534943261692</v>
      </c>
      <c r="AB134" s="10">
        <v>377.03026382423081</v>
      </c>
      <c r="AC134" s="10">
        <f t="shared" si="55"/>
        <v>9842.9851124960824</v>
      </c>
    </row>
    <row r="135" spans="1:29" x14ac:dyDescent="0.2">
      <c r="A135" s="9" t="s">
        <v>292</v>
      </c>
      <c r="B135" s="10">
        <v>0</v>
      </c>
      <c r="C135" s="10">
        <v>0</v>
      </c>
      <c r="D135" s="10">
        <v>0</v>
      </c>
      <c r="E135" s="10">
        <v>0</v>
      </c>
      <c r="F135" s="10">
        <v>0</v>
      </c>
      <c r="G135" s="10">
        <v>0</v>
      </c>
      <c r="H135" s="10">
        <v>0</v>
      </c>
      <c r="I135" s="10">
        <v>0</v>
      </c>
      <c r="J135" s="10">
        <f t="shared" si="50"/>
        <v>0</v>
      </c>
      <c r="K135" s="10">
        <v>0</v>
      </c>
      <c r="L135" s="10">
        <v>0</v>
      </c>
      <c r="M135" s="10">
        <v>0</v>
      </c>
      <c r="N135" s="10">
        <v>2490.6879225950024</v>
      </c>
      <c r="O135" s="10">
        <f t="shared" si="51"/>
        <v>2490.6879225950024</v>
      </c>
      <c r="P135" s="10">
        <v>0</v>
      </c>
      <c r="Q135" s="10">
        <v>0</v>
      </c>
      <c r="R135" s="10">
        <v>0</v>
      </c>
      <c r="S135" s="10">
        <v>0</v>
      </c>
      <c r="T135" s="10">
        <f t="shared" si="52"/>
        <v>0</v>
      </c>
      <c r="U135" s="10">
        <v>0</v>
      </c>
      <c r="V135" s="10">
        <v>0</v>
      </c>
      <c r="W135" s="10">
        <v>5297.2692986352304</v>
      </c>
      <c r="X135" s="10">
        <v>0</v>
      </c>
      <c r="Y135" s="10">
        <v>0</v>
      </c>
      <c r="Z135" s="10">
        <f t="shared" si="53"/>
        <v>5297.2692986352304</v>
      </c>
      <c r="AA135" s="10">
        <f t="shared" si="54"/>
        <v>5297.2692986352304</v>
      </c>
      <c r="AB135" s="10">
        <v>0</v>
      </c>
      <c r="AC135" s="10">
        <f t="shared" si="55"/>
        <v>7787.9572212302328</v>
      </c>
    </row>
    <row r="136" spans="1:29" x14ac:dyDescent="0.2">
      <c r="A136" s="9" t="s">
        <v>151</v>
      </c>
      <c r="B136" s="10">
        <v>0</v>
      </c>
      <c r="C136" s="10">
        <v>0</v>
      </c>
      <c r="D136" s="10">
        <v>8554.3266092659687</v>
      </c>
      <c r="E136" s="10">
        <v>0</v>
      </c>
      <c r="F136" s="10">
        <v>0</v>
      </c>
      <c r="G136" s="10">
        <v>0</v>
      </c>
      <c r="H136" s="10">
        <v>19163.048516168677</v>
      </c>
      <c r="I136" s="10">
        <v>0</v>
      </c>
      <c r="J136" s="10">
        <f t="shared" si="50"/>
        <v>27717.375125434646</v>
      </c>
      <c r="K136" s="10">
        <v>0</v>
      </c>
      <c r="L136" s="10">
        <v>0</v>
      </c>
      <c r="M136" s="10">
        <v>0</v>
      </c>
      <c r="N136" s="10">
        <v>0</v>
      </c>
      <c r="O136" s="10">
        <f t="shared" si="51"/>
        <v>0</v>
      </c>
      <c r="P136" s="10">
        <v>0</v>
      </c>
      <c r="Q136" s="10">
        <v>0</v>
      </c>
      <c r="R136" s="10">
        <v>0</v>
      </c>
      <c r="S136" s="10">
        <v>0</v>
      </c>
      <c r="T136" s="10">
        <f t="shared" si="52"/>
        <v>0</v>
      </c>
      <c r="U136" s="10">
        <v>0</v>
      </c>
      <c r="V136" s="10">
        <v>0</v>
      </c>
      <c r="W136" s="10">
        <v>5460.0976244086896</v>
      </c>
      <c r="X136" s="10">
        <v>0</v>
      </c>
      <c r="Y136" s="10">
        <v>0</v>
      </c>
      <c r="Z136" s="10">
        <f t="shared" si="53"/>
        <v>5460.0976244086896</v>
      </c>
      <c r="AA136" s="10">
        <f t="shared" si="54"/>
        <v>5460.0976244086896</v>
      </c>
      <c r="AB136" s="10">
        <v>4264.101170769808</v>
      </c>
      <c r="AC136" s="10">
        <f t="shared" si="55"/>
        <v>37441.57392061314</v>
      </c>
    </row>
    <row r="137" spans="1:29" x14ac:dyDescent="0.2">
      <c r="A137" s="9" t="s">
        <v>152</v>
      </c>
      <c r="B137" s="10">
        <v>0</v>
      </c>
      <c r="C137" s="10">
        <v>0</v>
      </c>
      <c r="D137" s="10">
        <v>0</v>
      </c>
      <c r="E137" s="10">
        <v>0</v>
      </c>
      <c r="F137" s="10">
        <v>0</v>
      </c>
      <c r="G137" s="10">
        <v>0</v>
      </c>
      <c r="H137" s="10">
        <v>0</v>
      </c>
      <c r="I137" s="10">
        <v>0</v>
      </c>
      <c r="J137" s="10">
        <f t="shared" si="50"/>
        <v>0</v>
      </c>
      <c r="K137" s="10">
        <v>0</v>
      </c>
      <c r="L137" s="10">
        <v>0</v>
      </c>
      <c r="M137" s="10">
        <v>0</v>
      </c>
      <c r="N137" s="10">
        <v>13663.915720341707</v>
      </c>
      <c r="O137" s="10">
        <f t="shared" si="51"/>
        <v>13663.915720341707</v>
      </c>
      <c r="P137" s="10">
        <v>0</v>
      </c>
      <c r="Q137" s="10">
        <v>0</v>
      </c>
      <c r="R137" s="10">
        <v>0</v>
      </c>
      <c r="S137" s="10">
        <v>0</v>
      </c>
      <c r="T137" s="10">
        <f t="shared" si="52"/>
        <v>0</v>
      </c>
      <c r="U137" s="10">
        <v>0</v>
      </c>
      <c r="V137" s="10">
        <v>0</v>
      </c>
      <c r="W137" s="10">
        <v>2.6420175161044024</v>
      </c>
      <c r="X137" s="10">
        <v>0</v>
      </c>
      <c r="Y137" s="10">
        <v>0</v>
      </c>
      <c r="Z137" s="10">
        <f t="shared" si="53"/>
        <v>2.6420175161044024</v>
      </c>
      <c r="AA137" s="10">
        <f t="shared" si="54"/>
        <v>2.6420175161044024</v>
      </c>
      <c r="AB137" s="10">
        <v>0</v>
      </c>
      <c r="AC137" s="10">
        <f t="shared" si="55"/>
        <v>13666.557737857811</v>
      </c>
    </row>
    <row r="138" spans="1:29" x14ac:dyDescent="0.2">
      <c r="A138" s="9" t="s">
        <v>153</v>
      </c>
      <c r="B138" s="10">
        <v>0</v>
      </c>
      <c r="C138" s="10">
        <v>0</v>
      </c>
      <c r="D138" s="10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0</v>
      </c>
      <c r="J138" s="10">
        <f t="shared" si="50"/>
        <v>0</v>
      </c>
      <c r="K138" s="10">
        <v>0</v>
      </c>
      <c r="L138" s="10">
        <v>0</v>
      </c>
      <c r="M138" s="10">
        <v>0</v>
      </c>
      <c r="N138" s="10">
        <v>52905.601954244747</v>
      </c>
      <c r="O138" s="10">
        <f t="shared" si="51"/>
        <v>52905.601954244747</v>
      </c>
      <c r="P138" s="10">
        <v>0</v>
      </c>
      <c r="Q138" s="10">
        <v>0</v>
      </c>
      <c r="R138" s="10">
        <v>0</v>
      </c>
      <c r="S138" s="10">
        <v>0</v>
      </c>
      <c r="T138" s="10">
        <f t="shared" si="52"/>
        <v>0</v>
      </c>
      <c r="U138" s="10">
        <v>0</v>
      </c>
      <c r="V138" s="10">
        <v>0</v>
      </c>
      <c r="W138" s="10">
        <v>0</v>
      </c>
      <c r="X138" s="10">
        <v>0</v>
      </c>
      <c r="Y138" s="10">
        <v>0</v>
      </c>
      <c r="Z138" s="10">
        <f t="shared" si="53"/>
        <v>0</v>
      </c>
      <c r="AA138" s="10">
        <f t="shared" si="54"/>
        <v>0</v>
      </c>
      <c r="AB138" s="10">
        <v>9913.2551009288964</v>
      </c>
      <c r="AC138" s="10">
        <f t="shared" si="55"/>
        <v>62818.857055173641</v>
      </c>
    </row>
    <row r="139" spans="1:29" x14ac:dyDescent="0.2">
      <c r="A139" s="9" t="s">
        <v>154</v>
      </c>
      <c r="B139" s="10">
        <v>0</v>
      </c>
      <c r="C139" s="10">
        <v>0</v>
      </c>
      <c r="D139" s="10">
        <v>0</v>
      </c>
      <c r="E139" s="10">
        <v>0</v>
      </c>
      <c r="F139" s="10">
        <v>0</v>
      </c>
      <c r="G139" s="10">
        <v>0</v>
      </c>
      <c r="H139" s="10">
        <v>0</v>
      </c>
      <c r="I139" s="10">
        <v>0</v>
      </c>
      <c r="J139" s="10">
        <f t="shared" si="50"/>
        <v>0</v>
      </c>
      <c r="K139" s="10">
        <v>0</v>
      </c>
      <c r="L139" s="10">
        <v>0</v>
      </c>
      <c r="M139" s="10">
        <v>0</v>
      </c>
      <c r="N139" s="10">
        <v>1750.7866583174759</v>
      </c>
      <c r="O139" s="10">
        <f t="shared" si="51"/>
        <v>1750.7866583174759</v>
      </c>
      <c r="P139" s="10">
        <v>0</v>
      </c>
      <c r="Q139" s="10">
        <v>0</v>
      </c>
      <c r="R139" s="10">
        <v>0</v>
      </c>
      <c r="S139" s="10">
        <v>0</v>
      </c>
      <c r="T139" s="10">
        <f t="shared" si="52"/>
        <v>0</v>
      </c>
      <c r="U139" s="10">
        <v>0</v>
      </c>
      <c r="V139" s="10">
        <v>0</v>
      </c>
      <c r="W139" s="10">
        <v>0</v>
      </c>
      <c r="X139" s="10">
        <v>0</v>
      </c>
      <c r="Y139" s="10">
        <v>0</v>
      </c>
      <c r="Z139" s="10">
        <f t="shared" si="53"/>
        <v>0</v>
      </c>
      <c r="AA139" s="10">
        <f t="shared" si="54"/>
        <v>0</v>
      </c>
      <c r="AB139" s="10">
        <v>0</v>
      </c>
      <c r="AC139" s="10">
        <f t="shared" si="55"/>
        <v>1750.7866583174759</v>
      </c>
    </row>
    <row r="140" spans="1:29" x14ac:dyDescent="0.2">
      <c r="A140" s="9" t="s">
        <v>155</v>
      </c>
      <c r="B140" s="10">
        <v>0</v>
      </c>
      <c r="C140" s="10">
        <v>0</v>
      </c>
      <c r="D140" s="10">
        <v>0</v>
      </c>
      <c r="E140" s="10">
        <v>0</v>
      </c>
      <c r="F140" s="10">
        <v>0</v>
      </c>
      <c r="G140" s="10">
        <v>0</v>
      </c>
      <c r="H140" s="10">
        <v>2303.9494463548417</v>
      </c>
      <c r="I140" s="10">
        <v>0</v>
      </c>
      <c r="J140" s="10">
        <f t="shared" si="50"/>
        <v>2303.9494463548417</v>
      </c>
      <c r="K140" s="10">
        <v>4220.3861624562796</v>
      </c>
      <c r="L140" s="10">
        <v>0</v>
      </c>
      <c r="M140" s="10">
        <v>0</v>
      </c>
      <c r="N140" s="10">
        <v>47638.90469363489</v>
      </c>
      <c r="O140" s="10">
        <f t="shared" si="51"/>
        <v>51859.290856091167</v>
      </c>
      <c r="P140" s="10">
        <v>0</v>
      </c>
      <c r="Q140" s="10">
        <v>0</v>
      </c>
      <c r="R140" s="10">
        <v>0</v>
      </c>
      <c r="S140" s="10">
        <v>0</v>
      </c>
      <c r="T140" s="10">
        <f t="shared" si="52"/>
        <v>0</v>
      </c>
      <c r="U140" s="10">
        <v>0</v>
      </c>
      <c r="V140" s="10">
        <v>0</v>
      </c>
      <c r="W140" s="10">
        <v>5132.4568084761086</v>
      </c>
      <c r="X140" s="10">
        <v>0</v>
      </c>
      <c r="Y140" s="10">
        <v>0</v>
      </c>
      <c r="Z140" s="10">
        <f t="shared" si="53"/>
        <v>5132.4568084761086</v>
      </c>
      <c r="AA140" s="10">
        <f t="shared" si="54"/>
        <v>5132.4568084761086</v>
      </c>
      <c r="AB140" s="10">
        <v>31069.585240815017</v>
      </c>
      <c r="AC140" s="10">
        <f t="shared" si="55"/>
        <v>90365.282351737143</v>
      </c>
    </row>
    <row r="141" spans="1:29" x14ac:dyDescent="0.2">
      <c r="A141" s="9" t="s">
        <v>156</v>
      </c>
      <c r="B141" s="10">
        <v>0</v>
      </c>
      <c r="C141" s="10">
        <v>0</v>
      </c>
      <c r="D141" s="10">
        <v>0</v>
      </c>
      <c r="E141" s="10">
        <v>0</v>
      </c>
      <c r="F141" s="10">
        <v>0</v>
      </c>
      <c r="G141" s="10">
        <v>0</v>
      </c>
      <c r="H141" s="10">
        <v>0</v>
      </c>
      <c r="I141" s="10">
        <v>0</v>
      </c>
      <c r="J141" s="10">
        <f t="shared" si="50"/>
        <v>0</v>
      </c>
      <c r="K141" s="10">
        <v>0</v>
      </c>
      <c r="L141" s="10">
        <v>0</v>
      </c>
      <c r="M141" s="10">
        <v>0</v>
      </c>
      <c r="N141" s="10">
        <v>4496.9719669514689</v>
      </c>
      <c r="O141" s="10">
        <f t="shared" si="51"/>
        <v>4496.9719669514689</v>
      </c>
      <c r="P141" s="10">
        <v>0</v>
      </c>
      <c r="Q141" s="10">
        <v>0</v>
      </c>
      <c r="R141" s="10">
        <v>0</v>
      </c>
      <c r="S141" s="10">
        <v>0</v>
      </c>
      <c r="T141" s="10">
        <f t="shared" si="52"/>
        <v>0</v>
      </c>
      <c r="U141" s="10">
        <v>0</v>
      </c>
      <c r="V141" s="10">
        <v>0</v>
      </c>
      <c r="W141" s="10">
        <v>0</v>
      </c>
      <c r="X141" s="10">
        <v>0</v>
      </c>
      <c r="Y141" s="10">
        <v>0</v>
      </c>
      <c r="Z141" s="10">
        <f t="shared" si="53"/>
        <v>0</v>
      </c>
      <c r="AA141" s="10">
        <f t="shared" si="54"/>
        <v>0</v>
      </c>
      <c r="AB141" s="10">
        <v>0</v>
      </c>
      <c r="AC141" s="10">
        <f t="shared" si="55"/>
        <v>4496.9719669514689</v>
      </c>
    </row>
    <row r="142" spans="1:29" x14ac:dyDescent="0.2">
      <c r="A142" s="9" t="s">
        <v>157</v>
      </c>
      <c r="B142" s="10">
        <v>0</v>
      </c>
      <c r="C142" s="10">
        <v>0</v>
      </c>
      <c r="D142" s="10">
        <v>0</v>
      </c>
      <c r="E142" s="10">
        <v>0</v>
      </c>
      <c r="F142" s="10">
        <v>0</v>
      </c>
      <c r="G142" s="10">
        <v>0</v>
      </c>
      <c r="H142" s="10">
        <v>1790.1187828048801</v>
      </c>
      <c r="I142" s="10">
        <v>0</v>
      </c>
      <c r="J142" s="10">
        <f t="shared" si="50"/>
        <v>1790.1187828048801</v>
      </c>
      <c r="K142" s="10">
        <v>0</v>
      </c>
      <c r="L142" s="10">
        <v>0</v>
      </c>
      <c r="M142" s="10">
        <v>0</v>
      </c>
      <c r="N142" s="10">
        <v>0</v>
      </c>
      <c r="O142" s="10">
        <f t="shared" si="51"/>
        <v>0</v>
      </c>
      <c r="P142" s="10">
        <v>0</v>
      </c>
      <c r="Q142" s="10">
        <v>0</v>
      </c>
      <c r="R142" s="10">
        <v>0</v>
      </c>
      <c r="S142" s="10">
        <v>0</v>
      </c>
      <c r="T142" s="10">
        <f t="shared" si="52"/>
        <v>0</v>
      </c>
      <c r="U142" s="10">
        <v>0</v>
      </c>
      <c r="V142" s="10">
        <v>0</v>
      </c>
      <c r="W142" s="10">
        <v>0</v>
      </c>
      <c r="X142" s="10">
        <v>0</v>
      </c>
      <c r="Y142" s="10">
        <v>2351.2183713111758</v>
      </c>
      <c r="Z142" s="10">
        <f t="shared" si="53"/>
        <v>2351.2183713111758</v>
      </c>
      <c r="AA142" s="10">
        <f t="shared" si="54"/>
        <v>2351.2183713111758</v>
      </c>
      <c r="AB142" s="10">
        <v>104017.4404577086</v>
      </c>
      <c r="AC142" s="10">
        <f t="shared" si="55"/>
        <v>108158.77761182465</v>
      </c>
    </row>
    <row r="143" spans="1:29" x14ac:dyDescent="0.2">
      <c r="A143" s="9" t="s">
        <v>158</v>
      </c>
      <c r="B143" s="10">
        <v>0</v>
      </c>
      <c r="C143" s="10">
        <v>0</v>
      </c>
      <c r="D143" s="10">
        <v>730.85535602278901</v>
      </c>
      <c r="E143" s="10">
        <v>0</v>
      </c>
      <c r="F143" s="10">
        <v>0</v>
      </c>
      <c r="G143" s="10">
        <v>0</v>
      </c>
      <c r="H143" s="10">
        <v>0</v>
      </c>
      <c r="I143" s="10">
        <v>0</v>
      </c>
      <c r="J143" s="10">
        <f t="shared" si="50"/>
        <v>730.85535602278901</v>
      </c>
      <c r="K143" s="10">
        <v>0</v>
      </c>
      <c r="L143" s="10">
        <v>0</v>
      </c>
      <c r="M143" s="10">
        <v>0</v>
      </c>
      <c r="N143" s="10">
        <v>6562.0253496547521</v>
      </c>
      <c r="O143" s="10">
        <f t="shared" si="51"/>
        <v>6562.0253496547521</v>
      </c>
      <c r="P143" s="10">
        <v>0</v>
      </c>
      <c r="Q143" s="10">
        <v>0</v>
      </c>
      <c r="R143" s="10">
        <v>0</v>
      </c>
      <c r="S143" s="10">
        <v>0</v>
      </c>
      <c r="T143" s="10">
        <f t="shared" si="52"/>
        <v>0</v>
      </c>
      <c r="U143" s="10">
        <v>0</v>
      </c>
      <c r="V143" s="10">
        <v>0</v>
      </c>
      <c r="W143" s="10">
        <v>0</v>
      </c>
      <c r="X143" s="10">
        <v>0</v>
      </c>
      <c r="Y143" s="10">
        <v>0</v>
      </c>
      <c r="Z143" s="10">
        <f t="shared" si="53"/>
        <v>0</v>
      </c>
      <c r="AA143" s="10">
        <f t="shared" si="54"/>
        <v>0</v>
      </c>
      <c r="AB143" s="10">
        <v>0</v>
      </c>
      <c r="AC143" s="10">
        <f t="shared" si="55"/>
        <v>7292.8807056775413</v>
      </c>
    </row>
    <row r="144" spans="1:29" x14ac:dyDescent="0.2">
      <c r="A144" s="9" t="s">
        <v>159</v>
      </c>
      <c r="B144" s="10">
        <v>0</v>
      </c>
      <c r="C144" s="10">
        <v>0</v>
      </c>
      <c r="D144" s="10">
        <v>4080.5002680201997</v>
      </c>
      <c r="E144" s="10">
        <v>-14292.6717099341</v>
      </c>
      <c r="F144" s="10">
        <v>0</v>
      </c>
      <c r="G144" s="10">
        <v>0</v>
      </c>
      <c r="H144" s="10">
        <v>10160.181126004865</v>
      </c>
      <c r="I144" s="10">
        <v>0</v>
      </c>
      <c r="J144" s="10">
        <f t="shared" si="50"/>
        <v>-51.990315909035417</v>
      </c>
      <c r="K144" s="10">
        <v>0</v>
      </c>
      <c r="L144" s="10">
        <v>0</v>
      </c>
      <c r="M144" s="10">
        <v>0</v>
      </c>
      <c r="N144" s="10">
        <v>533420.90917541785</v>
      </c>
      <c r="O144" s="10">
        <f t="shared" si="51"/>
        <v>533420.90917541785</v>
      </c>
      <c r="P144" s="10">
        <v>0</v>
      </c>
      <c r="Q144" s="10">
        <v>0</v>
      </c>
      <c r="R144" s="10">
        <v>0</v>
      </c>
      <c r="S144" s="10">
        <v>0</v>
      </c>
      <c r="T144" s="10">
        <f t="shared" si="52"/>
        <v>0</v>
      </c>
      <c r="U144" s="10">
        <v>-5062.6826458233963</v>
      </c>
      <c r="V144" s="10">
        <v>0</v>
      </c>
      <c r="W144" s="10">
        <v>19568.522928671198</v>
      </c>
      <c r="X144" s="10">
        <v>0</v>
      </c>
      <c r="Y144" s="10">
        <v>34623.405611688795</v>
      </c>
      <c r="Z144" s="10">
        <f t="shared" si="53"/>
        <v>49129.245894536594</v>
      </c>
      <c r="AA144" s="10">
        <f t="shared" si="54"/>
        <v>49129.245894536594</v>
      </c>
      <c r="AB144" s="10">
        <v>221899.73708049709</v>
      </c>
      <c r="AC144" s="10">
        <f t="shared" si="55"/>
        <v>804397.90183454251</v>
      </c>
    </row>
    <row r="145" spans="1:29" x14ac:dyDescent="0.2">
      <c r="A145" s="9" t="s">
        <v>293</v>
      </c>
      <c r="B145" s="10">
        <v>0</v>
      </c>
      <c r="C145" s="10">
        <v>0</v>
      </c>
      <c r="D145" s="10">
        <v>0</v>
      </c>
      <c r="E145" s="10">
        <v>0</v>
      </c>
      <c r="F145" s="10">
        <v>0</v>
      </c>
      <c r="G145" s="10">
        <v>0</v>
      </c>
      <c r="H145" s="10">
        <v>0</v>
      </c>
      <c r="I145" s="10">
        <v>0</v>
      </c>
      <c r="J145" s="10">
        <f t="shared" si="50"/>
        <v>0</v>
      </c>
      <c r="K145" s="10">
        <v>0</v>
      </c>
      <c r="L145" s="10">
        <v>0</v>
      </c>
      <c r="M145" s="10">
        <v>0</v>
      </c>
      <c r="N145" s="10">
        <v>0</v>
      </c>
      <c r="O145" s="10">
        <f t="shared" si="51"/>
        <v>0</v>
      </c>
      <c r="P145" s="10">
        <v>0</v>
      </c>
      <c r="Q145" s="10">
        <v>0</v>
      </c>
      <c r="R145" s="10">
        <v>0</v>
      </c>
      <c r="S145" s="10">
        <v>0</v>
      </c>
      <c r="T145" s="10">
        <f t="shared" si="52"/>
        <v>0</v>
      </c>
      <c r="U145" s="10">
        <v>0</v>
      </c>
      <c r="V145" s="10">
        <v>0</v>
      </c>
      <c r="W145" s="10">
        <v>110.7685887061007</v>
      </c>
      <c r="X145" s="10">
        <v>0</v>
      </c>
      <c r="Y145" s="10">
        <v>0</v>
      </c>
      <c r="Z145" s="10">
        <f t="shared" si="53"/>
        <v>110.7685887061007</v>
      </c>
      <c r="AA145" s="10">
        <f t="shared" si="54"/>
        <v>110.7685887061007</v>
      </c>
      <c r="AB145" s="10">
        <v>19669.924960573288</v>
      </c>
      <c r="AC145" s="10">
        <f t="shared" si="55"/>
        <v>19780.693549279389</v>
      </c>
    </row>
    <row r="146" spans="1:29" x14ac:dyDescent="0.2">
      <c r="A146" s="9" t="s">
        <v>160</v>
      </c>
      <c r="B146" s="10">
        <v>0</v>
      </c>
      <c r="C146" s="10">
        <v>0</v>
      </c>
      <c r="D146" s="10">
        <v>0</v>
      </c>
      <c r="E146" s="10">
        <v>0</v>
      </c>
      <c r="F146" s="10">
        <v>0</v>
      </c>
      <c r="G146" s="10">
        <v>0</v>
      </c>
      <c r="H146" s="10">
        <v>51923.420094273009</v>
      </c>
      <c r="I146" s="10">
        <v>0</v>
      </c>
      <c r="J146" s="10">
        <f t="shared" si="50"/>
        <v>51923.420094273009</v>
      </c>
      <c r="K146" s="10">
        <v>-14851.312398892651</v>
      </c>
      <c r="L146" s="10">
        <v>0</v>
      </c>
      <c r="M146" s="10">
        <v>0</v>
      </c>
      <c r="N146" s="10">
        <v>40848.056376507957</v>
      </c>
      <c r="O146" s="10">
        <f t="shared" si="51"/>
        <v>25996.743977615304</v>
      </c>
      <c r="P146" s="10">
        <v>0</v>
      </c>
      <c r="Q146" s="10">
        <v>0</v>
      </c>
      <c r="R146" s="10">
        <v>0</v>
      </c>
      <c r="S146" s="10">
        <v>0</v>
      </c>
      <c r="T146" s="10">
        <f t="shared" si="52"/>
        <v>0</v>
      </c>
      <c r="U146" s="10">
        <v>0</v>
      </c>
      <c r="V146" s="10">
        <v>0</v>
      </c>
      <c r="W146" s="10">
        <v>3733.6241928771319</v>
      </c>
      <c r="X146" s="10">
        <v>3304.6146207000002</v>
      </c>
      <c r="Y146" s="10">
        <v>22554.417190704138</v>
      </c>
      <c r="Z146" s="10">
        <f t="shared" si="53"/>
        <v>29592.656004281271</v>
      </c>
      <c r="AA146" s="10">
        <f t="shared" si="54"/>
        <v>29592.656004281271</v>
      </c>
      <c r="AB146" s="10">
        <v>85632.095900193934</v>
      </c>
      <c r="AC146" s="10">
        <f t="shared" si="55"/>
        <v>193144.91597636353</v>
      </c>
    </row>
    <row r="147" spans="1:29" x14ac:dyDescent="0.2">
      <c r="A147" s="9" t="s">
        <v>294</v>
      </c>
      <c r="B147" s="10">
        <v>0</v>
      </c>
      <c r="C147" s="10">
        <v>0</v>
      </c>
      <c r="D147" s="10">
        <v>0</v>
      </c>
      <c r="E147" s="10">
        <v>0</v>
      </c>
      <c r="F147" s="10">
        <v>0</v>
      </c>
      <c r="G147" s="10">
        <v>0</v>
      </c>
      <c r="H147" s="10">
        <v>0</v>
      </c>
      <c r="I147" s="10">
        <v>0</v>
      </c>
      <c r="J147" s="10">
        <f t="shared" si="50"/>
        <v>0</v>
      </c>
      <c r="K147" s="10">
        <v>0</v>
      </c>
      <c r="L147" s="10">
        <v>0</v>
      </c>
      <c r="M147" s="10">
        <v>0</v>
      </c>
      <c r="N147" s="10">
        <v>0</v>
      </c>
      <c r="O147" s="10">
        <f t="shared" si="51"/>
        <v>0</v>
      </c>
      <c r="P147" s="10">
        <v>0</v>
      </c>
      <c r="Q147" s="10">
        <v>0</v>
      </c>
      <c r="R147" s="10">
        <v>0</v>
      </c>
      <c r="S147" s="10">
        <v>0</v>
      </c>
      <c r="T147" s="10">
        <f t="shared" si="52"/>
        <v>0</v>
      </c>
      <c r="U147" s="10">
        <v>0</v>
      </c>
      <c r="V147" s="10">
        <v>0</v>
      </c>
      <c r="W147" s="10">
        <v>0</v>
      </c>
      <c r="X147" s="10">
        <v>0</v>
      </c>
      <c r="Y147" s="10">
        <v>0</v>
      </c>
      <c r="Z147" s="10">
        <f t="shared" si="53"/>
        <v>0</v>
      </c>
      <c r="AA147" s="10">
        <f t="shared" si="54"/>
        <v>0</v>
      </c>
      <c r="AB147" s="10">
        <v>24521.756454447364</v>
      </c>
      <c r="AC147" s="10">
        <f t="shared" si="55"/>
        <v>24521.756454447364</v>
      </c>
    </row>
    <row r="148" spans="1:29" x14ac:dyDescent="0.2">
      <c r="A148" s="9" t="s">
        <v>161</v>
      </c>
      <c r="B148" s="10">
        <v>0</v>
      </c>
      <c r="C148" s="10">
        <v>0</v>
      </c>
      <c r="D148" s="10">
        <v>3586.4925462084429</v>
      </c>
      <c r="E148" s="10">
        <v>0</v>
      </c>
      <c r="F148" s="10">
        <v>0</v>
      </c>
      <c r="G148" s="10">
        <v>0</v>
      </c>
      <c r="H148" s="10">
        <v>35293.776528189905</v>
      </c>
      <c r="I148" s="10">
        <v>0</v>
      </c>
      <c r="J148" s="10">
        <f t="shared" si="50"/>
        <v>38880.269074398348</v>
      </c>
      <c r="K148" s="10">
        <v>0</v>
      </c>
      <c r="L148" s="10">
        <v>663.33662180336455</v>
      </c>
      <c r="M148" s="10">
        <v>0</v>
      </c>
      <c r="N148" s="10">
        <v>33481.552569167543</v>
      </c>
      <c r="O148" s="10">
        <f t="shared" si="51"/>
        <v>34144.889190970905</v>
      </c>
      <c r="P148" s="10">
        <v>0</v>
      </c>
      <c r="Q148" s="10">
        <v>0</v>
      </c>
      <c r="R148" s="10">
        <v>0</v>
      </c>
      <c r="S148" s="10">
        <v>0</v>
      </c>
      <c r="T148" s="10">
        <f t="shared" si="52"/>
        <v>0</v>
      </c>
      <c r="U148" s="10">
        <v>2571.2852907904444</v>
      </c>
      <c r="V148" s="10">
        <v>0</v>
      </c>
      <c r="W148" s="10">
        <v>916.72521087806854</v>
      </c>
      <c r="X148" s="10">
        <v>0</v>
      </c>
      <c r="Y148" s="10">
        <v>506.53828541015253</v>
      </c>
      <c r="Z148" s="10">
        <f t="shared" si="53"/>
        <v>3994.5487870786656</v>
      </c>
      <c r="AA148" s="10">
        <f t="shared" si="54"/>
        <v>3994.5487870786656</v>
      </c>
      <c r="AB148" s="10">
        <v>1658.5068803139468</v>
      </c>
      <c r="AC148" s="10">
        <f t="shared" si="55"/>
        <v>78678.21393276185</v>
      </c>
    </row>
    <row r="149" spans="1:29" ht="10.5" x14ac:dyDescent="0.25">
      <c r="A149" s="16" t="s">
        <v>162</v>
      </c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</row>
    <row r="150" spans="1:29" x14ac:dyDescent="0.2">
      <c r="A150" s="17" t="s">
        <v>163</v>
      </c>
      <c r="B150" s="10">
        <v>0</v>
      </c>
      <c r="C150" s="10">
        <v>0</v>
      </c>
      <c r="D150" s="10">
        <v>1790.1073757576914</v>
      </c>
      <c r="E150" s="10">
        <v>0</v>
      </c>
      <c r="F150" s="10">
        <v>0</v>
      </c>
      <c r="G150" s="10">
        <v>0</v>
      </c>
      <c r="H150" s="10">
        <v>627.23609446331398</v>
      </c>
      <c r="I150" s="10">
        <v>0</v>
      </c>
      <c r="J150" s="10">
        <f>SUM(C150:I150)</f>
        <v>2417.3434702210052</v>
      </c>
      <c r="K150" s="10">
        <v>0</v>
      </c>
      <c r="L150" s="10">
        <v>0</v>
      </c>
      <c r="M150" s="10">
        <v>0</v>
      </c>
      <c r="N150" s="10">
        <v>0</v>
      </c>
      <c r="O150" s="10">
        <f>SUM(K150:N150)</f>
        <v>0</v>
      </c>
      <c r="P150" s="10">
        <v>0</v>
      </c>
      <c r="Q150" s="10">
        <v>0</v>
      </c>
      <c r="R150" s="10">
        <v>0</v>
      </c>
      <c r="S150" s="10">
        <v>0</v>
      </c>
      <c r="T150" s="10">
        <f>SUM(Q150:S150)</f>
        <v>0</v>
      </c>
      <c r="U150" s="10">
        <v>134.0116155</v>
      </c>
      <c r="V150" s="10">
        <v>0</v>
      </c>
      <c r="W150" s="10">
        <v>7526.5806696742156</v>
      </c>
      <c r="X150" s="10">
        <v>0</v>
      </c>
      <c r="Y150" s="10">
        <v>5214.3175141637075</v>
      </c>
      <c r="Z150" s="10">
        <f>SUM(U150:Y150)</f>
        <v>12874.909799337922</v>
      </c>
      <c r="AA150" s="10">
        <f>SUM(P150,T150,Z150)</f>
        <v>12874.909799337922</v>
      </c>
      <c r="AB150" s="10">
        <v>228992.58630021193</v>
      </c>
      <c r="AC150" s="10">
        <f>SUM(B150,J150,O150,AA150:AB150)</f>
        <v>244284.83956977085</v>
      </c>
    </row>
    <row r="151" spans="1:29" x14ac:dyDescent="0.2">
      <c r="A151" s="17" t="s">
        <v>295</v>
      </c>
      <c r="B151" s="10">
        <v>0</v>
      </c>
      <c r="C151" s="10">
        <v>0</v>
      </c>
      <c r="D151" s="10">
        <v>0</v>
      </c>
      <c r="E151" s="10">
        <v>0</v>
      </c>
      <c r="F151" s="10">
        <v>0</v>
      </c>
      <c r="G151" s="10">
        <v>0</v>
      </c>
      <c r="H151" s="10">
        <v>0</v>
      </c>
      <c r="I151" s="10">
        <v>0</v>
      </c>
      <c r="J151" s="10">
        <f>SUM(C151:I151)</f>
        <v>0</v>
      </c>
      <c r="K151" s="10">
        <v>0</v>
      </c>
      <c r="L151" s="10">
        <v>0</v>
      </c>
      <c r="M151" s="10">
        <v>0</v>
      </c>
      <c r="N151" s="10">
        <v>0</v>
      </c>
      <c r="O151" s="10">
        <f>SUM(K151:N151)</f>
        <v>0</v>
      </c>
      <c r="P151" s="10">
        <v>0</v>
      </c>
      <c r="Q151" s="10">
        <v>0</v>
      </c>
      <c r="R151" s="10">
        <v>0</v>
      </c>
      <c r="S151" s="10">
        <v>0</v>
      </c>
      <c r="T151" s="10">
        <f>SUM(Q151:S151)</f>
        <v>0</v>
      </c>
      <c r="U151" s="10">
        <v>169.4205</v>
      </c>
      <c r="V151" s="10">
        <v>0</v>
      </c>
      <c r="W151" s="10">
        <v>0</v>
      </c>
      <c r="X151" s="10">
        <v>0</v>
      </c>
      <c r="Y151" s="10">
        <v>0</v>
      </c>
      <c r="Z151" s="10">
        <f>SUM(U151:Y151)</f>
        <v>169.4205</v>
      </c>
      <c r="AA151" s="10">
        <f>SUM(P151,T151,Z151)</f>
        <v>169.4205</v>
      </c>
      <c r="AB151" s="10">
        <v>5934.308212898939</v>
      </c>
      <c r="AC151" s="10">
        <f>SUM(B151,J151,O151,AA151:AB151)</f>
        <v>6103.7287128989392</v>
      </c>
    </row>
    <row r="152" spans="1:29" x14ac:dyDescent="0.2">
      <c r="A152" s="17" t="s">
        <v>296</v>
      </c>
      <c r="B152" s="10">
        <v>0</v>
      </c>
      <c r="C152" s="10">
        <v>0</v>
      </c>
      <c r="D152" s="10">
        <v>0</v>
      </c>
      <c r="E152" s="10">
        <v>0</v>
      </c>
      <c r="F152" s="10">
        <v>0</v>
      </c>
      <c r="G152" s="10">
        <v>0</v>
      </c>
      <c r="H152" s="10">
        <v>0</v>
      </c>
      <c r="I152" s="10">
        <v>0</v>
      </c>
      <c r="J152" s="10">
        <f>SUM(C152:I152)</f>
        <v>0</v>
      </c>
      <c r="K152" s="10">
        <v>0</v>
      </c>
      <c r="L152" s="10">
        <v>0</v>
      </c>
      <c r="M152" s="10">
        <v>0</v>
      </c>
      <c r="N152" s="10">
        <v>0</v>
      </c>
      <c r="O152" s="10">
        <f>SUM(K152:N152)</f>
        <v>0</v>
      </c>
      <c r="P152" s="10">
        <v>0</v>
      </c>
      <c r="Q152" s="10">
        <v>0</v>
      </c>
      <c r="R152" s="10">
        <v>0</v>
      </c>
      <c r="S152" s="10">
        <v>0</v>
      </c>
      <c r="T152" s="10">
        <f>SUM(Q152:S152)</f>
        <v>0</v>
      </c>
      <c r="U152" s="10">
        <v>0</v>
      </c>
      <c r="V152" s="10">
        <v>0</v>
      </c>
      <c r="W152" s="10">
        <v>1973.9772126953869</v>
      </c>
      <c r="X152" s="10">
        <v>0</v>
      </c>
      <c r="Y152" s="10">
        <v>0</v>
      </c>
      <c r="Z152" s="10">
        <f>SUM(U152:Y152)</f>
        <v>1973.9772126953869</v>
      </c>
      <c r="AA152" s="10">
        <f>SUM(P152,T152,Z152)</f>
        <v>1973.9772126953869</v>
      </c>
      <c r="AB152" s="10">
        <v>739.18095793155999</v>
      </c>
      <c r="AC152" s="10">
        <f>SUM(B152,J152,O152,AA152:AB152)</f>
        <v>2713.1581706269471</v>
      </c>
    </row>
    <row r="153" spans="1:29" ht="10.5" x14ac:dyDescent="0.25">
      <c r="A153" s="21" t="s">
        <v>164</v>
      </c>
      <c r="B153" s="13">
        <f t="shared" ref="B153:AC153" si="56">SUM(B150:B152)</f>
        <v>0</v>
      </c>
      <c r="C153" s="13">
        <f t="shared" si="56"/>
        <v>0</v>
      </c>
      <c r="D153" s="13">
        <f t="shared" si="56"/>
        <v>1790.1073757576914</v>
      </c>
      <c r="E153" s="13">
        <f t="shared" si="56"/>
        <v>0</v>
      </c>
      <c r="F153" s="13">
        <f t="shared" si="56"/>
        <v>0</v>
      </c>
      <c r="G153" s="13">
        <f t="shared" si="56"/>
        <v>0</v>
      </c>
      <c r="H153" s="13">
        <f t="shared" si="56"/>
        <v>627.23609446331398</v>
      </c>
      <c r="I153" s="13">
        <f t="shared" si="56"/>
        <v>0</v>
      </c>
      <c r="J153" s="13">
        <f t="shared" si="56"/>
        <v>2417.3434702210052</v>
      </c>
      <c r="K153" s="13">
        <f t="shared" si="56"/>
        <v>0</v>
      </c>
      <c r="L153" s="13">
        <f t="shared" si="56"/>
        <v>0</v>
      </c>
      <c r="M153" s="13">
        <f t="shared" si="56"/>
        <v>0</v>
      </c>
      <c r="N153" s="13">
        <f t="shared" si="56"/>
        <v>0</v>
      </c>
      <c r="O153" s="13">
        <f t="shared" si="56"/>
        <v>0</v>
      </c>
      <c r="P153" s="13">
        <f t="shared" si="56"/>
        <v>0</v>
      </c>
      <c r="Q153" s="13">
        <f t="shared" si="56"/>
        <v>0</v>
      </c>
      <c r="R153" s="13">
        <f t="shared" si="56"/>
        <v>0</v>
      </c>
      <c r="S153" s="13">
        <f t="shared" si="56"/>
        <v>0</v>
      </c>
      <c r="T153" s="13">
        <f t="shared" si="56"/>
        <v>0</v>
      </c>
      <c r="U153" s="13">
        <f t="shared" si="56"/>
        <v>303.43211550000001</v>
      </c>
      <c r="V153" s="13">
        <f t="shared" si="56"/>
        <v>0</v>
      </c>
      <c r="W153" s="13">
        <f t="shared" si="56"/>
        <v>9500.5578823696032</v>
      </c>
      <c r="X153" s="13">
        <f t="shared" si="56"/>
        <v>0</v>
      </c>
      <c r="Y153" s="13">
        <f t="shared" si="56"/>
        <v>5214.3175141637075</v>
      </c>
      <c r="Z153" s="13">
        <f t="shared" si="56"/>
        <v>15018.307512033309</v>
      </c>
      <c r="AA153" s="13">
        <f t="shared" si="56"/>
        <v>15018.307512033309</v>
      </c>
      <c r="AB153" s="13">
        <f t="shared" si="56"/>
        <v>235666.07547104242</v>
      </c>
      <c r="AC153" s="13">
        <f t="shared" si="56"/>
        <v>253101.72645329672</v>
      </c>
    </row>
    <row r="154" spans="1:29" ht="10.5" x14ac:dyDescent="0.25">
      <c r="A154" s="16" t="s">
        <v>165</v>
      </c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</row>
    <row r="155" spans="1:29" x14ac:dyDescent="0.2">
      <c r="A155" s="17" t="s">
        <v>166</v>
      </c>
      <c r="B155" s="10">
        <v>0</v>
      </c>
      <c r="C155" s="10">
        <v>0</v>
      </c>
      <c r="D155" s="10">
        <v>0</v>
      </c>
      <c r="E155" s="10">
        <v>0</v>
      </c>
      <c r="F155" s="10">
        <v>0</v>
      </c>
      <c r="G155" s="10">
        <v>0</v>
      </c>
      <c r="H155" s="10">
        <v>-4844.4486714684026</v>
      </c>
      <c r="I155" s="10">
        <v>0</v>
      </c>
      <c r="J155" s="10">
        <f>SUM(C155:I155)</f>
        <v>-4844.4486714684026</v>
      </c>
      <c r="K155" s="10">
        <v>0</v>
      </c>
      <c r="L155" s="10">
        <v>7174.5155926855832</v>
      </c>
      <c r="M155" s="10">
        <v>0</v>
      </c>
      <c r="N155" s="10">
        <v>-12411.511901626289</v>
      </c>
      <c r="O155" s="10">
        <f>SUM(K155:N155)</f>
        <v>-5236.9963089407056</v>
      </c>
      <c r="P155" s="10">
        <v>0</v>
      </c>
      <c r="Q155" s="10">
        <v>0</v>
      </c>
      <c r="R155" s="10">
        <v>0</v>
      </c>
      <c r="S155" s="10">
        <v>420.11943683271431</v>
      </c>
      <c r="T155" s="10">
        <f>SUM(Q155:S155)</f>
        <v>420.11943683271431</v>
      </c>
      <c r="U155" s="10">
        <v>-71561.717117167544</v>
      </c>
      <c r="V155" s="10">
        <v>1666.0967358392759</v>
      </c>
      <c r="W155" s="10">
        <v>65306.777551113148</v>
      </c>
      <c r="X155" s="10">
        <v>0</v>
      </c>
      <c r="Y155" s="10">
        <v>304.9034052865012</v>
      </c>
      <c r="Z155" s="10">
        <f>SUM(U155:Y155)</f>
        <v>-4283.9394249286142</v>
      </c>
      <c r="AA155" s="10">
        <f>SUM(P155,T155,Z155)</f>
        <v>-3863.8199880959</v>
      </c>
      <c r="AB155" s="10">
        <v>-154364.10156023243</v>
      </c>
      <c r="AC155" s="10">
        <f>SUM(B155,J155,O155,AA155:AB155)</f>
        <v>-168309.36652873745</v>
      </c>
    </row>
    <row r="156" spans="1:29" x14ac:dyDescent="0.2">
      <c r="A156" s="17" t="s">
        <v>167</v>
      </c>
      <c r="B156" s="10">
        <v>0</v>
      </c>
      <c r="C156" s="10">
        <v>0</v>
      </c>
      <c r="D156" s="10">
        <v>4005.1514568884813</v>
      </c>
      <c r="E156" s="10">
        <v>0</v>
      </c>
      <c r="F156" s="10">
        <v>0</v>
      </c>
      <c r="G156" s="10">
        <v>0</v>
      </c>
      <c r="H156" s="10">
        <v>177185.21335040039</v>
      </c>
      <c r="I156" s="10">
        <v>0</v>
      </c>
      <c r="J156" s="10">
        <f>SUM(C156:I156)</f>
        <v>181190.36480728886</v>
      </c>
      <c r="K156" s="10">
        <v>0</v>
      </c>
      <c r="L156" s="10">
        <v>0</v>
      </c>
      <c r="M156" s="10">
        <v>0</v>
      </c>
      <c r="N156" s="10">
        <v>117011.15296352138</v>
      </c>
      <c r="O156" s="10">
        <f>SUM(K156:N156)</f>
        <v>117011.15296352138</v>
      </c>
      <c r="P156" s="10">
        <v>0</v>
      </c>
      <c r="Q156" s="10">
        <v>0</v>
      </c>
      <c r="R156" s="10">
        <v>0</v>
      </c>
      <c r="S156" s="10">
        <v>0</v>
      </c>
      <c r="T156" s="10">
        <f>SUM(Q156:S156)</f>
        <v>0</v>
      </c>
      <c r="U156" s="10">
        <v>40059.658521926103</v>
      </c>
      <c r="V156" s="10">
        <v>0</v>
      </c>
      <c r="W156" s="10">
        <v>24873.901117951595</v>
      </c>
      <c r="X156" s="10">
        <v>0</v>
      </c>
      <c r="Y156" s="10">
        <v>28240.657640309637</v>
      </c>
      <c r="Z156" s="10">
        <f>SUM(U156:Y156)</f>
        <v>93174.217280187338</v>
      </c>
      <c r="AA156" s="10">
        <f>SUM(P156,T156,Z156)</f>
        <v>93174.217280187338</v>
      </c>
      <c r="AB156" s="10">
        <v>0</v>
      </c>
      <c r="AC156" s="10">
        <f>SUM(B156,J156,O156,AA156:AB156)</f>
        <v>391375.73505099758</v>
      </c>
    </row>
    <row r="157" spans="1:29" ht="10.5" x14ac:dyDescent="0.25">
      <c r="A157" s="21" t="s">
        <v>168</v>
      </c>
      <c r="B157" s="13">
        <f t="shared" ref="B157:AC157" si="57">SUM(B155:B156)</f>
        <v>0</v>
      </c>
      <c r="C157" s="13">
        <f t="shared" si="57"/>
        <v>0</v>
      </c>
      <c r="D157" s="13">
        <f t="shared" si="57"/>
        <v>4005.1514568884813</v>
      </c>
      <c r="E157" s="13">
        <f t="shared" si="57"/>
        <v>0</v>
      </c>
      <c r="F157" s="13">
        <f t="shared" si="57"/>
        <v>0</v>
      </c>
      <c r="G157" s="13">
        <f t="shared" si="57"/>
        <v>0</v>
      </c>
      <c r="H157" s="13">
        <f t="shared" si="57"/>
        <v>172340.76467893197</v>
      </c>
      <c r="I157" s="13">
        <f t="shared" si="57"/>
        <v>0</v>
      </c>
      <c r="J157" s="13">
        <f t="shared" si="57"/>
        <v>176345.91613582044</v>
      </c>
      <c r="K157" s="13">
        <f t="shared" si="57"/>
        <v>0</v>
      </c>
      <c r="L157" s="13">
        <f t="shared" si="57"/>
        <v>7174.5155926855832</v>
      </c>
      <c r="M157" s="13">
        <f t="shared" si="57"/>
        <v>0</v>
      </c>
      <c r="N157" s="13">
        <f t="shared" si="57"/>
        <v>104599.64106189509</v>
      </c>
      <c r="O157" s="13">
        <f t="shared" si="57"/>
        <v>111774.15665458067</v>
      </c>
      <c r="P157" s="13">
        <f t="shared" si="57"/>
        <v>0</v>
      </c>
      <c r="Q157" s="13">
        <f t="shared" si="57"/>
        <v>0</v>
      </c>
      <c r="R157" s="13">
        <f t="shared" si="57"/>
        <v>0</v>
      </c>
      <c r="S157" s="13">
        <f t="shared" si="57"/>
        <v>420.11943683271431</v>
      </c>
      <c r="T157" s="13">
        <f t="shared" si="57"/>
        <v>420.11943683271431</v>
      </c>
      <c r="U157" s="13">
        <f t="shared" si="57"/>
        <v>-31502.05859524144</v>
      </c>
      <c r="V157" s="13">
        <f t="shared" si="57"/>
        <v>1666.0967358392759</v>
      </c>
      <c r="W157" s="13">
        <f t="shared" si="57"/>
        <v>90180.678669064742</v>
      </c>
      <c r="X157" s="13">
        <f t="shared" si="57"/>
        <v>0</v>
      </c>
      <c r="Y157" s="13">
        <f t="shared" si="57"/>
        <v>28545.56104559614</v>
      </c>
      <c r="Z157" s="13">
        <f t="shared" si="57"/>
        <v>88890.277855258726</v>
      </c>
      <c r="AA157" s="13">
        <f t="shared" si="57"/>
        <v>89310.397292091438</v>
      </c>
      <c r="AB157" s="13">
        <f t="shared" si="57"/>
        <v>-154364.10156023243</v>
      </c>
      <c r="AC157" s="13">
        <f t="shared" si="57"/>
        <v>223066.36852226013</v>
      </c>
    </row>
    <row r="158" spans="1:29" ht="10.5" x14ac:dyDescent="0.25">
      <c r="A158" s="12" t="s">
        <v>169</v>
      </c>
      <c r="B158" s="13">
        <f t="shared" ref="B158:AC158" si="58">SUM(B131:B148,B153,B157)</f>
        <v>0</v>
      </c>
      <c r="C158" s="13">
        <f t="shared" si="58"/>
        <v>0</v>
      </c>
      <c r="D158" s="13">
        <f t="shared" si="58"/>
        <v>27451.992184709718</v>
      </c>
      <c r="E158" s="13">
        <f t="shared" si="58"/>
        <v>-14292.6717099341</v>
      </c>
      <c r="F158" s="13">
        <f t="shared" si="58"/>
        <v>0</v>
      </c>
      <c r="G158" s="13">
        <f t="shared" si="58"/>
        <v>0</v>
      </c>
      <c r="H158" s="13">
        <f t="shared" si="58"/>
        <v>303324.17504526011</v>
      </c>
      <c r="I158" s="13">
        <f t="shared" si="58"/>
        <v>0</v>
      </c>
      <c r="J158" s="13">
        <f t="shared" si="58"/>
        <v>316483.49552003568</v>
      </c>
      <c r="K158" s="13">
        <f t="shared" si="58"/>
        <v>-10630.926236436371</v>
      </c>
      <c r="L158" s="13">
        <f t="shared" si="58"/>
        <v>7837.8522144889475</v>
      </c>
      <c r="M158" s="13">
        <f t="shared" si="58"/>
        <v>0</v>
      </c>
      <c r="N158" s="13">
        <f t="shared" si="58"/>
        <v>844716.27513478824</v>
      </c>
      <c r="O158" s="13">
        <f t="shared" si="58"/>
        <v>841923.20111284079</v>
      </c>
      <c r="P158" s="13">
        <f t="shared" si="58"/>
        <v>0</v>
      </c>
      <c r="Q158" s="13">
        <f t="shared" si="58"/>
        <v>0</v>
      </c>
      <c r="R158" s="13">
        <f t="shared" si="58"/>
        <v>0</v>
      </c>
      <c r="S158" s="13">
        <f t="shared" si="58"/>
        <v>420.11943683271431</v>
      </c>
      <c r="T158" s="13">
        <f t="shared" si="58"/>
        <v>420.11943683271431</v>
      </c>
      <c r="U158" s="13">
        <f t="shared" si="58"/>
        <v>-31688.717175904138</v>
      </c>
      <c r="V158" s="13">
        <f t="shared" si="58"/>
        <v>1666.0967358392759</v>
      </c>
      <c r="W158" s="13">
        <f t="shared" si="58"/>
        <v>180880.10379722214</v>
      </c>
      <c r="X158" s="13">
        <f t="shared" si="58"/>
        <v>3897.6767282999999</v>
      </c>
      <c r="Y158" s="13">
        <f t="shared" si="58"/>
        <v>106758.07675850499</v>
      </c>
      <c r="Z158" s="13">
        <f t="shared" si="58"/>
        <v>261513.23684396228</v>
      </c>
      <c r="AA158" s="13">
        <f t="shared" si="58"/>
        <v>261933.35628079501</v>
      </c>
      <c r="AB158" s="13">
        <f t="shared" si="58"/>
        <v>586488.72910961183</v>
      </c>
      <c r="AC158" s="13">
        <f t="shared" si="58"/>
        <v>2006828.782023283</v>
      </c>
    </row>
    <row r="159" spans="1:29" ht="10.5" x14ac:dyDescent="0.25">
      <c r="A159" s="15" t="s">
        <v>171</v>
      </c>
      <c r="B159" s="13">
        <f t="shared" ref="B159:AC159" si="59">SUM(B129,B158)</f>
        <v>1233193.1574759828</v>
      </c>
      <c r="C159" s="13">
        <f t="shared" si="59"/>
        <v>14292.6717099341</v>
      </c>
      <c r="D159" s="13">
        <f t="shared" si="59"/>
        <v>100777.66023871196</v>
      </c>
      <c r="E159" s="13">
        <f t="shared" si="59"/>
        <v>147053.70449413947</v>
      </c>
      <c r="F159" s="13">
        <f t="shared" si="59"/>
        <v>6184.4293065656284</v>
      </c>
      <c r="G159" s="13">
        <f t="shared" si="59"/>
        <v>0</v>
      </c>
      <c r="H159" s="13">
        <f t="shared" si="59"/>
        <v>471582.81349579745</v>
      </c>
      <c r="I159" s="13">
        <f t="shared" si="59"/>
        <v>1474.2618294259762</v>
      </c>
      <c r="J159" s="13">
        <f t="shared" si="59"/>
        <v>741365.54107457458</v>
      </c>
      <c r="K159" s="13">
        <f t="shared" si="59"/>
        <v>-6578.3533697891316</v>
      </c>
      <c r="L159" s="13">
        <f t="shared" si="59"/>
        <v>24310.0134417341</v>
      </c>
      <c r="M159" s="13">
        <f t="shared" si="59"/>
        <v>4024.9193095089595</v>
      </c>
      <c r="N159" s="13">
        <f t="shared" si="59"/>
        <v>1294732.9693508332</v>
      </c>
      <c r="O159" s="13">
        <f t="shared" si="59"/>
        <v>1316489.548732287</v>
      </c>
      <c r="P159" s="13">
        <f t="shared" si="59"/>
        <v>0</v>
      </c>
      <c r="Q159" s="13">
        <f t="shared" si="59"/>
        <v>900.09967950268197</v>
      </c>
      <c r="R159" s="13">
        <f t="shared" si="59"/>
        <v>28170.463341672137</v>
      </c>
      <c r="S159" s="13">
        <f t="shared" si="59"/>
        <v>8425.4999025801553</v>
      </c>
      <c r="T159" s="13">
        <f t="shared" si="59"/>
        <v>37496.062923754973</v>
      </c>
      <c r="U159" s="13">
        <f t="shared" si="59"/>
        <v>93044.099857406472</v>
      </c>
      <c r="V159" s="13">
        <f t="shared" si="59"/>
        <v>1666.0967358392759</v>
      </c>
      <c r="W159" s="13">
        <f t="shared" si="59"/>
        <v>726046.30362376606</v>
      </c>
      <c r="X159" s="13">
        <f t="shared" si="59"/>
        <v>13873.936158304037</v>
      </c>
      <c r="Y159" s="13">
        <f t="shared" si="59"/>
        <v>119423.69714612793</v>
      </c>
      <c r="Z159" s="13">
        <f t="shared" si="59"/>
        <v>954054.13352144393</v>
      </c>
      <c r="AA159" s="13">
        <f t="shared" si="59"/>
        <v>991550.19644519873</v>
      </c>
      <c r="AB159" s="13">
        <f t="shared" si="59"/>
        <v>867673.37882985617</v>
      </c>
      <c r="AC159" s="13">
        <f t="shared" si="59"/>
        <v>5150271.8225578992</v>
      </c>
    </row>
    <row r="160" spans="1:29" ht="10.5" x14ac:dyDescent="0.2">
      <c r="A160" s="25" t="s">
        <v>46</v>
      </c>
      <c r="B160" s="23">
        <f t="shared" ref="B160:AC160" si="60">B36-B159</f>
        <v>-1211431.2125323541</v>
      </c>
      <c r="C160" s="23">
        <f t="shared" si="60"/>
        <v>-14222.922447508945</v>
      </c>
      <c r="D160" s="23">
        <f t="shared" si="60"/>
        <v>-100226.74490718197</v>
      </c>
      <c r="E160" s="23">
        <f t="shared" si="60"/>
        <v>-115745.14869318459</v>
      </c>
      <c r="F160" s="23">
        <f t="shared" si="60"/>
        <v>-6184.4293065656284</v>
      </c>
      <c r="G160" s="23">
        <f t="shared" si="60"/>
        <v>1102.345849832886</v>
      </c>
      <c r="H160" s="23">
        <f t="shared" si="60"/>
        <v>2204080.1066236608</v>
      </c>
      <c r="I160" s="23">
        <f t="shared" si="60"/>
        <v>1076.7149866235311</v>
      </c>
      <c r="J160" s="23">
        <f t="shared" si="60"/>
        <v>1969879.922105676</v>
      </c>
      <c r="K160" s="23">
        <f t="shared" si="60"/>
        <v>6646.6879255018921</v>
      </c>
      <c r="L160" s="23">
        <f t="shared" si="60"/>
        <v>-2656.9413761117939</v>
      </c>
      <c r="M160" s="23">
        <f t="shared" si="60"/>
        <v>-4024.9193095089595</v>
      </c>
      <c r="N160" s="23">
        <f t="shared" si="60"/>
        <v>-533590.98666611756</v>
      </c>
      <c r="O160" s="23">
        <f t="shared" si="60"/>
        <v>-533626.15942623629</v>
      </c>
      <c r="P160" s="23">
        <f t="shared" si="60"/>
        <v>-13826.359035649981</v>
      </c>
      <c r="Q160" s="23">
        <f t="shared" si="60"/>
        <v>-900.09967950268197</v>
      </c>
      <c r="R160" s="23">
        <f t="shared" si="60"/>
        <v>-28170.463341672137</v>
      </c>
      <c r="S160" s="23">
        <f t="shared" si="60"/>
        <v>-6683.8153461100283</v>
      </c>
      <c r="T160" s="23">
        <f t="shared" si="60"/>
        <v>-35754.378367284844</v>
      </c>
      <c r="U160" s="23">
        <f t="shared" si="60"/>
        <v>361297.92355572851</v>
      </c>
      <c r="V160" s="23">
        <f t="shared" si="60"/>
        <v>8199.4879588515523</v>
      </c>
      <c r="W160" s="23">
        <f t="shared" si="60"/>
        <v>-608574.59716605209</v>
      </c>
      <c r="X160" s="23">
        <f t="shared" si="60"/>
        <v>-13873.936158304037</v>
      </c>
      <c r="Y160" s="23">
        <f t="shared" si="60"/>
        <v>-124964.79342576973</v>
      </c>
      <c r="Z160" s="23">
        <f t="shared" si="60"/>
        <v>-377915.91523554607</v>
      </c>
      <c r="AA160" s="23">
        <f t="shared" si="60"/>
        <v>-427496.65263848065</v>
      </c>
      <c r="AB160" s="23">
        <f t="shared" si="60"/>
        <v>-740597.34393989551</v>
      </c>
      <c r="AC160" s="23">
        <f t="shared" si="60"/>
        <v>-943271.44643129129</v>
      </c>
    </row>
    <row r="161" spans="1:29" ht="10.5" x14ac:dyDescent="0.2">
      <c r="A161" s="4" t="s">
        <v>172</v>
      </c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</row>
    <row r="162" spans="1:29" ht="10.5" x14ac:dyDescent="0.25">
      <c r="A162" s="7" t="s">
        <v>173</v>
      </c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</row>
    <row r="163" spans="1:29" ht="10.5" x14ac:dyDescent="0.25">
      <c r="A163" s="8" t="s">
        <v>174</v>
      </c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</row>
    <row r="164" spans="1:29" x14ac:dyDescent="0.2">
      <c r="A164" s="9" t="s">
        <v>297</v>
      </c>
      <c r="B164" s="10">
        <v>0</v>
      </c>
      <c r="C164" s="10">
        <v>0</v>
      </c>
      <c r="D164" s="10">
        <v>0</v>
      </c>
      <c r="E164" s="10">
        <v>0</v>
      </c>
      <c r="F164" s="10">
        <v>0</v>
      </c>
      <c r="G164" s="10">
        <v>0</v>
      </c>
      <c r="H164" s="10">
        <v>8.1369035582039995E-3</v>
      </c>
      <c r="I164" s="10">
        <v>0</v>
      </c>
      <c r="J164" s="10">
        <f>SUM(C164:I164)</f>
        <v>8.1369035582039995E-3</v>
      </c>
      <c r="K164" s="10">
        <v>0</v>
      </c>
      <c r="L164" s="10">
        <v>0</v>
      </c>
      <c r="M164" s="10">
        <v>0</v>
      </c>
      <c r="N164" s="10">
        <v>0</v>
      </c>
      <c r="O164" s="10">
        <f>SUM(K164:N164)</f>
        <v>0</v>
      </c>
      <c r="P164" s="10">
        <v>0</v>
      </c>
      <c r="Q164" s="10">
        <v>0</v>
      </c>
      <c r="R164" s="10">
        <v>0</v>
      </c>
      <c r="S164" s="10">
        <v>0</v>
      </c>
      <c r="T164" s="10">
        <f>SUM(Q164:S164)</f>
        <v>0</v>
      </c>
      <c r="U164" s="10">
        <v>0</v>
      </c>
      <c r="V164" s="10">
        <v>0</v>
      </c>
      <c r="W164" s="10">
        <v>0</v>
      </c>
      <c r="X164" s="10">
        <v>0</v>
      </c>
      <c r="Y164" s="10">
        <v>0</v>
      </c>
      <c r="Z164" s="10">
        <f>SUM(U164:Y164)</f>
        <v>0</v>
      </c>
      <c r="AA164" s="10">
        <f>SUM(P164,T164,Z164)</f>
        <v>0</v>
      </c>
      <c r="AB164" s="10">
        <v>0</v>
      </c>
      <c r="AC164" s="10">
        <f>SUM(B164,J164,O164,AA164:AB164)</f>
        <v>8.1369035582039995E-3</v>
      </c>
    </row>
    <row r="165" spans="1:29" x14ac:dyDescent="0.2">
      <c r="A165" s="9" t="s">
        <v>175</v>
      </c>
      <c r="B165" s="10">
        <v>0</v>
      </c>
      <c r="C165" s="10">
        <v>0</v>
      </c>
      <c r="D165" s="10">
        <v>0</v>
      </c>
      <c r="E165" s="10">
        <v>0</v>
      </c>
      <c r="F165" s="10">
        <v>0</v>
      </c>
      <c r="G165" s="10">
        <v>0</v>
      </c>
      <c r="H165" s="10">
        <v>0.149968209284607</v>
      </c>
      <c r="I165" s="10">
        <v>0</v>
      </c>
      <c r="J165" s="10">
        <f>SUM(C165:I165)</f>
        <v>0.149968209284607</v>
      </c>
      <c r="K165" s="10">
        <v>0</v>
      </c>
      <c r="L165" s="10">
        <v>0</v>
      </c>
      <c r="M165" s="10">
        <v>0</v>
      </c>
      <c r="N165" s="10">
        <v>34.049999999999997</v>
      </c>
      <c r="O165" s="10">
        <f>SUM(K165:N165)</f>
        <v>34.049999999999997</v>
      </c>
      <c r="P165" s="10">
        <v>0</v>
      </c>
      <c r="Q165" s="10">
        <v>0</v>
      </c>
      <c r="R165" s="10">
        <v>0</v>
      </c>
      <c r="S165" s="10">
        <v>0</v>
      </c>
      <c r="T165" s="10">
        <f>SUM(Q165:S165)</f>
        <v>0</v>
      </c>
      <c r="U165" s="10">
        <v>0</v>
      </c>
      <c r="V165" s="10">
        <v>0</v>
      </c>
      <c r="W165" s="10">
        <v>0</v>
      </c>
      <c r="X165" s="10">
        <v>0</v>
      </c>
      <c r="Y165" s="10">
        <v>0</v>
      </c>
      <c r="Z165" s="10">
        <f>SUM(U165:Y165)</f>
        <v>0</v>
      </c>
      <c r="AA165" s="10">
        <f>SUM(P165,T165,Z165)</f>
        <v>0</v>
      </c>
      <c r="AB165" s="10">
        <v>0</v>
      </c>
      <c r="AC165" s="10">
        <f>SUM(B165,J165,O165,AA165:AB165)</f>
        <v>34.199968209284606</v>
      </c>
    </row>
    <row r="166" spans="1:29" x14ac:dyDescent="0.2">
      <c r="A166" s="9" t="s">
        <v>176</v>
      </c>
      <c r="B166" s="10">
        <v>0</v>
      </c>
      <c r="C166" s="10">
        <v>0</v>
      </c>
      <c r="D166" s="10">
        <v>0</v>
      </c>
      <c r="E166" s="10">
        <v>0</v>
      </c>
      <c r="F166" s="10">
        <v>0</v>
      </c>
      <c r="G166" s="10">
        <v>0</v>
      </c>
      <c r="H166" s="10">
        <v>-166.48400114211884</v>
      </c>
      <c r="I166" s="10">
        <v>0</v>
      </c>
      <c r="J166" s="10">
        <f>SUM(C166:I166)</f>
        <v>-166.48400114211884</v>
      </c>
      <c r="K166" s="10">
        <v>0</v>
      </c>
      <c r="L166" s="10">
        <v>0</v>
      </c>
      <c r="M166" s="10">
        <v>0</v>
      </c>
      <c r="N166" s="10">
        <v>0</v>
      </c>
      <c r="O166" s="10">
        <f>SUM(K166:N166)</f>
        <v>0</v>
      </c>
      <c r="P166" s="10">
        <v>0</v>
      </c>
      <c r="Q166" s="10">
        <v>0</v>
      </c>
      <c r="R166" s="10">
        <v>0</v>
      </c>
      <c r="S166" s="10">
        <v>0</v>
      </c>
      <c r="T166" s="10">
        <f>SUM(Q166:S166)</f>
        <v>0</v>
      </c>
      <c r="U166" s="10">
        <v>0</v>
      </c>
      <c r="V166" s="10">
        <v>0</v>
      </c>
      <c r="W166" s="10">
        <v>0</v>
      </c>
      <c r="X166" s="10">
        <v>0</v>
      </c>
      <c r="Y166" s="10">
        <v>0</v>
      </c>
      <c r="Z166" s="10">
        <f>SUM(U166:Y166)</f>
        <v>0</v>
      </c>
      <c r="AA166" s="10">
        <f>SUM(P166,T166,Z166)</f>
        <v>0</v>
      </c>
      <c r="AB166" s="10">
        <v>0</v>
      </c>
      <c r="AC166" s="10">
        <f>SUM(B166,J166,O166,AA166:AB166)</f>
        <v>-166.48400114211884</v>
      </c>
    </row>
    <row r="167" spans="1:29" ht="10.5" x14ac:dyDescent="0.25">
      <c r="A167" s="12" t="s">
        <v>177</v>
      </c>
      <c r="B167" s="13">
        <f t="shared" ref="B167:AC167" si="61">SUM(B164:B166)</f>
        <v>0</v>
      </c>
      <c r="C167" s="13">
        <f t="shared" si="61"/>
        <v>0</v>
      </c>
      <c r="D167" s="13">
        <f t="shared" si="61"/>
        <v>0</v>
      </c>
      <c r="E167" s="13">
        <f t="shared" si="61"/>
        <v>0</v>
      </c>
      <c r="F167" s="13">
        <f t="shared" si="61"/>
        <v>0</v>
      </c>
      <c r="G167" s="13">
        <f t="shared" si="61"/>
        <v>0</v>
      </c>
      <c r="H167" s="13">
        <f t="shared" si="61"/>
        <v>-166.32589602927604</v>
      </c>
      <c r="I167" s="13">
        <f t="shared" si="61"/>
        <v>0</v>
      </c>
      <c r="J167" s="13">
        <f t="shared" si="61"/>
        <v>-166.32589602927604</v>
      </c>
      <c r="K167" s="13">
        <f t="shared" si="61"/>
        <v>0</v>
      </c>
      <c r="L167" s="13">
        <f t="shared" si="61"/>
        <v>0</v>
      </c>
      <c r="M167" s="13">
        <f t="shared" si="61"/>
        <v>0</v>
      </c>
      <c r="N167" s="13">
        <f t="shared" si="61"/>
        <v>34.049999999999997</v>
      </c>
      <c r="O167" s="13">
        <f t="shared" si="61"/>
        <v>34.049999999999997</v>
      </c>
      <c r="P167" s="13">
        <f t="shared" si="61"/>
        <v>0</v>
      </c>
      <c r="Q167" s="13">
        <f t="shared" si="61"/>
        <v>0</v>
      </c>
      <c r="R167" s="13">
        <f t="shared" si="61"/>
        <v>0</v>
      </c>
      <c r="S167" s="13">
        <f t="shared" si="61"/>
        <v>0</v>
      </c>
      <c r="T167" s="13">
        <f t="shared" si="61"/>
        <v>0</v>
      </c>
      <c r="U167" s="13">
        <f t="shared" si="61"/>
        <v>0</v>
      </c>
      <c r="V167" s="13">
        <f t="shared" si="61"/>
        <v>0</v>
      </c>
      <c r="W167" s="13">
        <f t="shared" si="61"/>
        <v>0</v>
      </c>
      <c r="X167" s="13">
        <f t="shared" si="61"/>
        <v>0</v>
      </c>
      <c r="Y167" s="13">
        <f t="shared" si="61"/>
        <v>0</v>
      </c>
      <c r="Z167" s="13">
        <f t="shared" si="61"/>
        <v>0</v>
      </c>
      <c r="AA167" s="13">
        <f t="shared" si="61"/>
        <v>0</v>
      </c>
      <c r="AB167" s="13">
        <f t="shared" si="61"/>
        <v>0</v>
      </c>
      <c r="AC167" s="13">
        <f t="shared" si="61"/>
        <v>-132.27589602927603</v>
      </c>
    </row>
    <row r="168" spans="1:29" ht="10.5" x14ac:dyDescent="0.25">
      <c r="A168" s="15" t="s">
        <v>178</v>
      </c>
      <c r="B168" s="13">
        <f t="shared" ref="B168:AC168" si="62">SUM(B167)</f>
        <v>0</v>
      </c>
      <c r="C168" s="13">
        <f t="shared" si="62"/>
        <v>0</v>
      </c>
      <c r="D168" s="13">
        <f t="shared" si="62"/>
        <v>0</v>
      </c>
      <c r="E168" s="13">
        <f t="shared" si="62"/>
        <v>0</v>
      </c>
      <c r="F168" s="13">
        <f t="shared" si="62"/>
        <v>0</v>
      </c>
      <c r="G168" s="13">
        <f t="shared" si="62"/>
        <v>0</v>
      </c>
      <c r="H168" s="13">
        <f t="shared" si="62"/>
        <v>-166.32589602927604</v>
      </c>
      <c r="I168" s="13">
        <f t="shared" si="62"/>
        <v>0</v>
      </c>
      <c r="J168" s="13">
        <f t="shared" si="62"/>
        <v>-166.32589602927604</v>
      </c>
      <c r="K168" s="13">
        <f t="shared" si="62"/>
        <v>0</v>
      </c>
      <c r="L168" s="13">
        <f t="shared" si="62"/>
        <v>0</v>
      </c>
      <c r="M168" s="13">
        <f t="shared" si="62"/>
        <v>0</v>
      </c>
      <c r="N168" s="13">
        <f t="shared" si="62"/>
        <v>34.049999999999997</v>
      </c>
      <c r="O168" s="13">
        <f t="shared" si="62"/>
        <v>34.049999999999997</v>
      </c>
      <c r="P168" s="13">
        <f t="shared" si="62"/>
        <v>0</v>
      </c>
      <c r="Q168" s="13">
        <f t="shared" si="62"/>
        <v>0</v>
      </c>
      <c r="R168" s="13">
        <f t="shared" si="62"/>
        <v>0</v>
      </c>
      <c r="S168" s="13">
        <f t="shared" si="62"/>
        <v>0</v>
      </c>
      <c r="T168" s="13">
        <f t="shared" si="62"/>
        <v>0</v>
      </c>
      <c r="U168" s="13">
        <f t="shared" si="62"/>
        <v>0</v>
      </c>
      <c r="V168" s="13">
        <f t="shared" si="62"/>
        <v>0</v>
      </c>
      <c r="W168" s="13">
        <f t="shared" si="62"/>
        <v>0</v>
      </c>
      <c r="X168" s="13">
        <f t="shared" si="62"/>
        <v>0</v>
      </c>
      <c r="Y168" s="13">
        <f t="shared" si="62"/>
        <v>0</v>
      </c>
      <c r="Z168" s="13">
        <f t="shared" si="62"/>
        <v>0</v>
      </c>
      <c r="AA168" s="13">
        <f t="shared" si="62"/>
        <v>0</v>
      </c>
      <c r="AB168" s="13">
        <f t="shared" si="62"/>
        <v>0</v>
      </c>
      <c r="AC168" s="13">
        <f t="shared" si="62"/>
        <v>-132.27589602927603</v>
      </c>
    </row>
    <row r="169" spans="1:29" ht="10.5" x14ac:dyDescent="0.25">
      <c r="A169" s="7" t="s">
        <v>179</v>
      </c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</row>
    <row r="170" spans="1:29" x14ac:dyDescent="0.2">
      <c r="A170" s="26" t="s">
        <v>180</v>
      </c>
      <c r="B170" s="10">
        <v>0</v>
      </c>
      <c r="C170" s="10">
        <v>0</v>
      </c>
      <c r="D170" s="10">
        <v>0</v>
      </c>
      <c r="E170" s="10">
        <v>0</v>
      </c>
      <c r="F170" s="10">
        <v>0</v>
      </c>
      <c r="G170" s="10">
        <v>0</v>
      </c>
      <c r="H170" s="10">
        <v>-1711.517523259236</v>
      </c>
      <c r="I170" s="10">
        <v>0</v>
      </c>
      <c r="J170" s="10">
        <f>SUM(C170:I170)</f>
        <v>-1711.517523259236</v>
      </c>
      <c r="K170" s="10">
        <v>0</v>
      </c>
      <c r="L170" s="10">
        <v>0</v>
      </c>
      <c r="M170" s="10">
        <v>0</v>
      </c>
      <c r="N170" s="10">
        <v>0</v>
      </c>
      <c r="O170" s="10">
        <f>SUM(K170:N170)</f>
        <v>0</v>
      </c>
      <c r="P170" s="10">
        <v>0</v>
      </c>
      <c r="Q170" s="10">
        <v>0</v>
      </c>
      <c r="R170" s="10">
        <v>0</v>
      </c>
      <c r="S170" s="10">
        <v>0</v>
      </c>
      <c r="T170" s="10">
        <f>SUM(Q170:S170)</f>
        <v>0</v>
      </c>
      <c r="U170" s="10">
        <v>0</v>
      </c>
      <c r="V170" s="10">
        <v>0</v>
      </c>
      <c r="W170" s="10">
        <v>0</v>
      </c>
      <c r="X170" s="10">
        <v>0</v>
      </c>
      <c r="Y170" s="10">
        <v>0</v>
      </c>
      <c r="Z170" s="10">
        <f>SUM(U170:Y170)</f>
        <v>0</v>
      </c>
      <c r="AA170" s="10">
        <f>SUM(P170,T170,Z170)</f>
        <v>0</v>
      </c>
      <c r="AB170" s="10">
        <v>0</v>
      </c>
      <c r="AC170" s="10">
        <f>SUM(B170,J170,O170,AA170:AB170)</f>
        <v>-1711.517523259236</v>
      </c>
    </row>
    <row r="171" spans="1:29" ht="10.5" x14ac:dyDescent="0.25">
      <c r="A171" s="8" t="s">
        <v>181</v>
      </c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</row>
    <row r="172" spans="1:29" x14ac:dyDescent="0.2">
      <c r="A172" s="9" t="s">
        <v>182</v>
      </c>
      <c r="B172" s="10">
        <v>0</v>
      </c>
      <c r="C172" s="10">
        <v>0</v>
      </c>
      <c r="D172" s="10">
        <v>0</v>
      </c>
      <c r="E172" s="10">
        <v>0</v>
      </c>
      <c r="F172" s="10">
        <v>0</v>
      </c>
      <c r="G172" s="10">
        <v>0</v>
      </c>
      <c r="H172" s="10">
        <v>0</v>
      </c>
      <c r="I172" s="10">
        <v>0</v>
      </c>
      <c r="J172" s="10">
        <f>SUM(C172:I172)</f>
        <v>0</v>
      </c>
      <c r="K172" s="10">
        <v>0</v>
      </c>
      <c r="L172" s="10">
        <v>0</v>
      </c>
      <c r="M172" s="10">
        <v>0</v>
      </c>
      <c r="N172" s="10">
        <v>0</v>
      </c>
      <c r="O172" s="10">
        <f>SUM(K172:N172)</f>
        <v>0</v>
      </c>
      <c r="P172" s="10">
        <v>0</v>
      </c>
      <c r="Q172" s="10">
        <v>0</v>
      </c>
      <c r="R172" s="10">
        <v>0</v>
      </c>
      <c r="S172" s="10">
        <v>0</v>
      </c>
      <c r="T172" s="10">
        <f>SUM(Q172:S172)</f>
        <v>0</v>
      </c>
      <c r="U172" s="10">
        <v>0</v>
      </c>
      <c r="V172" s="10">
        <v>0</v>
      </c>
      <c r="W172" s="10">
        <v>0</v>
      </c>
      <c r="X172" s="10">
        <v>0</v>
      </c>
      <c r="Y172" s="10">
        <v>0</v>
      </c>
      <c r="Z172" s="10">
        <f>SUM(U172:Y172)</f>
        <v>0</v>
      </c>
      <c r="AA172" s="10">
        <f>SUM(P172,T172,Z172)</f>
        <v>0</v>
      </c>
      <c r="AB172" s="10">
        <v>5207.7309520479448</v>
      </c>
      <c r="AC172" s="10">
        <f>SUM(B172,J172,O172,AA172:AB172)</f>
        <v>5207.7309520479448</v>
      </c>
    </row>
    <row r="173" spans="1:29" ht="10.5" x14ac:dyDescent="0.25">
      <c r="A173" s="12" t="s">
        <v>183</v>
      </c>
      <c r="B173" s="13">
        <f t="shared" ref="B173:AC173" si="63">SUM(B172)</f>
        <v>0</v>
      </c>
      <c r="C173" s="13">
        <f t="shared" si="63"/>
        <v>0</v>
      </c>
      <c r="D173" s="13">
        <f t="shared" si="63"/>
        <v>0</v>
      </c>
      <c r="E173" s="13">
        <f t="shared" si="63"/>
        <v>0</v>
      </c>
      <c r="F173" s="13">
        <f t="shared" si="63"/>
        <v>0</v>
      </c>
      <c r="G173" s="13">
        <f t="shared" si="63"/>
        <v>0</v>
      </c>
      <c r="H173" s="13">
        <f t="shared" si="63"/>
        <v>0</v>
      </c>
      <c r="I173" s="13">
        <f t="shared" si="63"/>
        <v>0</v>
      </c>
      <c r="J173" s="13">
        <f t="shared" si="63"/>
        <v>0</v>
      </c>
      <c r="K173" s="13">
        <f t="shared" si="63"/>
        <v>0</v>
      </c>
      <c r="L173" s="13">
        <f t="shared" si="63"/>
        <v>0</v>
      </c>
      <c r="M173" s="13">
        <f t="shared" si="63"/>
        <v>0</v>
      </c>
      <c r="N173" s="13">
        <f t="shared" si="63"/>
        <v>0</v>
      </c>
      <c r="O173" s="13">
        <f t="shared" si="63"/>
        <v>0</v>
      </c>
      <c r="P173" s="13">
        <f t="shared" si="63"/>
        <v>0</v>
      </c>
      <c r="Q173" s="13">
        <f t="shared" si="63"/>
        <v>0</v>
      </c>
      <c r="R173" s="13">
        <f t="shared" si="63"/>
        <v>0</v>
      </c>
      <c r="S173" s="13">
        <f t="shared" si="63"/>
        <v>0</v>
      </c>
      <c r="T173" s="13">
        <f t="shared" si="63"/>
        <v>0</v>
      </c>
      <c r="U173" s="13">
        <f t="shared" si="63"/>
        <v>0</v>
      </c>
      <c r="V173" s="13">
        <f t="shared" si="63"/>
        <v>0</v>
      </c>
      <c r="W173" s="13">
        <f t="shared" si="63"/>
        <v>0</v>
      </c>
      <c r="X173" s="13">
        <f t="shared" si="63"/>
        <v>0</v>
      </c>
      <c r="Y173" s="13">
        <f t="shared" si="63"/>
        <v>0</v>
      </c>
      <c r="Z173" s="13">
        <f t="shared" si="63"/>
        <v>0</v>
      </c>
      <c r="AA173" s="13">
        <f t="shared" si="63"/>
        <v>0</v>
      </c>
      <c r="AB173" s="13">
        <f t="shared" si="63"/>
        <v>5207.7309520479448</v>
      </c>
      <c r="AC173" s="13">
        <f t="shared" si="63"/>
        <v>5207.7309520479448</v>
      </c>
    </row>
    <row r="174" spans="1:29" x14ac:dyDescent="0.2">
      <c r="A174" s="26" t="s">
        <v>184</v>
      </c>
      <c r="B174" s="10">
        <v>0</v>
      </c>
      <c r="C174" s="10">
        <v>0</v>
      </c>
      <c r="D174" s="10">
        <v>2.6868345713678458E-2</v>
      </c>
      <c r="E174" s="10">
        <v>1.1291920176940881E-2</v>
      </c>
      <c r="F174" s="10">
        <v>2.0437269159370001E-4</v>
      </c>
      <c r="G174" s="10">
        <v>0</v>
      </c>
      <c r="H174" s="10">
        <v>-3.1383962575506101E-3</v>
      </c>
      <c r="I174" s="10">
        <v>0</v>
      </c>
      <c r="J174" s="10">
        <f>SUM(C174:I174)</f>
        <v>3.5226242324662434E-2</v>
      </c>
      <c r="K174" s="10">
        <v>0</v>
      </c>
      <c r="L174" s="10">
        <v>2.1136140128835221E-2</v>
      </c>
      <c r="M174" s="10">
        <v>1.077229325212088E-2</v>
      </c>
      <c r="N174" s="10">
        <v>-3.00077645149243E-2</v>
      </c>
      <c r="O174" s="10">
        <f>SUM(K174:N174)</f>
        <v>1.9006688660317995E-3</v>
      </c>
      <c r="P174" s="10">
        <v>0</v>
      </c>
      <c r="Q174" s="10">
        <v>-2.2583840353881762E-2</v>
      </c>
      <c r="R174" s="10">
        <v>0</v>
      </c>
      <c r="S174" s="10">
        <v>1.1281231562203771E-2</v>
      </c>
      <c r="T174" s="10">
        <f>SUM(Q174:S174)</f>
        <v>-1.1302608791677991E-2</v>
      </c>
      <c r="U174" s="10">
        <v>0</v>
      </c>
      <c r="V174" s="10">
        <v>0</v>
      </c>
      <c r="W174" s="10">
        <v>0.11653992456997506</v>
      </c>
      <c r="X174" s="10">
        <v>0</v>
      </c>
      <c r="Y174" s="10">
        <v>1.19039046774714E-3</v>
      </c>
      <c r="Z174" s="10">
        <f>SUM(U174:Y174)</f>
        <v>0.1177303150377222</v>
      </c>
      <c r="AA174" s="10">
        <f>SUM(P174,T174,Z174)</f>
        <v>0.10642770624604421</v>
      </c>
      <c r="AB174" s="10">
        <v>-2.5703864304512769E-2</v>
      </c>
      <c r="AC174" s="10">
        <f>SUM(B174,J174,O174,AA174:AB174)</f>
        <v>0.11785075313222568</v>
      </c>
    </row>
    <row r="175" spans="1:29" x14ac:dyDescent="0.2">
      <c r="A175" s="26" t="s">
        <v>185</v>
      </c>
      <c r="B175" s="10">
        <v>0</v>
      </c>
      <c r="C175" s="10">
        <v>-283.98050052988617</v>
      </c>
      <c r="D175" s="10">
        <v>964.25231568440722</v>
      </c>
      <c r="E175" s="10">
        <v>381.06536318666787</v>
      </c>
      <c r="F175" s="10">
        <v>0</v>
      </c>
      <c r="G175" s="10">
        <v>0</v>
      </c>
      <c r="H175" s="10">
        <v>0</v>
      </c>
      <c r="I175" s="10">
        <v>0</v>
      </c>
      <c r="J175" s="10">
        <f>SUM(C175:I175)</f>
        <v>1061.337178341189</v>
      </c>
      <c r="K175" s="10">
        <v>0</v>
      </c>
      <c r="L175" s="10">
        <v>161.29486937367719</v>
      </c>
      <c r="M175" s="10">
        <v>-4087.8149814068129</v>
      </c>
      <c r="N175" s="10">
        <v>-30843.304458397921</v>
      </c>
      <c r="O175" s="10">
        <f>SUM(K175:N175)</f>
        <v>-34769.824570431054</v>
      </c>
      <c r="P175" s="10">
        <v>0</v>
      </c>
      <c r="Q175" s="10">
        <v>399.35729691203909</v>
      </c>
      <c r="R175" s="10">
        <v>0</v>
      </c>
      <c r="S175" s="10">
        <v>0</v>
      </c>
      <c r="T175" s="10">
        <f>SUM(Q175:S175)</f>
        <v>399.35729691203909</v>
      </c>
      <c r="U175" s="10">
        <v>76.476990637105104</v>
      </c>
      <c r="V175" s="10">
        <v>0</v>
      </c>
      <c r="W175" s="10">
        <v>66.661319399999996</v>
      </c>
      <c r="X175" s="10">
        <v>0</v>
      </c>
      <c r="Y175" s="10">
        <v>652.32300671970381</v>
      </c>
      <c r="Z175" s="10">
        <f>SUM(U175:Y175)</f>
        <v>795.46131675680886</v>
      </c>
      <c r="AA175" s="10">
        <f>SUM(P175,T175,Z175)</f>
        <v>1194.818613668848</v>
      </c>
      <c r="AB175" s="10">
        <v>23831.513404186975</v>
      </c>
      <c r="AC175" s="10">
        <f>SUM(B175,J175,O175,AA175:AB175)</f>
        <v>-8682.1553742340438</v>
      </c>
    </row>
    <row r="176" spans="1:29" ht="10.5" x14ac:dyDescent="0.25">
      <c r="A176" s="15" t="s">
        <v>186</v>
      </c>
      <c r="B176" s="13">
        <f t="shared" ref="B176:AC176" si="64">SUM(B170,B173:B175)</f>
        <v>0</v>
      </c>
      <c r="C176" s="13">
        <f t="shared" si="64"/>
        <v>-283.98050052988617</v>
      </c>
      <c r="D176" s="13">
        <f t="shared" si="64"/>
        <v>964.27918403012086</v>
      </c>
      <c r="E176" s="13">
        <f t="shared" si="64"/>
        <v>381.07665510684478</v>
      </c>
      <c r="F176" s="13">
        <f t="shared" si="64"/>
        <v>2.0437269159370001E-4</v>
      </c>
      <c r="G176" s="13">
        <f t="shared" si="64"/>
        <v>0</v>
      </c>
      <c r="H176" s="13">
        <f t="shared" si="64"/>
        <v>-1711.5206616554935</v>
      </c>
      <c r="I176" s="13">
        <f t="shared" si="64"/>
        <v>0</v>
      </c>
      <c r="J176" s="13">
        <f t="shared" si="64"/>
        <v>-650.14511867572241</v>
      </c>
      <c r="K176" s="13">
        <f t="shared" si="64"/>
        <v>0</v>
      </c>
      <c r="L176" s="13">
        <f t="shared" si="64"/>
        <v>161.31600551380603</v>
      </c>
      <c r="M176" s="13">
        <f t="shared" si="64"/>
        <v>-4087.8042091135608</v>
      </c>
      <c r="N176" s="13">
        <f t="shared" si="64"/>
        <v>-30843.334466162436</v>
      </c>
      <c r="O176" s="13">
        <f t="shared" si="64"/>
        <v>-34769.822669762187</v>
      </c>
      <c r="P176" s="13">
        <f t="shared" si="64"/>
        <v>0</v>
      </c>
      <c r="Q176" s="13">
        <f t="shared" si="64"/>
        <v>399.3347130716852</v>
      </c>
      <c r="R176" s="13">
        <f t="shared" si="64"/>
        <v>0</v>
      </c>
      <c r="S176" s="13">
        <f t="shared" si="64"/>
        <v>1.1281231562203771E-2</v>
      </c>
      <c r="T176" s="13">
        <f t="shared" si="64"/>
        <v>399.34599430324744</v>
      </c>
      <c r="U176" s="13">
        <f t="shared" si="64"/>
        <v>76.476990637105104</v>
      </c>
      <c r="V176" s="13">
        <f t="shared" si="64"/>
        <v>0</v>
      </c>
      <c r="W176" s="13">
        <f t="shared" si="64"/>
        <v>66.777859324569974</v>
      </c>
      <c r="X176" s="13">
        <f t="shared" si="64"/>
        <v>0</v>
      </c>
      <c r="Y176" s="13">
        <f t="shared" si="64"/>
        <v>652.32419711017155</v>
      </c>
      <c r="Z176" s="13">
        <f t="shared" si="64"/>
        <v>795.57904707184662</v>
      </c>
      <c r="AA176" s="13">
        <f t="shared" si="64"/>
        <v>1194.925041375094</v>
      </c>
      <c r="AB176" s="13">
        <f t="shared" si="64"/>
        <v>29039.218652370615</v>
      </c>
      <c r="AC176" s="13">
        <f t="shared" si="64"/>
        <v>-5185.8240946922033</v>
      </c>
    </row>
    <row r="177" spans="1:29" ht="10.5" x14ac:dyDescent="0.2">
      <c r="A177" s="25" t="s">
        <v>187</v>
      </c>
      <c r="B177" s="23">
        <f t="shared" ref="B177:AC177" si="65">B168-B176</f>
        <v>0</v>
      </c>
      <c r="C177" s="23">
        <f t="shared" si="65"/>
        <v>283.98050052988617</v>
      </c>
      <c r="D177" s="23">
        <f t="shared" si="65"/>
        <v>-964.27918403012086</v>
      </c>
      <c r="E177" s="23">
        <f t="shared" si="65"/>
        <v>-381.07665510684478</v>
      </c>
      <c r="F177" s="23">
        <f t="shared" si="65"/>
        <v>-2.0437269159370001E-4</v>
      </c>
      <c r="G177" s="23">
        <f t="shared" si="65"/>
        <v>0</v>
      </c>
      <c r="H177" s="23">
        <f t="shared" si="65"/>
        <v>1545.1947656262175</v>
      </c>
      <c r="I177" s="23">
        <f t="shared" si="65"/>
        <v>0</v>
      </c>
      <c r="J177" s="23">
        <f t="shared" si="65"/>
        <v>483.81922264644641</v>
      </c>
      <c r="K177" s="23">
        <f t="shared" si="65"/>
        <v>0</v>
      </c>
      <c r="L177" s="23">
        <f t="shared" si="65"/>
        <v>-161.31600551380603</v>
      </c>
      <c r="M177" s="23">
        <f t="shared" si="65"/>
        <v>4087.8042091135608</v>
      </c>
      <c r="N177" s="23">
        <f t="shared" si="65"/>
        <v>30877.384466162435</v>
      </c>
      <c r="O177" s="23">
        <f t="shared" si="65"/>
        <v>34803.87266976219</v>
      </c>
      <c r="P177" s="23">
        <f t="shared" si="65"/>
        <v>0</v>
      </c>
      <c r="Q177" s="23">
        <f t="shared" si="65"/>
        <v>-399.3347130716852</v>
      </c>
      <c r="R177" s="23">
        <f t="shared" si="65"/>
        <v>0</v>
      </c>
      <c r="S177" s="23">
        <f t="shared" si="65"/>
        <v>-1.1281231562203771E-2</v>
      </c>
      <c r="T177" s="23">
        <f t="shared" si="65"/>
        <v>-399.34599430324744</v>
      </c>
      <c r="U177" s="23">
        <f t="shared" si="65"/>
        <v>-76.476990637105104</v>
      </c>
      <c r="V177" s="23">
        <f t="shared" si="65"/>
        <v>0</v>
      </c>
      <c r="W177" s="23">
        <f t="shared" si="65"/>
        <v>-66.777859324569974</v>
      </c>
      <c r="X177" s="23">
        <f t="shared" si="65"/>
        <v>0</v>
      </c>
      <c r="Y177" s="23">
        <f t="shared" si="65"/>
        <v>-652.32419711017155</v>
      </c>
      <c r="Z177" s="23">
        <f t="shared" si="65"/>
        <v>-795.57904707184662</v>
      </c>
      <c r="AA177" s="23">
        <f t="shared" si="65"/>
        <v>-1194.925041375094</v>
      </c>
      <c r="AB177" s="23">
        <f t="shared" si="65"/>
        <v>-29039.218652370615</v>
      </c>
      <c r="AC177" s="23">
        <f t="shared" si="65"/>
        <v>5053.5481986629275</v>
      </c>
    </row>
    <row r="178" spans="1:29" ht="10.5" x14ac:dyDescent="0.2">
      <c r="A178" s="25" t="s">
        <v>47</v>
      </c>
      <c r="B178" s="23">
        <f t="shared" ref="B178:AC178" si="66">B160+B177</f>
        <v>-1211431.2125323541</v>
      </c>
      <c r="C178" s="23">
        <f t="shared" si="66"/>
        <v>-13938.941946979059</v>
      </c>
      <c r="D178" s="23">
        <f t="shared" si="66"/>
        <v>-101191.02409121209</v>
      </c>
      <c r="E178" s="23">
        <f t="shared" si="66"/>
        <v>-116126.22534829144</v>
      </c>
      <c r="F178" s="23">
        <f t="shared" si="66"/>
        <v>-6184.4295109383202</v>
      </c>
      <c r="G178" s="23">
        <f t="shared" si="66"/>
        <v>1102.345849832886</v>
      </c>
      <c r="H178" s="23">
        <f t="shared" si="66"/>
        <v>2205625.3013892868</v>
      </c>
      <c r="I178" s="23">
        <f t="shared" si="66"/>
        <v>1076.7149866235311</v>
      </c>
      <c r="J178" s="23">
        <f t="shared" si="66"/>
        <v>1970363.7413283226</v>
      </c>
      <c r="K178" s="23">
        <f t="shared" si="66"/>
        <v>6646.6879255018921</v>
      </c>
      <c r="L178" s="23">
        <f t="shared" si="66"/>
        <v>-2818.2573816255999</v>
      </c>
      <c r="M178" s="23">
        <f t="shared" si="66"/>
        <v>62.884899604601287</v>
      </c>
      <c r="N178" s="23">
        <f t="shared" si="66"/>
        <v>-502713.60219995514</v>
      </c>
      <c r="O178" s="23">
        <f t="shared" si="66"/>
        <v>-498822.28675647412</v>
      </c>
      <c r="P178" s="23">
        <f t="shared" si="66"/>
        <v>-13826.359035649981</v>
      </c>
      <c r="Q178" s="23">
        <f t="shared" si="66"/>
        <v>-1299.4343925743672</v>
      </c>
      <c r="R178" s="23">
        <f t="shared" si="66"/>
        <v>-28170.463341672137</v>
      </c>
      <c r="S178" s="23">
        <f t="shared" si="66"/>
        <v>-6683.8266273415902</v>
      </c>
      <c r="T178" s="23">
        <f t="shared" si="66"/>
        <v>-36153.724361588094</v>
      </c>
      <c r="U178" s="23">
        <f t="shared" si="66"/>
        <v>361221.44656509144</v>
      </c>
      <c r="V178" s="23">
        <f t="shared" si="66"/>
        <v>8199.4879588515523</v>
      </c>
      <c r="W178" s="23">
        <f t="shared" si="66"/>
        <v>-608641.37502537668</v>
      </c>
      <c r="X178" s="23">
        <f t="shared" si="66"/>
        <v>-13873.936158304037</v>
      </c>
      <c r="Y178" s="23">
        <f t="shared" si="66"/>
        <v>-125617.1176228799</v>
      </c>
      <c r="Z178" s="23">
        <f t="shared" si="66"/>
        <v>-378711.49428261793</v>
      </c>
      <c r="AA178" s="23">
        <f t="shared" si="66"/>
        <v>-428691.57767985575</v>
      </c>
      <c r="AB178" s="23">
        <f t="shared" si="66"/>
        <v>-769636.56259226613</v>
      </c>
      <c r="AC178" s="23">
        <f t="shared" si="66"/>
        <v>-938217.89823262836</v>
      </c>
    </row>
  </sheetData>
  <mergeCells count="31">
    <mergeCell ref="A6:AC6"/>
    <mergeCell ref="A1:AC1"/>
    <mergeCell ref="A2:AC2"/>
    <mergeCell ref="A3:AC3"/>
    <mergeCell ref="A4:AC4"/>
    <mergeCell ref="A5:AC5"/>
    <mergeCell ref="C7:J7"/>
    <mergeCell ref="K7:O7"/>
    <mergeCell ref="P7:AA7"/>
    <mergeCell ref="B8:B10"/>
    <mergeCell ref="C8:C10"/>
    <mergeCell ref="K8:K10"/>
    <mergeCell ref="P8:P10"/>
    <mergeCell ref="Q8:T8"/>
    <mergeCell ref="U8:Z8"/>
    <mergeCell ref="M9:M10"/>
    <mergeCell ref="AB8:AB10"/>
    <mergeCell ref="AC8:AC10"/>
    <mergeCell ref="D9:D10"/>
    <mergeCell ref="E9:E10"/>
    <mergeCell ref="F9:F10"/>
    <mergeCell ref="G9:G10"/>
    <mergeCell ref="H9:H10"/>
    <mergeCell ref="I9:I10"/>
    <mergeCell ref="J9:J10"/>
    <mergeCell ref="L9:L10"/>
    <mergeCell ref="N9:N10"/>
    <mergeCell ref="O9:O10"/>
    <mergeCell ref="Q9:Q10"/>
    <mergeCell ref="U9:U10"/>
    <mergeCell ref="AA9:AA1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C0D97-7204-49AD-9983-B91BC72267FE}">
  <sheetPr codeName="Sheet11"/>
  <dimension ref="A1:A9"/>
  <sheetViews>
    <sheetView workbookViewId="0"/>
  </sheetViews>
  <sheetFormatPr defaultRowHeight="14.5" x14ac:dyDescent="0.35"/>
  <cols>
    <col min="1" max="1" width="29" bestFit="1" customWidth="1"/>
  </cols>
  <sheetData>
    <row r="1" spans="1:1" x14ac:dyDescent="0.35">
      <c r="A1" t="s">
        <v>7</v>
      </c>
    </row>
    <row r="2" spans="1:1" x14ac:dyDescent="0.35">
      <c r="A2" t="s">
        <v>50</v>
      </c>
    </row>
    <row r="3" spans="1:1" x14ac:dyDescent="0.35">
      <c r="A3" t="s">
        <v>269</v>
      </c>
    </row>
    <row r="4" spans="1:1" x14ac:dyDescent="0.35">
      <c r="A4" t="s">
        <v>0</v>
      </c>
    </row>
    <row r="5" spans="1:1" x14ac:dyDescent="0.35">
      <c r="A5" t="s">
        <v>52</v>
      </c>
    </row>
    <row r="6" spans="1:1" x14ac:dyDescent="0.35">
      <c r="A6" t="s">
        <v>53</v>
      </c>
    </row>
    <row r="7" spans="1:1" x14ac:dyDescent="0.35">
      <c r="A7" t="s">
        <v>40</v>
      </c>
    </row>
    <row r="8" spans="1:1" x14ac:dyDescent="0.35">
      <c r="A8" t="s">
        <v>268</v>
      </c>
    </row>
    <row r="9" spans="1:1" x14ac:dyDescent="0.35">
      <c r="A9" t="s">
        <v>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F4956-1B19-48D0-A5CD-897EBF53E047}">
  <sheetPr codeName="Sheet10"/>
  <dimension ref="A1:J141"/>
  <sheetViews>
    <sheetView workbookViewId="0">
      <selection sqref="A1:J1"/>
    </sheetView>
  </sheetViews>
  <sheetFormatPr defaultRowHeight="10" x14ac:dyDescent="0.2"/>
  <cols>
    <col min="1" max="1" width="11.7265625" style="1" bestFit="1" customWidth="1"/>
    <col min="2" max="2" width="5.90625" style="1" bestFit="1" customWidth="1"/>
    <col min="3" max="3" width="8.08984375" style="1" bestFit="1" customWidth="1"/>
    <col min="4" max="4" width="14.7265625" style="1" bestFit="1" customWidth="1"/>
    <col min="5" max="5" width="17.36328125" style="1" bestFit="1" customWidth="1"/>
    <col min="6" max="6" width="4.7265625" style="1" bestFit="1" customWidth="1"/>
    <col min="7" max="7" width="61.1796875" style="1" bestFit="1" customWidth="1"/>
    <col min="8" max="8" width="9.36328125" style="1" bestFit="1" customWidth="1"/>
    <col min="9" max="9" width="14.1796875" style="1" bestFit="1" customWidth="1"/>
    <col min="10" max="10" width="11.36328125" style="1" bestFit="1" customWidth="1"/>
    <col min="11" max="16384" width="8.7265625" style="1"/>
  </cols>
  <sheetData>
    <row r="1" spans="1:10" x14ac:dyDescent="0.2">
      <c r="A1" s="27" t="s">
        <v>3</v>
      </c>
      <c r="B1" s="27" t="s">
        <v>4</v>
      </c>
      <c r="C1" s="27" t="s">
        <v>5</v>
      </c>
      <c r="D1" s="27" t="s">
        <v>6</v>
      </c>
      <c r="E1" s="27" t="s">
        <v>7</v>
      </c>
      <c r="F1" s="27" t="s">
        <v>8</v>
      </c>
      <c r="G1" s="27" t="s">
        <v>9</v>
      </c>
      <c r="H1" s="32" t="s">
        <v>10</v>
      </c>
      <c r="I1" s="27" t="s">
        <v>11</v>
      </c>
      <c r="J1" s="27" t="s">
        <v>12</v>
      </c>
    </row>
    <row r="2" spans="1:10" x14ac:dyDescent="0.2">
      <c r="A2" s="17"/>
      <c r="B2" s="28" t="s">
        <v>196</v>
      </c>
      <c r="C2" s="29">
        <v>44592</v>
      </c>
      <c r="D2" s="28" t="s">
        <v>300</v>
      </c>
      <c r="E2" s="28" t="s">
        <v>0</v>
      </c>
      <c r="F2" s="28" t="s">
        <v>18</v>
      </c>
      <c r="G2" s="28" t="s">
        <v>197</v>
      </c>
      <c r="H2" s="10">
        <v>135200.46260728771</v>
      </c>
      <c r="I2" s="28" t="s">
        <v>21</v>
      </c>
      <c r="J2" s="28" t="s">
        <v>188</v>
      </c>
    </row>
    <row r="3" spans="1:10" x14ac:dyDescent="0.2">
      <c r="A3" s="17"/>
      <c r="B3" s="28" t="s">
        <v>196</v>
      </c>
      <c r="C3" s="29">
        <v>44620</v>
      </c>
      <c r="D3" s="28" t="s">
        <v>301</v>
      </c>
      <c r="E3" s="28" t="s">
        <v>0</v>
      </c>
      <c r="F3" s="28" t="s">
        <v>18</v>
      </c>
      <c r="G3" s="28" t="s">
        <v>197</v>
      </c>
      <c r="H3" s="10">
        <v>75569.5399032157</v>
      </c>
      <c r="I3" s="28" t="s">
        <v>21</v>
      </c>
      <c r="J3" s="28" t="s">
        <v>188</v>
      </c>
    </row>
    <row r="4" spans="1:10" x14ac:dyDescent="0.2">
      <c r="A4" s="17"/>
      <c r="B4" s="28" t="s">
        <v>196</v>
      </c>
      <c r="C4" s="29">
        <v>44648</v>
      </c>
      <c r="D4" s="28" t="s">
        <v>302</v>
      </c>
      <c r="E4" s="28" t="s">
        <v>40</v>
      </c>
      <c r="F4" s="28" t="s">
        <v>18</v>
      </c>
      <c r="G4" s="28" t="s">
        <v>197</v>
      </c>
      <c r="H4" s="10">
        <v>11305.109198195427</v>
      </c>
      <c r="I4" s="28" t="s">
        <v>38</v>
      </c>
      <c r="J4" s="28" t="s">
        <v>24</v>
      </c>
    </row>
    <row r="5" spans="1:10" x14ac:dyDescent="0.2">
      <c r="A5" s="17"/>
      <c r="B5" s="28" t="s">
        <v>196</v>
      </c>
      <c r="C5" s="29">
        <v>44651</v>
      </c>
      <c r="D5" s="28" t="s">
        <v>303</v>
      </c>
      <c r="E5" s="28" t="s">
        <v>0</v>
      </c>
      <c r="F5" s="28" t="s">
        <v>18</v>
      </c>
      <c r="G5" s="28" t="s">
        <v>197</v>
      </c>
      <c r="H5" s="10">
        <v>87076.223143722178</v>
      </c>
      <c r="I5" s="28" t="s">
        <v>36</v>
      </c>
      <c r="J5" s="28" t="s">
        <v>188</v>
      </c>
    </row>
    <row r="6" spans="1:10" x14ac:dyDescent="0.2">
      <c r="A6" s="17"/>
      <c r="B6" s="28" t="s">
        <v>196</v>
      </c>
      <c r="C6" s="29">
        <v>44681</v>
      </c>
      <c r="D6" s="28" t="s">
        <v>304</v>
      </c>
      <c r="E6" s="28" t="s">
        <v>0</v>
      </c>
      <c r="F6" s="28" t="s">
        <v>18</v>
      </c>
      <c r="G6" s="28" t="s">
        <v>197</v>
      </c>
      <c r="H6" s="10">
        <v>82264.378176926839</v>
      </c>
      <c r="I6" s="28" t="s">
        <v>36</v>
      </c>
      <c r="J6" s="28" t="s">
        <v>188</v>
      </c>
    </row>
    <row r="7" spans="1:10" x14ac:dyDescent="0.2">
      <c r="A7" s="17"/>
      <c r="B7" s="28" t="s">
        <v>196</v>
      </c>
      <c r="C7" s="29">
        <v>44685</v>
      </c>
      <c r="D7" s="28" t="s">
        <v>305</v>
      </c>
      <c r="E7" s="28" t="s">
        <v>40</v>
      </c>
      <c r="F7" s="28" t="s">
        <v>18</v>
      </c>
      <c r="G7" s="28" t="s">
        <v>197</v>
      </c>
      <c r="H7" s="10">
        <v>79883.196171327567</v>
      </c>
      <c r="I7" s="28" t="s">
        <v>35</v>
      </c>
      <c r="J7" s="28" t="s">
        <v>20</v>
      </c>
    </row>
    <row r="8" spans="1:10" x14ac:dyDescent="0.2">
      <c r="A8" s="17"/>
      <c r="B8" s="28" t="s">
        <v>196</v>
      </c>
      <c r="C8" s="29">
        <v>44699</v>
      </c>
      <c r="D8" s="28" t="s">
        <v>306</v>
      </c>
      <c r="E8" s="28" t="s">
        <v>0</v>
      </c>
      <c r="F8" s="28" t="s">
        <v>18</v>
      </c>
      <c r="G8" s="28" t="s">
        <v>197</v>
      </c>
      <c r="H8" s="10">
        <v>70833.400720880818</v>
      </c>
      <c r="I8" s="28" t="s">
        <v>27</v>
      </c>
      <c r="J8" s="28" t="s">
        <v>24</v>
      </c>
    </row>
    <row r="9" spans="1:10" x14ac:dyDescent="0.2">
      <c r="A9" s="17"/>
      <c r="B9" s="28" t="s">
        <v>196</v>
      </c>
      <c r="C9" s="29">
        <v>44712</v>
      </c>
      <c r="D9" s="28" t="s">
        <v>307</v>
      </c>
      <c r="E9" s="28" t="s">
        <v>0</v>
      </c>
      <c r="F9" s="28" t="s">
        <v>18</v>
      </c>
      <c r="G9" s="28" t="s">
        <v>197</v>
      </c>
      <c r="H9" s="10">
        <v>73759.145591978595</v>
      </c>
      <c r="I9" s="28" t="s">
        <v>36</v>
      </c>
      <c r="J9" s="28" t="s">
        <v>188</v>
      </c>
    </row>
    <row r="10" spans="1:10" x14ac:dyDescent="0.2">
      <c r="A10" s="17"/>
      <c r="B10" s="28" t="s">
        <v>196</v>
      </c>
      <c r="C10" s="29">
        <v>44721</v>
      </c>
      <c r="D10" s="28" t="s">
        <v>308</v>
      </c>
      <c r="E10" s="28" t="s">
        <v>40</v>
      </c>
      <c r="F10" s="28" t="s">
        <v>18</v>
      </c>
      <c r="G10" s="28" t="s">
        <v>197</v>
      </c>
      <c r="H10" s="10">
        <v>19578.707327755808</v>
      </c>
      <c r="I10" s="28" t="s">
        <v>35</v>
      </c>
      <c r="J10" s="28" t="s">
        <v>22</v>
      </c>
    </row>
    <row r="11" spans="1:10" x14ac:dyDescent="0.2">
      <c r="A11" s="17"/>
      <c r="B11" s="28" t="s">
        <v>196</v>
      </c>
      <c r="C11" s="29">
        <v>44721</v>
      </c>
      <c r="D11" s="28" t="s">
        <v>308</v>
      </c>
      <c r="E11" s="28" t="s">
        <v>40</v>
      </c>
      <c r="F11" s="28" t="s">
        <v>18</v>
      </c>
      <c r="G11" s="28" t="s">
        <v>197</v>
      </c>
      <c r="H11" s="10">
        <v>62033.989957825775</v>
      </c>
      <c r="I11" s="28" t="s">
        <v>35</v>
      </c>
      <c r="J11" s="28" t="s">
        <v>20</v>
      </c>
    </row>
    <row r="12" spans="1:10" x14ac:dyDescent="0.2">
      <c r="A12" s="17"/>
      <c r="B12" s="28" t="s">
        <v>196</v>
      </c>
      <c r="C12" s="29">
        <v>44733</v>
      </c>
      <c r="D12" s="28" t="s">
        <v>309</v>
      </c>
      <c r="E12" s="28" t="s">
        <v>53</v>
      </c>
      <c r="F12" s="28" t="s">
        <v>18</v>
      </c>
      <c r="G12" s="28" t="s">
        <v>197</v>
      </c>
      <c r="H12" s="10">
        <v>9621.8857922708503</v>
      </c>
      <c r="I12" s="28" t="s">
        <v>27</v>
      </c>
      <c r="J12" s="28" t="s">
        <v>24</v>
      </c>
    </row>
    <row r="13" spans="1:10" x14ac:dyDescent="0.2">
      <c r="A13" s="17"/>
      <c r="B13" s="28" t="s">
        <v>196</v>
      </c>
      <c r="C13" s="29">
        <v>44742</v>
      </c>
      <c r="D13" s="28" t="s">
        <v>310</v>
      </c>
      <c r="E13" s="28" t="s">
        <v>0</v>
      </c>
      <c r="F13" s="28" t="s">
        <v>18</v>
      </c>
      <c r="G13" s="28" t="s">
        <v>197</v>
      </c>
      <c r="H13" s="10">
        <v>61914.834265610414</v>
      </c>
      <c r="I13" s="28" t="s">
        <v>36</v>
      </c>
      <c r="J13" s="28" t="s">
        <v>188</v>
      </c>
    </row>
    <row r="14" spans="1:10" x14ac:dyDescent="0.2">
      <c r="A14" s="17"/>
      <c r="B14" s="28" t="s">
        <v>196</v>
      </c>
      <c r="C14" s="29">
        <v>44747</v>
      </c>
      <c r="D14" s="28" t="s">
        <v>311</v>
      </c>
      <c r="E14" s="28" t="s">
        <v>268</v>
      </c>
      <c r="F14" s="28" t="s">
        <v>18</v>
      </c>
      <c r="G14" s="28" t="s">
        <v>197</v>
      </c>
      <c r="H14" s="10">
        <v>282.2598481687557</v>
      </c>
      <c r="I14" s="28" t="s">
        <v>21</v>
      </c>
      <c r="J14" s="28" t="s">
        <v>22</v>
      </c>
    </row>
    <row r="15" spans="1:10" x14ac:dyDescent="0.2">
      <c r="A15" s="17"/>
      <c r="B15" s="28" t="s">
        <v>196</v>
      </c>
      <c r="C15" s="29">
        <v>44747</v>
      </c>
      <c r="D15" s="28" t="s">
        <v>311</v>
      </c>
      <c r="E15" s="28" t="s">
        <v>268</v>
      </c>
      <c r="F15" s="28" t="s">
        <v>18</v>
      </c>
      <c r="G15" s="28" t="s">
        <v>197</v>
      </c>
      <c r="H15" s="10">
        <v>303.06589455793119</v>
      </c>
      <c r="I15" s="28" t="s">
        <v>21</v>
      </c>
      <c r="J15" s="28" t="s">
        <v>33</v>
      </c>
    </row>
    <row r="16" spans="1:10" x14ac:dyDescent="0.2">
      <c r="A16" s="17"/>
      <c r="B16" s="28" t="s">
        <v>196</v>
      </c>
      <c r="C16" s="29">
        <v>44749</v>
      </c>
      <c r="D16" s="28" t="s">
        <v>312</v>
      </c>
      <c r="E16" s="28" t="s">
        <v>268</v>
      </c>
      <c r="F16" s="28" t="s">
        <v>18</v>
      </c>
      <c r="G16" s="28" t="s">
        <v>197</v>
      </c>
      <c r="H16" s="10">
        <v>670.45902086178728</v>
      </c>
      <c r="I16" s="28" t="s">
        <v>23</v>
      </c>
      <c r="J16" s="28" t="s">
        <v>202</v>
      </c>
    </row>
    <row r="17" spans="1:10" x14ac:dyDescent="0.2">
      <c r="A17" s="17"/>
      <c r="B17" s="28" t="s">
        <v>196</v>
      </c>
      <c r="C17" s="29">
        <v>44749</v>
      </c>
      <c r="D17" s="28" t="s">
        <v>313</v>
      </c>
      <c r="E17" s="28" t="s">
        <v>268</v>
      </c>
      <c r="F17" s="28" t="s">
        <v>18</v>
      </c>
      <c r="G17" s="28" t="s">
        <v>197</v>
      </c>
      <c r="H17" s="10">
        <v>527.60376712099594</v>
      </c>
      <c r="I17" s="28" t="s">
        <v>27</v>
      </c>
      <c r="J17" s="28" t="s">
        <v>24</v>
      </c>
    </row>
    <row r="18" spans="1:10" x14ac:dyDescent="0.2">
      <c r="A18" s="17"/>
      <c r="B18" s="28" t="s">
        <v>196</v>
      </c>
      <c r="C18" s="29">
        <v>44749</v>
      </c>
      <c r="D18" s="28" t="s">
        <v>313</v>
      </c>
      <c r="E18" s="28" t="s">
        <v>268</v>
      </c>
      <c r="F18" s="28" t="s">
        <v>18</v>
      </c>
      <c r="G18" s="28" t="s">
        <v>197</v>
      </c>
      <c r="H18" s="10">
        <v>1893.7790015662683</v>
      </c>
      <c r="I18" s="28" t="s">
        <v>27</v>
      </c>
      <c r="J18" s="28" t="s">
        <v>28</v>
      </c>
    </row>
    <row r="19" spans="1:10" x14ac:dyDescent="0.2">
      <c r="A19" s="17"/>
      <c r="B19" s="28" t="s">
        <v>196</v>
      </c>
      <c r="C19" s="29">
        <v>44750</v>
      </c>
      <c r="D19" s="28" t="s">
        <v>314</v>
      </c>
      <c r="E19" s="28" t="s">
        <v>268</v>
      </c>
      <c r="F19" s="28" t="s">
        <v>18</v>
      </c>
      <c r="G19" s="28" t="s">
        <v>197</v>
      </c>
      <c r="H19" s="10">
        <v>188.66326657113012</v>
      </c>
      <c r="I19" s="28" t="s">
        <v>21</v>
      </c>
      <c r="J19" s="28" t="s">
        <v>22</v>
      </c>
    </row>
    <row r="20" spans="1:10" x14ac:dyDescent="0.2">
      <c r="A20" s="17"/>
      <c r="B20" s="28" t="s">
        <v>196</v>
      </c>
      <c r="C20" s="29">
        <v>44750</v>
      </c>
      <c r="D20" s="28" t="s">
        <v>315</v>
      </c>
      <c r="E20" s="28" t="s">
        <v>268</v>
      </c>
      <c r="F20" s="28" t="s">
        <v>18</v>
      </c>
      <c r="G20" s="28" t="s">
        <v>197</v>
      </c>
      <c r="H20" s="10">
        <v>972.92258139765693</v>
      </c>
      <c r="I20" s="28" t="s">
        <v>21</v>
      </c>
      <c r="J20" s="28" t="s">
        <v>20</v>
      </c>
    </row>
    <row r="21" spans="1:10" x14ac:dyDescent="0.2">
      <c r="A21" s="17"/>
      <c r="B21" s="28" t="s">
        <v>196</v>
      </c>
      <c r="C21" s="29">
        <v>44750</v>
      </c>
      <c r="D21" s="28" t="s">
        <v>314</v>
      </c>
      <c r="E21" s="28" t="s">
        <v>268</v>
      </c>
      <c r="F21" s="28" t="s">
        <v>18</v>
      </c>
      <c r="G21" s="28" t="s">
        <v>197</v>
      </c>
      <c r="H21" s="10">
        <v>45.481323191254582</v>
      </c>
      <c r="I21" s="28" t="s">
        <v>27</v>
      </c>
      <c r="J21" s="28" t="s">
        <v>24</v>
      </c>
    </row>
    <row r="22" spans="1:10" x14ac:dyDescent="0.2">
      <c r="A22" s="17"/>
      <c r="B22" s="28" t="s">
        <v>196</v>
      </c>
      <c r="C22" s="29">
        <v>44750</v>
      </c>
      <c r="D22" s="28" t="s">
        <v>315</v>
      </c>
      <c r="E22" s="28" t="s">
        <v>268</v>
      </c>
      <c r="F22" s="28" t="s">
        <v>18</v>
      </c>
      <c r="G22" s="28" t="s">
        <v>197</v>
      </c>
      <c r="H22" s="10">
        <v>42.8780151298023</v>
      </c>
      <c r="I22" s="28" t="s">
        <v>21</v>
      </c>
      <c r="J22" s="28" t="s">
        <v>31</v>
      </c>
    </row>
    <row r="23" spans="1:10" x14ac:dyDescent="0.2">
      <c r="A23" s="17"/>
      <c r="B23" s="28" t="s">
        <v>196</v>
      </c>
      <c r="C23" s="29">
        <v>44750</v>
      </c>
      <c r="D23" s="28" t="s">
        <v>315</v>
      </c>
      <c r="E23" s="28" t="s">
        <v>268</v>
      </c>
      <c r="F23" s="28" t="s">
        <v>18</v>
      </c>
      <c r="G23" s="28" t="s">
        <v>197</v>
      </c>
      <c r="H23" s="10">
        <v>916.77279968005871</v>
      </c>
      <c r="I23" s="28" t="s">
        <v>27</v>
      </c>
      <c r="J23" s="28" t="s">
        <v>28</v>
      </c>
    </row>
    <row r="24" spans="1:10" x14ac:dyDescent="0.2">
      <c r="A24" s="17"/>
      <c r="B24" s="28" t="s">
        <v>196</v>
      </c>
      <c r="C24" s="29">
        <v>44750</v>
      </c>
      <c r="D24" s="28" t="s">
        <v>315</v>
      </c>
      <c r="E24" s="28" t="s">
        <v>268</v>
      </c>
      <c r="F24" s="28" t="s">
        <v>18</v>
      </c>
      <c r="G24" s="28" t="s">
        <v>197</v>
      </c>
      <c r="H24" s="10">
        <v>1895.8208118105445</v>
      </c>
      <c r="I24" s="28" t="s">
        <v>21</v>
      </c>
      <c r="J24" s="28" t="s">
        <v>29</v>
      </c>
    </row>
    <row r="25" spans="1:10" x14ac:dyDescent="0.2">
      <c r="A25" s="17"/>
      <c r="B25" s="28" t="s">
        <v>196</v>
      </c>
      <c r="C25" s="29">
        <v>44750</v>
      </c>
      <c r="D25" s="28" t="s">
        <v>315</v>
      </c>
      <c r="E25" s="28" t="s">
        <v>268</v>
      </c>
      <c r="F25" s="28" t="s">
        <v>18</v>
      </c>
      <c r="G25" s="28" t="s">
        <v>197</v>
      </c>
      <c r="H25" s="10">
        <v>765.67884160361245</v>
      </c>
      <c r="I25" s="28" t="s">
        <v>21</v>
      </c>
      <c r="J25" s="28" t="s">
        <v>33</v>
      </c>
    </row>
    <row r="26" spans="1:10" x14ac:dyDescent="0.2">
      <c r="A26" s="17"/>
      <c r="B26" s="28" t="s">
        <v>196</v>
      </c>
      <c r="C26" s="29">
        <v>44750</v>
      </c>
      <c r="D26" s="28" t="s">
        <v>314</v>
      </c>
      <c r="E26" s="28" t="s">
        <v>268</v>
      </c>
      <c r="F26" s="28" t="s">
        <v>18</v>
      </c>
      <c r="G26" s="28" t="s">
        <v>197</v>
      </c>
      <c r="H26" s="10">
        <v>70.04430042989847</v>
      </c>
      <c r="I26" s="28" t="s">
        <v>21</v>
      </c>
      <c r="J26" s="28" t="s">
        <v>26</v>
      </c>
    </row>
    <row r="27" spans="1:10" x14ac:dyDescent="0.2">
      <c r="A27" s="17"/>
      <c r="B27" s="28" t="s">
        <v>196</v>
      </c>
      <c r="C27" s="29">
        <v>44750</v>
      </c>
      <c r="D27" s="28" t="s">
        <v>314</v>
      </c>
      <c r="E27" s="28" t="s">
        <v>268</v>
      </c>
      <c r="F27" s="28" t="s">
        <v>18</v>
      </c>
      <c r="G27" s="28" t="s">
        <v>197</v>
      </c>
      <c r="H27" s="10">
        <v>926.20596300861519</v>
      </c>
      <c r="I27" s="28" t="s">
        <v>21</v>
      </c>
      <c r="J27" s="28" t="s">
        <v>29</v>
      </c>
    </row>
    <row r="28" spans="1:10" x14ac:dyDescent="0.2">
      <c r="A28" s="17"/>
      <c r="B28" s="28" t="s">
        <v>196</v>
      </c>
      <c r="C28" s="29">
        <v>44751</v>
      </c>
      <c r="D28" s="28" t="s">
        <v>316</v>
      </c>
      <c r="E28" s="28" t="s">
        <v>268</v>
      </c>
      <c r="F28" s="28" t="s">
        <v>18</v>
      </c>
      <c r="G28" s="28" t="s">
        <v>197</v>
      </c>
      <c r="H28" s="10">
        <v>117.12844466290996</v>
      </c>
      <c r="I28" s="28" t="s">
        <v>23</v>
      </c>
      <c r="J28" s="28" t="s">
        <v>188</v>
      </c>
    </row>
    <row r="29" spans="1:10" x14ac:dyDescent="0.2">
      <c r="A29" s="17"/>
      <c r="B29" s="28" t="s">
        <v>196</v>
      </c>
      <c r="C29" s="29">
        <v>44751</v>
      </c>
      <c r="D29" s="28" t="s">
        <v>317</v>
      </c>
      <c r="E29" s="28" t="s">
        <v>268</v>
      </c>
      <c r="F29" s="28" t="s">
        <v>18</v>
      </c>
      <c r="G29" s="28" t="s">
        <v>197</v>
      </c>
      <c r="H29" s="10">
        <v>1034.5750417235797</v>
      </c>
      <c r="I29" s="28" t="s">
        <v>21</v>
      </c>
      <c r="J29" s="28" t="s">
        <v>37</v>
      </c>
    </row>
    <row r="30" spans="1:10" x14ac:dyDescent="0.2">
      <c r="A30" s="17"/>
      <c r="B30" s="28" t="s">
        <v>196</v>
      </c>
      <c r="C30" s="29">
        <v>44751</v>
      </c>
      <c r="D30" s="28" t="s">
        <v>318</v>
      </c>
      <c r="E30" s="28" t="s">
        <v>268</v>
      </c>
      <c r="F30" s="28" t="s">
        <v>18</v>
      </c>
      <c r="G30" s="28" t="s">
        <v>197</v>
      </c>
      <c r="H30" s="10">
        <v>2558.6945076148454</v>
      </c>
      <c r="I30" s="28" t="s">
        <v>23</v>
      </c>
      <c r="J30" s="28" t="s">
        <v>24</v>
      </c>
    </row>
    <row r="31" spans="1:10" x14ac:dyDescent="0.2">
      <c r="A31" s="17"/>
      <c r="B31" s="28" t="s">
        <v>196</v>
      </c>
      <c r="C31" s="29">
        <v>44751</v>
      </c>
      <c r="D31" s="28" t="s">
        <v>319</v>
      </c>
      <c r="E31" s="28" t="s">
        <v>268</v>
      </c>
      <c r="F31" s="28" t="s">
        <v>18</v>
      </c>
      <c r="G31" s="28" t="s">
        <v>197</v>
      </c>
      <c r="H31" s="10">
        <v>229.84657919818309</v>
      </c>
      <c r="I31" s="28" t="s">
        <v>23</v>
      </c>
      <c r="J31" s="28" t="s">
        <v>28</v>
      </c>
    </row>
    <row r="32" spans="1:10" x14ac:dyDescent="0.2">
      <c r="A32" s="17"/>
      <c r="B32" s="28" t="s">
        <v>196</v>
      </c>
      <c r="C32" s="29">
        <v>44751</v>
      </c>
      <c r="D32" s="28" t="s">
        <v>319</v>
      </c>
      <c r="E32" s="28" t="s">
        <v>268</v>
      </c>
      <c r="F32" s="28" t="s">
        <v>18</v>
      </c>
      <c r="G32" s="28" t="s">
        <v>197</v>
      </c>
      <c r="H32" s="10">
        <v>182.14989189188873</v>
      </c>
      <c r="I32" s="28" t="s">
        <v>23</v>
      </c>
      <c r="J32" s="28" t="s">
        <v>25</v>
      </c>
    </row>
    <row r="33" spans="1:10" x14ac:dyDescent="0.2">
      <c r="A33" s="17"/>
      <c r="B33" s="28" t="s">
        <v>196</v>
      </c>
      <c r="C33" s="29">
        <v>44751</v>
      </c>
      <c r="D33" s="28" t="s">
        <v>317</v>
      </c>
      <c r="E33" s="28" t="s">
        <v>268</v>
      </c>
      <c r="F33" s="28" t="s">
        <v>18</v>
      </c>
      <c r="G33" s="28" t="s">
        <v>197</v>
      </c>
      <c r="H33" s="10">
        <v>57.26256830072883</v>
      </c>
      <c r="I33" s="28" t="s">
        <v>21</v>
      </c>
      <c r="J33" s="28" t="s">
        <v>22</v>
      </c>
    </row>
    <row r="34" spans="1:10" x14ac:dyDescent="0.2">
      <c r="A34" s="17"/>
      <c r="B34" s="28" t="s">
        <v>196</v>
      </c>
      <c r="C34" s="29">
        <v>44751</v>
      </c>
      <c r="D34" s="28" t="s">
        <v>320</v>
      </c>
      <c r="E34" s="28" t="s">
        <v>268</v>
      </c>
      <c r="F34" s="28" t="s">
        <v>18</v>
      </c>
      <c r="G34" s="28" t="s">
        <v>197</v>
      </c>
      <c r="H34" s="10">
        <v>61.07054440630413</v>
      </c>
      <c r="I34" s="28" t="s">
        <v>23</v>
      </c>
      <c r="J34" s="28" t="s">
        <v>201</v>
      </c>
    </row>
    <row r="35" spans="1:10" x14ac:dyDescent="0.2">
      <c r="A35" s="17"/>
      <c r="B35" s="28" t="s">
        <v>196</v>
      </c>
      <c r="C35" s="29">
        <v>44751</v>
      </c>
      <c r="D35" s="28" t="s">
        <v>321</v>
      </c>
      <c r="E35" s="28" t="s">
        <v>268</v>
      </c>
      <c r="F35" s="28" t="s">
        <v>18</v>
      </c>
      <c r="G35" s="28" t="s">
        <v>197</v>
      </c>
      <c r="H35" s="10">
        <v>268.90640917118873</v>
      </c>
      <c r="I35" s="28" t="s">
        <v>23</v>
      </c>
      <c r="J35" s="28" t="s">
        <v>41</v>
      </c>
    </row>
    <row r="36" spans="1:10" x14ac:dyDescent="0.2">
      <c r="A36" s="17"/>
      <c r="B36" s="28" t="s">
        <v>196</v>
      </c>
      <c r="C36" s="29">
        <v>44751</v>
      </c>
      <c r="D36" s="28" t="s">
        <v>316</v>
      </c>
      <c r="E36" s="28" t="s">
        <v>268</v>
      </c>
      <c r="F36" s="28" t="s">
        <v>18</v>
      </c>
      <c r="G36" s="28" t="s">
        <v>197</v>
      </c>
      <c r="H36" s="10">
        <v>1655.3874464957889</v>
      </c>
      <c r="I36" s="28" t="s">
        <v>21</v>
      </c>
      <c r="J36" s="28" t="s">
        <v>33</v>
      </c>
    </row>
    <row r="37" spans="1:10" x14ac:dyDescent="0.2">
      <c r="A37" s="17"/>
      <c r="B37" s="28" t="s">
        <v>196</v>
      </c>
      <c r="C37" s="29">
        <v>44751</v>
      </c>
      <c r="D37" s="28" t="s">
        <v>322</v>
      </c>
      <c r="E37" s="28" t="s">
        <v>268</v>
      </c>
      <c r="F37" s="28" t="s">
        <v>18</v>
      </c>
      <c r="G37" s="28" t="s">
        <v>197</v>
      </c>
      <c r="H37" s="10">
        <v>1915.2588453360549</v>
      </c>
      <c r="I37" s="28" t="s">
        <v>23</v>
      </c>
      <c r="J37" s="28" t="s">
        <v>20</v>
      </c>
    </row>
    <row r="38" spans="1:10" x14ac:dyDescent="0.2">
      <c r="A38" s="17"/>
      <c r="B38" s="28" t="s">
        <v>196</v>
      </c>
      <c r="C38" s="29">
        <v>44751</v>
      </c>
      <c r="D38" s="28" t="s">
        <v>320</v>
      </c>
      <c r="E38" s="28" t="s">
        <v>268</v>
      </c>
      <c r="F38" s="28" t="s">
        <v>18</v>
      </c>
      <c r="G38" s="28" t="s">
        <v>197</v>
      </c>
      <c r="H38" s="10">
        <v>47.012680874461807</v>
      </c>
      <c r="I38" s="28" t="s">
        <v>23</v>
      </c>
      <c r="J38" s="28" t="s">
        <v>28</v>
      </c>
    </row>
    <row r="39" spans="1:10" x14ac:dyDescent="0.2">
      <c r="A39" s="17"/>
      <c r="B39" s="28" t="s">
        <v>196</v>
      </c>
      <c r="C39" s="29">
        <v>44751</v>
      </c>
      <c r="D39" s="28" t="s">
        <v>317</v>
      </c>
      <c r="E39" s="28" t="s">
        <v>268</v>
      </c>
      <c r="F39" s="28" t="s">
        <v>18</v>
      </c>
      <c r="G39" s="28" t="s">
        <v>197</v>
      </c>
      <c r="H39" s="10">
        <v>361.45145849301201</v>
      </c>
      <c r="I39" s="28" t="s">
        <v>21</v>
      </c>
      <c r="J39" s="28" t="s">
        <v>20</v>
      </c>
    </row>
    <row r="40" spans="1:10" x14ac:dyDescent="0.2">
      <c r="A40" s="17"/>
      <c r="B40" s="28" t="s">
        <v>196</v>
      </c>
      <c r="C40" s="29">
        <v>44751</v>
      </c>
      <c r="D40" s="28" t="s">
        <v>320</v>
      </c>
      <c r="E40" s="28" t="s">
        <v>268</v>
      </c>
      <c r="F40" s="28" t="s">
        <v>18</v>
      </c>
      <c r="G40" s="28" t="s">
        <v>197</v>
      </c>
      <c r="H40" s="10">
        <v>449.41264381643504</v>
      </c>
      <c r="I40" s="28" t="s">
        <v>23</v>
      </c>
      <c r="J40" s="28" t="s">
        <v>26</v>
      </c>
    </row>
    <row r="41" spans="1:10" x14ac:dyDescent="0.2">
      <c r="A41" s="17"/>
      <c r="B41" s="28" t="s">
        <v>196</v>
      </c>
      <c r="C41" s="29">
        <v>44751</v>
      </c>
      <c r="D41" s="28" t="s">
        <v>323</v>
      </c>
      <c r="E41" s="28" t="s">
        <v>268</v>
      </c>
      <c r="F41" s="28" t="s">
        <v>18</v>
      </c>
      <c r="G41" s="28" t="s">
        <v>197</v>
      </c>
      <c r="H41" s="10">
        <v>851.38382660711022</v>
      </c>
      <c r="I41" s="28" t="s">
        <v>23</v>
      </c>
      <c r="J41" s="28" t="s">
        <v>188</v>
      </c>
    </row>
    <row r="42" spans="1:10" x14ac:dyDescent="0.2">
      <c r="A42" s="17"/>
      <c r="B42" s="28" t="s">
        <v>196</v>
      </c>
      <c r="C42" s="29">
        <v>44751</v>
      </c>
      <c r="D42" s="28" t="s">
        <v>323</v>
      </c>
      <c r="E42" s="28" t="s">
        <v>268</v>
      </c>
      <c r="F42" s="28" t="s">
        <v>18</v>
      </c>
      <c r="G42" s="28" t="s">
        <v>197</v>
      </c>
      <c r="H42" s="10">
        <v>654.28788372711892</v>
      </c>
      <c r="I42" s="28" t="s">
        <v>23</v>
      </c>
      <c r="J42" s="28" t="s">
        <v>20</v>
      </c>
    </row>
    <row r="43" spans="1:10" x14ac:dyDescent="0.2">
      <c r="A43" s="17"/>
      <c r="B43" s="28" t="s">
        <v>196</v>
      </c>
      <c r="C43" s="29">
        <v>44751</v>
      </c>
      <c r="D43" s="28" t="s">
        <v>324</v>
      </c>
      <c r="E43" s="28" t="s">
        <v>268</v>
      </c>
      <c r="F43" s="28" t="s">
        <v>18</v>
      </c>
      <c r="G43" s="28" t="s">
        <v>197</v>
      </c>
      <c r="H43" s="10">
        <v>672.24560482552897</v>
      </c>
      <c r="I43" s="28" t="s">
        <v>23</v>
      </c>
      <c r="J43" s="28" t="s">
        <v>188</v>
      </c>
    </row>
    <row r="44" spans="1:10" x14ac:dyDescent="0.2">
      <c r="A44" s="17"/>
      <c r="B44" s="28" t="s">
        <v>196</v>
      </c>
      <c r="C44" s="29">
        <v>44751</v>
      </c>
      <c r="D44" s="28" t="s">
        <v>317</v>
      </c>
      <c r="E44" s="28" t="s">
        <v>268</v>
      </c>
      <c r="F44" s="28" t="s">
        <v>18</v>
      </c>
      <c r="G44" s="28" t="s">
        <v>197</v>
      </c>
      <c r="H44" s="10">
        <v>42.387980671175988</v>
      </c>
      <c r="I44" s="28" t="s">
        <v>21</v>
      </c>
      <c r="J44" s="28" t="s">
        <v>200</v>
      </c>
    </row>
    <row r="45" spans="1:10" x14ac:dyDescent="0.2">
      <c r="A45" s="17"/>
      <c r="B45" s="28" t="s">
        <v>196</v>
      </c>
      <c r="C45" s="29">
        <v>44751</v>
      </c>
      <c r="D45" s="28" t="s">
        <v>316</v>
      </c>
      <c r="E45" s="28" t="s">
        <v>268</v>
      </c>
      <c r="F45" s="28" t="s">
        <v>18</v>
      </c>
      <c r="G45" s="28" t="s">
        <v>197</v>
      </c>
      <c r="H45" s="10">
        <v>255.87965981270591</v>
      </c>
      <c r="I45" s="28" t="s">
        <v>21</v>
      </c>
      <c r="J45" s="28" t="s">
        <v>31</v>
      </c>
    </row>
    <row r="46" spans="1:10" x14ac:dyDescent="0.2">
      <c r="A46" s="17"/>
      <c r="B46" s="28" t="s">
        <v>196</v>
      </c>
      <c r="C46" s="29">
        <v>44751</v>
      </c>
      <c r="D46" s="28" t="s">
        <v>321</v>
      </c>
      <c r="E46" s="28" t="s">
        <v>268</v>
      </c>
      <c r="F46" s="28" t="s">
        <v>18</v>
      </c>
      <c r="G46" s="28" t="s">
        <v>197</v>
      </c>
      <c r="H46" s="10">
        <v>1744.6962265804343</v>
      </c>
      <c r="I46" s="28" t="s">
        <v>23</v>
      </c>
      <c r="J46" s="28" t="s">
        <v>29</v>
      </c>
    </row>
    <row r="47" spans="1:10" x14ac:dyDescent="0.2">
      <c r="A47" s="17"/>
      <c r="B47" s="28" t="s">
        <v>196</v>
      </c>
      <c r="C47" s="29">
        <v>44752</v>
      </c>
      <c r="D47" s="28" t="s">
        <v>325</v>
      </c>
      <c r="E47" s="28" t="s">
        <v>268</v>
      </c>
      <c r="F47" s="28" t="s">
        <v>18</v>
      </c>
      <c r="G47" s="28" t="s">
        <v>197</v>
      </c>
      <c r="H47" s="10">
        <v>1611.0189098876649</v>
      </c>
      <c r="I47" s="28" t="s">
        <v>23</v>
      </c>
      <c r="J47" s="28" t="s">
        <v>20</v>
      </c>
    </row>
    <row r="48" spans="1:10" x14ac:dyDescent="0.2">
      <c r="A48" s="17"/>
      <c r="B48" s="28" t="s">
        <v>196</v>
      </c>
      <c r="C48" s="29">
        <v>44754</v>
      </c>
      <c r="D48" s="28" t="s">
        <v>326</v>
      </c>
      <c r="E48" s="28" t="s">
        <v>268</v>
      </c>
      <c r="F48" s="28" t="s">
        <v>18</v>
      </c>
      <c r="G48" s="28" t="s">
        <v>197</v>
      </c>
      <c r="H48" s="10">
        <v>94.331633285565061</v>
      </c>
      <c r="I48" s="28" t="s">
        <v>23</v>
      </c>
      <c r="J48" s="28" t="s">
        <v>22</v>
      </c>
    </row>
    <row r="49" spans="1:10" x14ac:dyDescent="0.2">
      <c r="A49" s="17"/>
      <c r="B49" s="28" t="s">
        <v>196</v>
      </c>
      <c r="C49" s="29">
        <v>44754</v>
      </c>
      <c r="D49" s="28" t="s">
        <v>326</v>
      </c>
      <c r="E49" s="28" t="s">
        <v>268</v>
      </c>
      <c r="F49" s="28" t="s">
        <v>18</v>
      </c>
      <c r="G49" s="28" t="s">
        <v>197</v>
      </c>
      <c r="H49" s="10">
        <v>299.56418998899733</v>
      </c>
      <c r="I49" s="28" t="s">
        <v>23</v>
      </c>
      <c r="J49" s="28" t="s">
        <v>20</v>
      </c>
    </row>
    <row r="50" spans="1:10" x14ac:dyDescent="0.2">
      <c r="A50" s="17"/>
      <c r="B50" s="28" t="s">
        <v>196</v>
      </c>
      <c r="C50" s="29">
        <v>44757</v>
      </c>
      <c r="D50" s="28" t="s">
        <v>327</v>
      </c>
      <c r="E50" s="28" t="s">
        <v>268</v>
      </c>
      <c r="F50" s="28" t="s">
        <v>18</v>
      </c>
      <c r="G50" s="28" t="s">
        <v>197</v>
      </c>
      <c r="H50" s="10">
        <v>69.30924874195901</v>
      </c>
      <c r="I50" s="28" t="s">
        <v>23</v>
      </c>
      <c r="J50" s="28" t="s">
        <v>26</v>
      </c>
    </row>
    <row r="51" spans="1:10" x14ac:dyDescent="0.2">
      <c r="A51" s="17"/>
      <c r="B51" s="28" t="s">
        <v>196</v>
      </c>
      <c r="C51" s="29">
        <v>44757</v>
      </c>
      <c r="D51" s="28" t="s">
        <v>327</v>
      </c>
      <c r="E51" s="28" t="s">
        <v>268</v>
      </c>
      <c r="F51" s="28" t="s">
        <v>18</v>
      </c>
      <c r="G51" s="28" t="s">
        <v>197</v>
      </c>
      <c r="H51" s="10">
        <v>137.53633805445156</v>
      </c>
      <c r="I51" s="28" t="s">
        <v>23</v>
      </c>
      <c r="J51" s="28" t="s">
        <v>20</v>
      </c>
    </row>
    <row r="52" spans="1:10" x14ac:dyDescent="0.2">
      <c r="A52" s="17"/>
      <c r="B52" s="28" t="s">
        <v>196</v>
      </c>
      <c r="C52" s="29">
        <v>44757</v>
      </c>
      <c r="D52" s="28" t="s">
        <v>328</v>
      </c>
      <c r="E52" s="28" t="s">
        <v>268</v>
      </c>
      <c r="F52" s="28" t="s">
        <v>18</v>
      </c>
      <c r="G52" s="28" t="s">
        <v>197</v>
      </c>
      <c r="H52" s="10">
        <v>1531.3576832072249</v>
      </c>
      <c r="I52" s="28" t="s">
        <v>23</v>
      </c>
      <c r="J52" s="28" t="s">
        <v>29</v>
      </c>
    </row>
    <row r="53" spans="1:10" x14ac:dyDescent="0.2">
      <c r="A53" s="17"/>
      <c r="B53" s="28" t="s">
        <v>196</v>
      </c>
      <c r="C53" s="29">
        <v>44757</v>
      </c>
      <c r="D53" s="28" t="s">
        <v>329</v>
      </c>
      <c r="E53" s="28" t="s">
        <v>268</v>
      </c>
      <c r="F53" s="28" t="s">
        <v>18</v>
      </c>
      <c r="G53" s="28" t="s">
        <v>197</v>
      </c>
      <c r="H53" s="10">
        <v>161.61948988569051</v>
      </c>
      <c r="I53" s="28" t="s">
        <v>21</v>
      </c>
      <c r="J53" s="28" t="s">
        <v>29</v>
      </c>
    </row>
    <row r="54" spans="1:10" x14ac:dyDescent="0.2">
      <c r="A54" s="17"/>
      <c r="B54" s="28" t="s">
        <v>196</v>
      </c>
      <c r="C54" s="29">
        <v>44757</v>
      </c>
      <c r="D54" s="28" t="s">
        <v>330</v>
      </c>
      <c r="E54" s="28" t="s">
        <v>268</v>
      </c>
      <c r="F54" s="28" t="s">
        <v>18</v>
      </c>
      <c r="G54" s="28" t="s">
        <v>197</v>
      </c>
      <c r="H54" s="10">
        <v>275.64438297730049</v>
      </c>
      <c r="I54" s="28" t="s">
        <v>23</v>
      </c>
      <c r="J54" s="28" t="s">
        <v>24</v>
      </c>
    </row>
    <row r="55" spans="1:10" x14ac:dyDescent="0.2">
      <c r="A55" s="17"/>
      <c r="B55" s="28" t="s">
        <v>196</v>
      </c>
      <c r="C55" s="29">
        <v>44757</v>
      </c>
      <c r="D55" s="28" t="s">
        <v>329</v>
      </c>
      <c r="E55" s="28" t="s">
        <v>268</v>
      </c>
      <c r="F55" s="28" t="s">
        <v>18</v>
      </c>
      <c r="G55" s="28" t="s">
        <v>197</v>
      </c>
      <c r="H55" s="10">
        <v>235.60448408704227</v>
      </c>
      <c r="I55" s="28" t="s">
        <v>21</v>
      </c>
      <c r="J55" s="28" t="s">
        <v>25</v>
      </c>
    </row>
    <row r="56" spans="1:10" x14ac:dyDescent="0.2">
      <c r="A56" s="17"/>
      <c r="B56" s="28" t="s">
        <v>196</v>
      </c>
      <c r="C56" s="29">
        <v>44757</v>
      </c>
      <c r="D56" s="28" t="s">
        <v>328</v>
      </c>
      <c r="E56" s="28" t="s">
        <v>268</v>
      </c>
      <c r="F56" s="28" t="s">
        <v>18</v>
      </c>
      <c r="G56" s="28" t="s">
        <v>197</v>
      </c>
      <c r="H56" s="10">
        <v>1306.758556336832</v>
      </c>
      <c r="I56" s="28" t="s">
        <v>23</v>
      </c>
      <c r="J56" s="28" t="s">
        <v>28</v>
      </c>
    </row>
    <row r="57" spans="1:10" x14ac:dyDescent="0.2">
      <c r="A57" s="17"/>
      <c r="B57" s="28" t="s">
        <v>196</v>
      </c>
      <c r="C57" s="29">
        <v>44757</v>
      </c>
      <c r="D57" s="28" t="s">
        <v>327</v>
      </c>
      <c r="E57" s="28" t="s">
        <v>268</v>
      </c>
      <c r="F57" s="28" t="s">
        <v>18</v>
      </c>
      <c r="G57" s="28" t="s">
        <v>197</v>
      </c>
      <c r="H57" s="10">
        <v>152.61510670843205</v>
      </c>
      <c r="I57" s="28" t="s">
        <v>23</v>
      </c>
      <c r="J57" s="28" t="s">
        <v>33</v>
      </c>
    </row>
    <row r="58" spans="1:10" x14ac:dyDescent="0.2">
      <c r="A58" s="17"/>
      <c r="B58" s="28" t="s">
        <v>196</v>
      </c>
      <c r="C58" s="29">
        <v>44761</v>
      </c>
      <c r="D58" s="28" t="s">
        <v>331</v>
      </c>
      <c r="E58" s="28" t="s">
        <v>268</v>
      </c>
      <c r="F58" s="28" t="s">
        <v>18</v>
      </c>
      <c r="G58" s="28" t="s">
        <v>197</v>
      </c>
      <c r="H58" s="10">
        <v>161.02736491485041</v>
      </c>
      <c r="I58" s="28" t="s">
        <v>23</v>
      </c>
      <c r="J58" s="28" t="s">
        <v>20</v>
      </c>
    </row>
    <row r="59" spans="1:10" x14ac:dyDescent="0.2">
      <c r="A59" s="17"/>
      <c r="B59" s="28" t="s">
        <v>196</v>
      </c>
      <c r="C59" s="29">
        <v>44761</v>
      </c>
      <c r="D59" s="28" t="s">
        <v>332</v>
      </c>
      <c r="E59" s="28" t="s">
        <v>268</v>
      </c>
      <c r="F59" s="28" t="s">
        <v>18</v>
      </c>
      <c r="G59" s="28" t="s">
        <v>197</v>
      </c>
      <c r="H59" s="10">
        <v>382.83942080180623</v>
      </c>
      <c r="I59" s="28" t="s">
        <v>21</v>
      </c>
      <c r="J59" s="28" t="s">
        <v>33</v>
      </c>
    </row>
    <row r="60" spans="1:10" x14ac:dyDescent="0.2">
      <c r="A60" s="17"/>
      <c r="B60" s="28" t="s">
        <v>196</v>
      </c>
      <c r="C60" s="29">
        <v>44761</v>
      </c>
      <c r="D60" s="28" t="s">
        <v>332</v>
      </c>
      <c r="E60" s="28" t="s">
        <v>268</v>
      </c>
      <c r="F60" s="28" t="s">
        <v>18</v>
      </c>
      <c r="G60" s="28" t="s">
        <v>197</v>
      </c>
      <c r="H60" s="10">
        <v>1337.3857100009766</v>
      </c>
      <c r="I60" s="28" t="s">
        <v>27</v>
      </c>
      <c r="J60" s="28" t="s">
        <v>24</v>
      </c>
    </row>
    <row r="61" spans="1:10" x14ac:dyDescent="0.2">
      <c r="A61" s="17"/>
      <c r="B61" s="28" t="s">
        <v>196</v>
      </c>
      <c r="C61" s="29">
        <v>44761</v>
      </c>
      <c r="D61" s="28" t="s">
        <v>333</v>
      </c>
      <c r="E61" s="28" t="s">
        <v>268</v>
      </c>
      <c r="F61" s="28" t="s">
        <v>18</v>
      </c>
      <c r="G61" s="28" t="s">
        <v>197</v>
      </c>
      <c r="H61" s="10">
        <v>122.508614656578</v>
      </c>
      <c r="I61" s="28" t="s">
        <v>23</v>
      </c>
      <c r="J61" s="28" t="s">
        <v>31</v>
      </c>
    </row>
    <row r="62" spans="1:10" x14ac:dyDescent="0.2">
      <c r="A62" s="17"/>
      <c r="B62" s="28" t="s">
        <v>196</v>
      </c>
      <c r="C62" s="29">
        <v>44761</v>
      </c>
      <c r="D62" s="28" t="s">
        <v>332</v>
      </c>
      <c r="E62" s="28" t="s">
        <v>268</v>
      </c>
      <c r="F62" s="28" t="s">
        <v>18</v>
      </c>
      <c r="G62" s="28" t="s">
        <v>197</v>
      </c>
      <c r="H62" s="10">
        <v>163.34481954210401</v>
      </c>
      <c r="I62" s="28" t="s">
        <v>21</v>
      </c>
      <c r="J62" s="28" t="s">
        <v>26</v>
      </c>
    </row>
    <row r="63" spans="1:10" x14ac:dyDescent="0.2">
      <c r="A63" s="17"/>
      <c r="B63" s="28" t="s">
        <v>196</v>
      </c>
      <c r="C63" s="29">
        <v>44761</v>
      </c>
      <c r="D63" s="28" t="s">
        <v>332</v>
      </c>
      <c r="E63" s="28" t="s">
        <v>268</v>
      </c>
      <c r="F63" s="28" t="s">
        <v>18</v>
      </c>
      <c r="G63" s="28" t="s">
        <v>197</v>
      </c>
      <c r="H63" s="10">
        <v>861.04158906253713</v>
      </c>
      <c r="I63" s="28" t="s">
        <v>21</v>
      </c>
      <c r="J63" s="28" t="s">
        <v>31</v>
      </c>
    </row>
    <row r="64" spans="1:10" x14ac:dyDescent="0.2">
      <c r="A64" s="17"/>
      <c r="B64" s="28" t="s">
        <v>196</v>
      </c>
      <c r="C64" s="29">
        <v>44761</v>
      </c>
      <c r="D64" s="28" t="s">
        <v>332</v>
      </c>
      <c r="E64" s="28" t="s">
        <v>268</v>
      </c>
      <c r="F64" s="28" t="s">
        <v>18</v>
      </c>
      <c r="G64" s="28" t="s">
        <v>197</v>
      </c>
      <c r="H64" s="10">
        <v>321.58511347351725</v>
      </c>
      <c r="I64" s="28" t="s">
        <v>21</v>
      </c>
      <c r="J64" s="28" t="s">
        <v>22</v>
      </c>
    </row>
    <row r="65" spans="1:10" x14ac:dyDescent="0.2">
      <c r="A65" s="17"/>
      <c r="B65" s="28" t="s">
        <v>196</v>
      </c>
      <c r="C65" s="29">
        <v>44762</v>
      </c>
      <c r="D65" s="28" t="s">
        <v>334</v>
      </c>
      <c r="E65" s="28" t="s">
        <v>268</v>
      </c>
      <c r="F65" s="28" t="s">
        <v>18</v>
      </c>
      <c r="G65" s="28" t="s">
        <v>197</v>
      </c>
      <c r="H65" s="10">
        <v>140.36424524277425</v>
      </c>
      <c r="I65" s="28" t="s">
        <v>23</v>
      </c>
      <c r="J65" s="28" t="s">
        <v>20</v>
      </c>
    </row>
    <row r="66" spans="1:10" x14ac:dyDescent="0.2">
      <c r="A66" s="17"/>
      <c r="B66" s="28" t="s">
        <v>196</v>
      </c>
      <c r="C66" s="29">
        <v>44762</v>
      </c>
      <c r="D66" s="28" t="s">
        <v>334</v>
      </c>
      <c r="E66" s="28" t="s">
        <v>268</v>
      </c>
      <c r="F66" s="28" t="s">
        <v>18</v>
      </c>
      <c r="G66" s="28" t="s">
        <v>197</v>
      </c>
      <c r="H66" s="10">
        <v>97.424975805643655</v>
      </c>
      <c r="I66" s="28" t="s">
        <v>23</v>
      </c>
      <c r="J66" s="28" t="s">
        <v>28</v>
      </c>
    </row>
    <row r="67" spans="1:10" x14ac:dyDescent="0.2">
      <c r="A67" s="17"/>
      <c r="B67" s="28" t="s">
        <v>196</v>
      </c>
      <c r="C67" s="29">
        <v>44762</v>
      </c>
      <c r="D67" s="28" t="s">
        <v>334</v>
      </c>
      <c r="E67" s="28" t="s">
        <v>268</v>
      </c>
      <c r="F67" s="28" t="s">
        <v>18</v>
      </c>
      <c r="G67" s="28" t="s">
        <v>197</v>
      </c>
      <c r="H67" s="10">
        <v>507.41026380510334</v>
      </c>
      <c r="I67" s="28" t="s">
        <v>23</v>
      </c>
      <c r="J67" s="28" t="s">
        <v>33</v>
      </c>
    </row>
    <row r="68" spans="1:10" x14ac:dyDescent="0.2">
      <c r="A68" s="17"/>
      <c r="B68" s="28" t="s">
        <v>196</v>
      </c>
      <c r="C68" s="29">
        <v>44762</v>
      </c>
      <c r="D68" s="28" t="s">
        <v>334</v>
      </c>
      <c r="E68" s="28" t="s">
        <v>268</v>
      </c>
      <c r="F68" s="28" t="s">
        <v>18</v>
      </c>
      <c r="G68" s="28" t="s">
        <v>197</v>
      </c>
      <c r="H68" s="10">
        <v>1087.6314809210994</v>
      </c>
      <c r="I68" s="28" t="s">
        <v>23</v>
      </c>
      <c r="J68" s="28" t="s">
        <v>202</v>
      </c>
    </row>
    <row r="69" spans="1:10" x14ac:dyDescent="0.2">
      <c r="A69" s="17"/>
      <c r="B69" s="28" t="s">
        <v>196</v>
      </c>
      <c r="C69" s="29">
        <v>44762</v>
      </c>
      <c r="D69" s="28" t="s">
        <v>334</v>
      </c>
      <c r="E69" s="28" t="s">
        <v>268</v>
      </c>
      <c r="F69" s="28" t="s">
        <v>18</v>
      </c>
      <c r="G69" s="28" t="s">
        <v>197</v>
      </c>
      <c r="H69" s="10">
        <v>284.40374892524585</v>
      </c>
      <c r="I69" s="28" t="s">
        <v>23</v>
      </c>
      <c r="J69" s="28" t="s">
        <v>22</v>
      </c>
    </row>
    <row r="70" spans="1:10" x14ac:dyDescent="0.2">
      <c r="A70" s="17"/>
      <c r="B70" s="28" t="s">
        <v>196</v>
      </c>
      <c r="C70" s="29">
        <v>44762</v>
      </c>
      <c r="D70" s="28" t="s">
        <v>334</v>
      </c>
      <c r="E70" s="28" t="s">
        <v>268</v>
      </c>
      <c r="F70" s="28" t="s">
        <v>18</v>
      </c>
      <c r="G70" s="28" t="s">
        <v>197</v>
      </c>
      <c r="H70" s="10">
        <v>119.14983680474349</v>
      </c>
      <c r="I70" s="28" t="s">
        <v>23</v>
      </c>
      <c r="J70" s="28" t="s">
        <v>26</v>
      </c>
    </row>
    <row r="71" spans="1:10" x14ac:dyDescent="0.2">
      <c r="A71" s="17"/>
      <c r="B71" s="28" t="s">
        <v>196</v>
      </c>
      <c r="C71" s="29">
        <v>44762</v>
      </c>
      <c r="D71" s="28" t="s">
        <v>334</v>
      </c>
      <c r="E71" s="28" t="s">
        <v>268</v>
      </c>
      <c r="F71" s="28" t="s">
        <v>18</v>
      </c>
      <c r="G71" s="28" t="s">
        <v>197</v>
      </c>
      <c r="H71" s="10">
        <v>107.83820805145278</v>
      </c>
      <c r="I71" s="28" t="s">
        <v>23</v>
      </c>
      <c r="J71" s="28" t="s">
        <v>31</v>
      </c>
    </row>
    <row r="72" spans="1:10" x14ac:dyDescent="0.2">
      <c r="A72" s="17"/>
      <c r="B72" s="28" t="s">
        <v>196</v>
      </c>
      <c r="C72" s="29">
        <v>44764</v>
      </c>
      <c r="D72" s="28" t="s">
        <v>335</v>
      </c>
      <c r="E72" s="28" t="s">
        <v>268</v>
      </c>
      <c r="F72" s="28" t="s">
        <v>18</v>
      </c>
      <c r="G72" s="28" t="s">
        <v>197</v>
      </c>
      <c r="H72" s="10">
        <v>179.57721098410059</v>
      </c>
      <c r="I72" s="28" t="s">
        <v>192</v>
      </c>
      <c r="J72" s="28" t="s">
        <v>20</v>
      </c>
    </row>
    <row r="73" spans="1:10" x14ac:dyDescent="0.2">
      <c r="A73" s="17"/>
      <c r="B73" s="28" t="s">
        <v>196</v>
      </c>
      <c r="C73" s="29">
        <v>44770</v>
      </c>
      <c r="D73" s="28" t="s">
        <v>336</v>
      </c>
      <c r="E73" s="28" t="s">
        <v>268</v>
      </c>
      <c r="F73" s="28" t="s">
        <v>18</v>
      </c>
      <c r="G73" s="28" t="s">
        <v>197</v>
      </c>
      <c r="H73" s="10">
        <v>2179.8876620454848</v>
      </c>
      <c r="I73" s="28" t="s">
        <v>23</v>
      </c>
      <c r="J73" s="28" t="s">
        <v>239</v>
      </c>
    </row>
    <row r="74" spans="1:10" x14ac:dyDescent="0.2">
      <c r="A74" s="17"/>
      <c r="B74" s="28" t="s">
        <v>196</v>
      </c>
      <c r="C74" s="29">
        <v>44771</v>
      </c>
      <c r="D74" s="28" t="s">
        <v>337</v>
      </c>
      <c r="E74" s="28" t="s">
        <v>268</v>
      </c>
      <c r="F74" s="28" t="s">
        <v>18</v>
      </c>
      <c r="G74" s="28" t="s">
        <v>197</v>
      </c>
      <c r="H74" s="10">
        <v>551.28876595460099</v>
      </c>
      <c r="I74" s="28" t="s">
        <v>23</v>
      </c>
      <c r="J74" s="28" t="s">
        <v>24</v>
      </c>
    </row>
    <row r="75" spans="1:10" x14ac:dyDescent="0.2">
      <c r="A75" s="17"/>
      <c r="B75" s="28" t="s">
        <v>196</v>
      </c>
      <c r="C75" s="29">
        <v>44771</v>
      </c>
      <c r="D75" s="28" t="s">
        <v>337</v>
      </c>
      <c r="E75" s="28" t="s">
        <v>268</v>
      </c>
      <c r="F75" s="28" t="s">
        <v>18</v>
      </c>
      <c r="G75" s="28" t="s">
        <v>197</v>
      </c>
      <c r="H75" s="10">
        <v>551.28876595460099</v>
      </c>
      <c r="I75" s="28" t="s">
        <v>23</v>
      </c>
      <c r="J75" s="28" t="s">
        <v>31</v>
      </c>
    </row>
    <row r="76" spans="1:10" x14ac:dyDescent="0.2">
      <c r="A76" s="17"/>
      <c r="B76" s="28" t="s">
        <v>196</v>
      </c>
      <c r="C76" s="29">
        <v>44771</v>
      </c>
      <c r="D76" s="28" t="s">
        <v>337</v>
      </c>
      <c r="E76" s="28" t="s">
        <v>268</v>
      </c>
      <c r="F76" s="28" t="s">
        <v>18</v>
      </c>
      <c r="G76" s="28" t="s">
        <v>197</v>
      </c>
      <c r="H76" s="10">
        <v>2385.8552704368567</v>
      </c>
      <c r="I76" s="28" t="s">
        <v>23</v>
      </c>
      <c r="J76" s="28" t="s">
        <v>28</v>
      </c>
    </row>
    <row r="77" spans="1:10" x14ac:dyDescent="0.2">
      <c r="A77" s="17"/>
      <c r="B77" s="28" t="s">
        <v>196</v>
      </c>
      <c r="C77" s="29">
        <v>44771</v>
      </c>
      <c r="D77" s="28" t="s">
        <v>337</v>
      </c>
      <c r="E77" s="28" t="s">
        <v>268</v>
      </c>
      <c r="F77" s="28" t="s">
        <v>18</v>
      </c>
      <c r="G77" s="28" t="s">
        <v>197</v>
      </c>
      <c r="H77" s="10">
        <v>1086.2430499549916</v>
      </c>
      <c r="I77" s="28" t="s">
        <v>23</v>
      </c>
      <c r="J77" s="28" t="s">
        <v>25</v>
      </c>
    </row>
    <row r="78" spans="1:10" x14ac:dyDescent="0.2">
      <c r="A78" s="17"/>
      <c r="B78" s="28" t="s">
        <v>196</v>
      </c>
      <c r="C78" s="29">
        <v>44771</v>
      </c>
      <c r="D78" s="28" t="s">
        <v>338</v>
      </c>
      <c r="E78" s="28" t="s">
        <v>268</v>
      </c>
      <c r="F78" s="28" t="s">
        <v>18</v>
      </c>
      <c r="G78" s="28" t="s">
        <v>197</v>
      </c>
      <c r="H78" s="10">
        <v>198.668136768084</v>
      </c>
      <c r="I78" s="28" t="s">
        <v>23</v>
      </c>
      <c r="J78" s="28" t="s">
        <v>33</v>
      </c>
    </row>
    <row r="79" spans="1:10" x14ac:dyDescent="0.2">
      <c r="A79" s="17"/>
      <c r="B79" s="28" t="s">
        <v>196</v>
      </c>
      <c r="C79" s="29">
        <v>44771</v>
      </c>
      <c r="D79" s="28" t="s">
        <v>339</v>
      </c>
      <c r="E79" s="28" t="s">
        <v>268</v>
      </c>
      <c r="F79" s="28" t="s">
        <v>18</v>
      </c>
      <c r="G79" s="28" t="s">
        <v>197</v>
      </c>
      <c r="H79" s="10">
        <v>87.726377145331227</v>
      </c>
      <c r="I79" s="28" t="s">
        <v>23</v>
      </c>
      <c r="J79" s="28" t="s">
        <v>24</v>
      </c>
    </row>
    <row r="80" spans="1:10" x14ac:dyDescent="0.2">
      <c r="A80" s="17"/>
      <c r="B80" s="28" t="s">
        <v>196</v>
      </c>
      <c r="C80" s="29">
        <v>44771</v>
      </c>
      <c r="D80" s="28" t="s">
        <v>339</v>
      </c>
      <c r="E80" s="28" t="s">
        <v>268</v>
      </c>
      <c r="F80" s="28" t="s">
        <v>18</v>
      </c>
      <c r="G80" s="28" t="s">
        <v>197</v>
      </c>
      <c r="H80" s="10">
        <v>155.16736951377743</v>
      </c>
      <c r="I80" s="28" t="s">
        <v>23</v>
      </c>
      <c r="J80" s="28" t="s">
        <v>28</v>
      </c>
    </row>
    <row r="81" spans="1:10" x14ac:dyDescent="0.2">
      <c r="A81" s="17"/>
      <c r="B81" s="28" t="s">
        <v>196</v>
      </c>
      <c r="C81" s="29">
        <v>44771</v>
      </c>
      <c r="D81" s="28" t="s">
        <v>337</v>
      </c>
      <c r="E81" s="28" t="s">
        <v>268</v>
      </c>
      <c r="F81" s="28" t="s">
        <v>18</v>
      </c>
      <c r="G81" s="28" t="s">
        <v>197</v>
      </c>
      <c r="H81" s="10">
        <v>918.81460992433495</v>
      </c>
      <c r="I81" s="28" t="s">
        <v>23</v>
      </c>
      <c r="J81" s="28" t="s">
        <v>33</v>
      </c>
    </row>
    <row r="82" spans="1:10" x14ac:dyDescent="0.2">
      <c r="A82" s="17"/>
      <c r="B82" s="28" t="s">
        <v>196</v>
      </c>
      <c r="C82" s="29">
        <v>44771</v>
      </c>
      <c r="D82" s="28" t="s">
        <v>337</v>
      </c>
      <c r="E82" s="28" t="s">
        <v>268</v>
      </c>
      <c r="F82" s="28" t="s">
        <v>18</v>
      </c>
      <c r="G82" s="28" t="s">
        <v>197</v>
      </c>
      <c r="H82" s="10">
        <v>107.19503782450575</v>
      </c>
      <c r="I82" s="28" t="s">
        <v>23</v>
      </c>
      <c r="J82" s="28" t="s">
        <v>22</v>
      </c>
    </row>
    <row r="83" spans="1:10" x14ac:dyDescent="0.2">
      <c r="A83" s="17"/>
      <c r="B83" s="28" t="s">
        <v>196</v>
      </c>
      <c r="C83" s="29">
        <v>44771</v>
      </c>
      <c r="D83" s="28" t="s">
        <v>339</v>
      </c>
      <c r="E83" s="28" t="s">
        <v>268</v>
      </c>
      <c r="F83" s="28" t="s">
        <v>18</v>
      </c>
      <c r="G83" s="28" t="s">
        <v>197</v>
      </c>
      <c r="H83" s="10">
        <v>69.370503049287294</v>
      </c>
      <c r="I83" s="28" t="s">
        <v>23</v>
      </c>
      <c r="J83" s="28" t="s">
        <v>26</v>
      </c>
    </row>
    <row r="84" spans="1:10" x14ac:dyDescent="0.2">
      <c r="A84" s="17"/>
      <c r="B84" s="28" t="s">
        <v>196</v>
      </c>
      <c r="C84" s="29">
        <v>44771</v>
      </c>
      <c r="D84" s="28" t="s">
        <v>338</v>
      </c>
      <c r="E84" s="28" t="s">
        <v>268</v>
      </c>
      <c r="F84" s="28" t="s">
        <v>18</v>
      </c>
      <c r="G84" s="28" t="s">
        <v>197</v>
      </c>
      <c r="H84" s="10">
        <v>379.23562572065856</v>
      </c>
      <c r="I84" s="28" t="s">
        <v>23</v>
      </c>
      <c r="J84" s="28" t="s">
        <v>22</v>
      </c>
    </row>
    <row r="85" spans="1:10" x14ac:dyDescent="0.2">
      <c r="A85" s="17"/>
      <c r="B85" s="28" t="s">
        <v>196</v>
      </c>
      <c r="C85" s="29">
        <v>44771</v>
      </c>
      <c r="D85" s="28" t="s">
        <v>339</v>
      </c>
      <c r="E85" s="28" t="s">
        <v>268</v>
      </c>
      <c r="F85" s="28" t="s">
        <v>18</v>
      </c>
      <c r="G85" s="28" t="s">
        <v>197</v>
      </c>
      <c r="H85" s="10">
        <v>297.9919961009046</v>
      </c>
      <c r="I85" s="28" t="s">
        <v>23</v>
      </c>
      <c r="J85" s="28" t="s">
        <v>202</v>
      </c>
    </row>
    <row r="86" spans="1:10" x14ac:dyDescent="0.2">
      <c r="A86" s="17"/>
      <c r="B86" s="28" t="s">
        <v>196</v>
      </c>
      <c r="C86" s="29">
        <v>44771</v>
      </c>
      <c r="D86" s="28" t="s">
        <v>339</v>
      </c>
      <c r="E86" s="28" t="s">
        <v>268</v>
      </c>
      <c r="F86" s="28" t="s">
        <v>18</v>
      </c>
      <c r="G86" s="28" t="s">
        <v>197</v>
      </c>
      <c r="H86" s="10">
        <v>97.6189477788499</v>
      </c>
      <c r="I86" s="28" t="s">
        <v>23</v>
      </c>
      <c r="J86" s="28" t="s">
        <v>20</v>
      </c>
    </row>
    <row r="87" spans="1:10" x14ac:dyDescent="0.2">
      <c r="A87" s="17"/>
      <c r="B87" s="28" t="s">
        <v>196</v>
      </c>
      <c r="C87" s="29">
        <v>44771</v>
      </c>
      <c r="D87" s="28" t="s">
        <v>338</v>
      </c>
      <c r="E87" s="28" t="s">
        <v>268</v>
      </c>
      <c r="F87" s="28" t="s">
        <v>18</v>
      </c>
      <c r="G87" s="28" t="s">
        <v>197</v>
      </c>
      <c r="H87" s="10">
        <v>306.10819182190289</v>
      </c>
      <c r="I87" s="28" t="s">
        <v>23</v>
      </c>
      <c r="J87" s="28" t="s">
        <v>188</v>
      </c>
    </row>
    <row r="88" spans="1:10" x14ac:dyDescent="0.2">
      <c r="A88" s="17"/>
      <c r="B88" s="28" t="s">
        <v>196</v>
      </c>
      <c r="C88" s="29">
        <v>44773</v>
      </c>
      <c r="D88" s="28" t="s">
        <v>340</v>
      </c>
      <c r="E88" s="28" t="s">
        <v>0</v>
      </c>
      <c r="F88" s="28" t="s">
        <v>18</v>
      </c>
      <c r="G88" s="28" t="s">
        <v>197</v>
      </c>
      <c r="H88" s="10">
        <v>99726.402556965724</v>
      </c>
      <c r="I88" s="28" t="s">
        <v>36</v>
      </c>
      <c r="J88" s="28" t="s">
        <v>188</v>
      </c>
    </row>
    <row r="89" spans="1:10" x14ac:dyDescent="0.2">
      <c r="A89" s="17"/>
      <c r="B89" s="28" t="s">
        <v>196</v>
      </c>
      <c r="C89" s="29">
        <v>44779</v>
      </c>
      <c r="D89" s="28" t="s">
        <v>341</v>
      </c>
      <c r="E89" s="28" t="s">
        <v>268</v>
      </c>
      <c r="F89" s="28" t="s">
        <v>18</v>
      </c>
      <c r="G89" s="28" t="s">
        <v>197</v>
      </c>
      <c r="H89" s="10">
        <v>564.2154438</v>
      </c>
      <c r="I89" s="28" t="s">
        <v>23</v>
      </c>
      <c r="J89" s="28" t="s">
        <v>33</v>
      </c>
    </row>
    <row r="90" spans="1:10" x14ac:dyDescent="0.2">
      <c r="A90" s="17"/>
      <c r="B90" s="28" t="s">
        <v>196</v>
      </c>
      <c r="C90" s="29">
        <v>44779</v>
      </c>
      <c r="D90" s="28" t="s">
        <v>342</v>
      </c>
      <c r="E90" s="28" t="s">
        <v>268</v>
      </c>
      <c r="F90" s="28" t="s">
        <v>18</v>
      </c>
      <c r="G90" s="28" t="s">
        <v>197</v>
      </c>
      <c r="H90" s="10">
        <v>95.519277900000006</v>
      </c>
      <c r="I90" s="28" t="s">
        <v>23</v>
      </c>
      <c r="J90" s="28" t="s">
        <v>26</v>
      </c>
    </row>
    <row r="91" spans="1:10" x14ac:dyDescent="0.2">
      <c r="A91" s="17"/>
      <c r="B91" s="28" t="s">
        <v>196</v>
      </c>
      <c r="C91" s="29">
        <v>44779</v>
      </c>
      <c r="D91" s="28" t="s">
        <v>343</v>
      </c>
      <c r="E91" s="28" t="s">
        <v>268</v>
      </c>
      <c r="F91" s="28" t="s">
        <v>18</v>
      </c>
      <c r="G91" s="28" t="s">
        <v>197</v>
      </c>
      <c r="H91" s="10">
        <v>1223.780745</v>
      </c>
      <c r="I91" s="28" t="s">
        <v>23</v>
      </c>
      <c r="J91" s="28" t="s">
        <v>22</v>
      </c>
    </row>
    <row r="92" spans="1:10" x14ac:dyDescent="0.2">
      <c r="A92" s="17"/>
      <c r="B92" s="28" t="s">
        <v>196</v>
      </c>
      <c r="C92" s="29">
        <v>44779</v>
      </c>
      <c r="D92" s="28" t="s">
        <v>342</v>
      </c>
      <c r="E92" s="28" t="s">
        <v>268</v>
      </c>
      <c r="F92" s="28" t="s">
        <v>18</v>
      </c>
      <c r="G92" s="28" t="s">
        <v>197</v>
      </c>
      <c r="H92" s="10">
        <v>540.13514339999995</v>
      </c>
      <c r="I92" s="28" t="s">
        <v>23</v>
      </c>
      <c r="J92" s="28" t="s">
        <v>29</v>
      </c>
    </row>
    <row r="93" spans="1:10" x14ac:dyDescent="0.2">
      <c r="A93" s="17"/>
      <c r="B93" s="28" t="s">
        <v>196</v>
      </c>
      <c r="C93" s="29">
        <v>44779</v>
      </c>
      <c r="D93" s="28" t="s">
        <v>341</v>
      </c>
      <c r="E93" s="28" t="s">
        <v>268</v>
      </c>
      <c r="F93" s="28" t="s">
        <v>18</v>
      </c>
      <c r="G93" s="28" t="s">
        <v>197</v>
      </c>
      <c r="H93" s="10">
        <v>5262.6299286000003</v>
      </c>
      <c r="I93" s="28" t="s">
        <v>23</v>
      </c>
      <c r="J93" s="28" t="s">
        <v>22</v>
      </c>
    </row>
    <row r="94" spans="1:10" x14ac:dyDescent="0.2">
      <c r="A94" s="17"/>
      <c r="B94" s="28" t="s">
        <v>196</v>
      </c>
      <c r="C94" s="29">
        <v>44779</v>
      </c>
      <c r="D94" s="28" t="s">
        <v>344</v>
      </c>
      <c r="E94" s="28" t="s">
        <v>268</v>
      </c>
      <c r="F94" s="28" t="s">
        <v>18</v>
      </c>
      <c r="G94" s="28" t="s">
        <v>197</v>
      </c>
      <c r="H94" s="10">
        <v>958.92003</v>
      </c>
      <c r="I94" s="28" t="s">
        <v>23</v>
      </c>
      <c r="J94" s="28" t="s">
        <v>26</v>
      </c>
    </row>
    <row r="95" spans="1:10" x14ac:dyDescent="0.2">
      <c r="A95" s="17"/>
      <c r="B95" s="28" t="s">
        <v>196</v>
      </c>
      <c r="C95" s="29">
        <v>44779</v>
      </c>
      <c r="D95" s="28" t="s">
        <v>341</v>
      </c>
      <c r="E95" s="28" t="s">
        <v>268</v>
      </c>
      <c r="F95" s="28" t="s">
        <v>18</v>
      </c>
      <c r="G95" s="28" t="s">
        <v>197</v>
      </c>
      <c r="H95" s="10">
        <v>3899.5064696999998</v>
      </c>
      <c r="I95" s="28" t="s">
        <v>23</v>
      </c>
      <c r="J95" s="28" t="s">
        <v>26</v>
      </c>
    </row>
    <row r="96" spans="1:10" x14ac:dyDescent="0.2">
      <c r="A96" s="17"/>
      <c r="B96" s="28" t="s">
        <v>196</v>
      </c>
      <c r="C96" s="29">
        <v>44779</v>
      </c>
      <c r="D96" s="28" t="s">
        <v>341</v>
      </c>
      <c r="E96" s="28" t="s">
        <v>268</v>
      </c>
      <c r="F96" s="28" t="s">
        <v>18</v>
      </c>
      <c r="G96" s="28" t="s">
        <v>197</v>
      </c>
      <c r="H96" s="10">
        <v>11573.408017199999</v>
      </c>
      <c r="I96" s="28" t="s">
        <v>23</v>
      </c>
      <c r="J96" s="28" t="s">
        <v>31</v>
      </c>
    </row>
    <row r="97" spans="1:10" x14ac:dyDescent="0.2">
      <c r="A97" s="17"/>
      <c r="B97" s="28" t="s">
        <v>196</v>
      </c>
      <c r="C97" s="29">
        <v>44779</v>
      </c>
      <c r="D97" s="28" t="s">
        <v>343</v>
      </c>
      <c r="E97" s="28" t="s">
        <v>268</v>
      </c>
      <c r="F97" s="28" t="s">
        <v>18</v>
      </c>
      <c r="G97" s="28" t="s">
        <v>197</v>
      </c>
      <c r="H97" s="10">
        <v>298.40597400000001</v>
      </c>
      <c r="I97" s="28" t="s">
        <v>23</v>
      </c>
      <c r="J97" s="28" t="s">
        <v>24</v>
      </c>
    </row>
    <row r="98" spans="1:10" x14ac:dyDescent="0.2">
      <c r="A98" s="17"/>
      <c r="B98" s="28" t="s">
        <v>196</v>
      </c>
      <c r="C98" s="29">
        <v>44779</v>
      </c>
      <c r="D98" s="28" t="s">
        <v>343</v>
      </c>
      <c r="E98" s="28" t="s">
        <v>268</v>
      </c>
      <c r="F98" s="28" t="s">
        <v>18</v>
      </c>
      <c r="G98" s="28" t="s">
        <v>197</v>
      </c>
      <c r="H98" s="10">
        <v>2153.7185748000002</v>
      </c>
      <c r="I98" s="28" t="s">
        <v>23</v>
      </c>
      <c r="J98" s="28" t="s">
        <v>31</v>
      </c>
    </row>
    <row r="99" spans="1:10" x14ac:dyDescent="0.2">
      <c r="A99" s="17"/>
      <c r="B99" s="28" t="s">
        <v>196</v>
      </c>
      <c r="C99" s="29">
        <v>44779</v>
      </c>
      <c r="D99" s="28" t="s">
        <v>341</v>
      </c>
      <c r="E99" s="28" t="s">
        <v>268</v>
      </c>
      <c r="F99" s="28" t="s">
        <v>18</v>
      </c>
      <c r="G99" s="28" t="s">
        <v>197</v>
      </c>
      <c r="H99" s="10">
        <v>2397.5711477999998</v>
      </c>
      <c r="I99" s="28" t="s">
        <v>23</v>
      </c>
      <c r="J99" s="28" t="s">
        <v>202</v>
      </c>
    </row>
    <row r="100" spans="1:10" x14ac:dyDescent="0.2">
      <c r="A100" s="17"/>
      <c r="B100" s="28" t="s">
        <v>196</v>
      </c>
      <c r="C100" s="29">
        <v>44779</v>
      </c>
      <c r="D100" s="28" t="s">
        <v>343</v>
      </c>
      <c r="E100" s="28" t="s">
        <v>268</v>
      </c>
      <c r="F100" s="28" t="s">
        <v>18</v>
      </c>
      <c r="G100" s="28" t="s">
        <v>197</v>
      </c>
      <c r="H100" s="10">
        <v>958.92003</v>
      </c>
      <c r="I100" s="28" t="s">
        <v>23</v>
      </c>
      <c r="J100" s="28" t="s">
        <v>26</v>
      </c>
    </row>
    <row r="101" spans="1:10" x14ac:dyDescent="0.2">
      <c r="A101" s="17"/>
      <c r="B101" s="28" t="s">
        <v>196</v>
      </c>
      <c r="C101" s="29">
        <v>44779</v>
      </c>
      <c r="D101" s="28" t="s">
        <v>341</v>
      </c>
      <c r="E101" s="28" t="s">
        <v>268</v>
      </c>
      <c r="F101" s="28" t="s">
        <v>18</v>
      </c>
      <c r="G101" s="28" t="s">
        <v>197</v>
      </c>
      <c r="H101" s="10">
        <v>50.690613599999999</v>
      </c>
      <c r="I101" s="28" t="s">
        <v>23</v>
      </c>
      <c r="J101" s="28" t="s">
        <v>24</v>
      </c>
    </row>
    <row r="102" spans="1:10" x14ac:dyDescent="0.2">
      <c r="A102" s="17"/>
      <c r="B102" s="28" t="s">
        <v>196</v>
      </c>
      <c r="C102" s="29">
        <v>44779</v>
      </c>
      <c r="D102" s="28" t="s">
        <v>341</v>
      </c>
      <c r="E102" s="28" t="s">
        <v>268</v>
      </c>
      <c r="F102" s="28" t="s">
        <v>18</v>
      </c>
      <c r="G102" s="28" t="s">
        <v>197</v>
      </c>
      <c r="H102" s="10">
        <v>554.03891910000004</v>
      </c>
      <c r="I102" s="28" t="s">
        <v>23</v>
      </c>
      <c r="J102" s="28" t="s">
        <v>29</v>
      </c>
    </row>
    <row r="103" spans="1:10" x14ac:dyDescent="0.2">
      <c r="A103" s="17"/>
      <c r="B103" s="28" t="s">
        <v>196</v>
      </c>
      <c r="C103" s="29">
        <v>44785</v>
      </c>
      <c r="D103" s="28" t="s">
        <v>345</v>
      </c>
      <c r="E103" s="28" t="s">
        <v>268</v>
      </c>
      <c r="F103" s="28" t="s">
        <v>18</v>
      </c>
      <c r="G103" s="28" t="s">
        <v>197</v>
      </c>
      <c r="H103" s="10">
        <v>109.5811794</v>
      </c>
      <c r="I103" s="28" t="s">
        <v>23</v>
      </c>
      <c r="J103" s="28" t="s">
        <v>22</v>
      </c>
    </row>
    <row r="104" spans="1:10" x14ac:dyDescent="0.2">
      <c r="A104" s="17"/>
      <c r="B104" s="28" t="s">
        <v>196</v>
      </c>
      <c r="C104" s="29">
        <v>44785</v>
      </c>
      <c r="D104" s="28" t="s">
        <v>345</v>
      </c>
      <c r="E104" s="28" t="s">
        <v>268</v>
      </c>
      <c r="F104" s="28" t="s">
        <v>18</v>
      </c>
      <c r="G104" s="28" t="s">
        <v>197</v>
      </c>
      <c r="H104" s="10">
        <v>350.70043500000003</v>
      </c>
      <c r="I104" s="28" t="s">
        <v>23</v>
      </c>
      <c r="J104" s="28" t="s">
        <v>31</v>
      </c>
    </row>
    <row r="105" spans="1:10" x14ac:dyDescent="0.2">
      <c r="A105" s="17"/>
      <c r="B105" s="28" t="s">
        <v>196</v>
      </c>
      <c r="C105" s="29">
        <v>44785</v>
      </c>
      <c r="D105" s="28" t="s">
        <v>345</v>
      </c>
      <c r="E105" s="28" t="s">
        <v>268</v>
      </c>
      <c r="F105" s="28" t="s">
        <v>18</v>
      </c>
      <c r="G105" s="28" t="s">
        <v>197</v>
      </c>
      <c r="H105" s="10">
        <v>25.977810000000002</v>
      </c>
      <c r="I105" s="28" t="s">
        <v>23</v>
      </c>
      <c r="J105" s="28" t="s">
        <v>28</v>
      </c>
    </row>
    <row r="106" spans="1:10" x14ac:dyDescent="0.2">
      <c r="A106" s="17"/>
      <c r="B106" s="28" t="s">
        <v>196</v>
      </c>
      <c r="C106" s="29">
        <v>44785</v>
      </c>
      <c r="D106" s="28" t="s">
        <v>345</v>
      </c>
      <c r="E106" s="28" t="s">
        <v>268</v>
      </c>
      <c r="F106" s="28" t="s">
        <v>18</v>
      </c>
      <c r="G106" s="28" t="s">
        <v>197</v>
      </c>
      <c r="H106" s="10">
        <v>156.88338300000001</v>
      </c>
      <c r="I106" s="28" t="s">
        <v>23</v>
      </c>
      <c r="J106" s="28" t="s">
        <v>24</v>
      </c>
    </row>
    <row r="107" spans="1:10" x14ac:dyDescent="0.2">
      <c r="A107" s="17"/>
      <c r="B107" s="28" t="s">
        <v>196</v>
      </c>
      <c r="C107" s="29">
        <v>44785</v>
      </c>
      <c r="D107" s="28" t="s">
        <v>345</v>
      </c>
      <c r="E107" s="28" t="s">
        <v>268</v>
      </c>
      <c r="F107" s="28" t="s">
        <v>18</v>
      </c>
      <c r="G107" s="28" t="s">
        <v>197</v>
      </c>
      <c r="H107" s="10">
        <v>1372.0575666</v>
      </c>
      <c r="I107" s="28" t="s">
        <v>23</v>
      </c>
      <c r="J107" s="28" t="s">
        <v>20</v>
      </c>
    </row>
    <row r="108" spans="1:10" x14ac:dyDescent="0.2">
      <c r="A108" s="17"/>
      <c r="B108" s="28" t="s">
        <v>196</v>
      </c>
      <c r="C108" s="29">
        <v>44785</v>
      </c>
      <c r="D108" s="28" t="s">
        <v>345</v>
      </c>
      <c r="E108" s="28" t="s">
        <v>268</v>
      </c>
      <c r="F108" s="28" t="s">
        <v>18</v>
      </c>
      <c r="G108" s="28" t="s">
        <v>197</v>
      </c>
      <c r="H108" s="10">
        <v>337.146795</v>
      </c>
      <c r="I108" s="28" t="s">
        <v>23</v>
      </c>
      <c r="J108" s="28" t="s">
        <v>201</v>
      </c>
    </row>
    <row r="109" spans="1:10" x14ac:dyDescent="0.2">
      <c r="A109" s="17"/>
      <c r="B109" s="28" t="s">
        <v>196</v>
      </c>
      <c r="C109" s="29">
        <v>44785</v>
      </c>
      <c r="D109" s="28" t="s">
        <v>345</v>
      </c>
      <c r="E109" s="28" t="s">
        <v>268</v>
      </c>
      <c r="F109" s="28" t="s">
        <v>18</v>
      </c>
      <c r="G109" s="28" t="s">
        <v>197</v>
      </c>
      <c r="H109" s="10">
        <v>746.50060710000002</v>
      </c>
      <c r="I109" s="28" t="s">
        <v>23</v>
      </c>
      <c r="J109" s="28" t="s">
        <v>26</v>
      </c>
    </row>
    <row r="110" spans="1:10" x14ac:dyDescent="0.2">
      <c r="A110" s="17"/>
      <c r="B110" s="28" t="s">
        <v>196</v>
      </c>
      <c r="C110" s="29">
        <v>44787</v>
      </c>
      <c r="D110" s="28" t="s">
        <v>346</v>
      </c>
      <c r="E110" s="28" t="s">
        <v>268</v>
      </c>
      <c r="F110" s="28" t="s">
        <v>18</v>
      </c>
      <c r="G110" s="28" t="s">
        <v>197</v>
      </c>
      <c r="H110" s="10">
        <v>96.885936599999994</v>
      </c>
      <c r="I110" s="28" t="s">
        <v>23</v>
      </c>
      <c r="J110" s="28" t="s">
        <v>26</v>
      </c>
    </row>
    <row r="111" spans="1:10" x14ac:dyDescent="0.2">
      <c r="A111" s="17"/>
      <c r="B111" s="28" t="s">
        <v>196</v>
      </c>
      <c r="C111" s="29">
        <v>44787</v>
      </c>
      <c r="D111" s="28" t="s">
        <v>346</v>
      </c>
      <c r="E111" s="28" t="s">
        <v>268</v>
      </c>
      <c r="F111" s="28" t="s">
        <v>18</v>
      </c>
      <c r="G111" s="28" t="s">
        <v>197</v>
      </c>
      <c r="H111" s="10">
        <v>51.311822100000001</v>
      </c>
      <c r="I111" s="28" t="s">
        <v>23</v>
      </c>
      <c r="J111" s="28" t="s">
        <v>24</v>
      </c>
    </row>
    <row r="112" spans="1:10" x14ac:dyDescent="0.2">
      <c r="A112" s="17"/>
      <c r="B112" s="28" t="s">
        <v>196</v>
      </c>
      <c r="C112" s="29">
        <v>44787</v>
      </c>
      <c r="D112" s="28" t="s">
        <v>347</v>
      </c>
      <c r="E112" s="28" t="s">
        <v>268</v>
      </c>
      <c r="F112" s="28" t="s">
        <v>18</v>
      </c>
      <c r="G112" s="28" t="s">
        <v>197</v>
      </c>
      <c r="H112" s="10">
        <v>77.978608800000003</v>
      </c>
      <c r="I112" s="28" t="s">
        <v>23</v>
      </c>
      <c r="J112" s="28" t="s">
        <v>26</v>
      </c>
    </row>
    <row r="113" spans="1:10" x14ac:dyDescent="0.2">
      <c r="A113" s="17"/>
      <c r="B113" s="28" t="s">
        <v>196</v>
      </c>
      <c r="C113" s="29">
        <v>44787</v>
      </c>
      <c r="D113" s="28" t="s">
        <v>348</v>
      </c>
      <c r="E113" s="28" t="s">
        <v>268</v>
      </c>
      <c r="F113" s="28" t="s">
        <v>18</v>
      </c>
      <c r="G113" s="28" t="s">
        <v>197</v>
      </c>
      <c r="H113" s="10">
        <v>170.91140039999999</v>
      </c>
      <c r="I113" s="28" t="s">
        <v>23</v>
      </c>
      <c r="J113" s="28" t="s">
        <v>33</v>
      </c>
    </row>
    <row r="114" spans="1:10" x14ac:dyDescent="0.2">
      <c r="A114" s="17"/>
      <c r="B114" s="28" t="s">
        <v>196</v>
      </c>
      <c r="C114" s="29">
        <v>44787</v>
      </c>
      <c r="D114" s="28" t="s">
        <v>348</v>
      </c>
      <c r="E114" s="28" t="s">
        <v>268</v>
      </c>
      <c r="F114" s="28" t="s">
        <v>18</v>
      </c>
      <c r="G114" s="28" t="s">
        <v>197</v>
      </c>
      <c r="H114" s="10">
        <v>944.01102600000002</v>
      </c>
      <c r="I114" s="28" t="s">
        <v>23</v>
      </c>
      <c r="J114" s="28" t="s">
        <v>201</v>
      </c>
    </row>
    <row r="115" spans="1:10" x14ac:dyDescent="0.2">
      <c r="A115" s="17"/>
      <c r="B115" s="28" t="s">
        <v>196</v>
      </c>
      <c r="C115" s="29">
        <v>44787</v>
      </c>
      <c r="D115" s="28" t="s">
        <v>346</v>
      </c>
      <c r="E115" s="28" t="s">
        <v>268</v>
      </c>
      <c r="F115" s="28" t="s">
        <v>18</v>
      </c>
      <c r="G115" s="28" t="s">
        <v>197</v>
      </c>
      <c r="H115" s="10">
        <v>1306.3675914</v>
      </c>
      <c r="I115" s="28" t="s">
        <v>23</v>
      </c>
      <c r="J115" s="28" t="s">
        <v>28</v>
      </c>
    </row>
    <row r="116" spans="1:10" x14ac:dyDescent="0.2">
      <c r="A116" s="17"/>
      <c r="B116" s="28" t="s">
        <v>196</v>
      </c>
      <c r="C116" s="29">
        <v>44787</v>
      </c>
      <c r="D116" s="28" t="s">
        <v>346</v>
      </c>
      <c r="E116" s="28" t="s">
        <v>268</v>
      </c>
      <c r="F116" s="28" t="s">
        <v>18</v>
      </c>
      <c r="G116" s="28" t="s">
        <v>197</v>
      </c>
      <c r="H116" s="10">
        <v>117.2276913</v>
      </c>
      <c r="I116" s="28" t="s">
        <v>23</v>
      </c>
      <c r="J116" s="28" t="s">
        <v>200</v>
      </c>
    </row>
    <row r="117" spans="1:10" x14ac:dyDescent="0.2">
      <c r="A117" s="17"/>
      <c r="B117" s="28" t="s">
        <v>196</v>
      </c>
      <c r="C117" s="29">
        <v>44787</v>
      </c>
      <c r="D117" s="28" t="s">
        <v>346</v>
      </c>
      <c r="E117" s="28" t="s">
        <v>268</v>
      </c>
      <c r="F117" s="28" t="s">
        <v>18</v>
      </c>
      <c r="G117" s="28" t="s">
        <v>197</v>
      </c>
      <c r="H117" s="10">
        <v>134.85871800000001</v>
      </c>
      <c r="I117" s="28" t="s">
        <v>23</v>
      </c>
      <c r="J117" s="28" t="s">
        <v>201</v>
      </c>
    </row>
    <row r="118" spans="1:10" x14ac:dyDescent="0.2">
      <c r="A118" s="17"/>
      <c r="B118" s="28" t="s">
        <v>196</v>
      </c>
      <c r="C118" s="29">
        <v>44787</v>
      </c>
      <c r="D118" s="28" t="s">
        <v>349</v>
      </c>
      <c r="E118" s="28" t="s">
        <v>268</v>
      </c>
      <c r="F118" s="28" t="s">
        <v>18</v>
      </c>
      <c r="G118" s="28" t="s">
        <v>197</v>
      </c>
      <c r="H118" s="10">
        <v>935.74330559999999</v>
      </c>
      <c r="I118" s="28" t="s">
        <v>23</v>
      </c>
      <c r="J118" s="28" t="s">
        <v>26</v>
      </c>
    </row>
    <row r="119" spans="1:10" x14ac:dyDescent="0.2">
      <c r="A119" s="17"/>
      <c r="B119" s="28" t="s">
        <v>196</v>
      </c>
      <c r="C119" s="29">
        <v>44787</v>
      </c>
      <c r="D119" s="28" t="s">
        <v>350</v>
      </c>
      <c r="E119" s="28" t="s">
        <v>268</v>
      </c>
      <c r="F119" s="28" t="s">
        <v>18</v>
      </c>
      <c r="G119" s="28" t="s">
        <v>197</v>
      </c>
      <c r="H119" s="10">
        <v>19551.938918399999</v>
      </c>
      <c r="I119" s="28" t="s">
        <v>23</v>
      </c>
      <c r="J119" s="28" t="s">
        <v>239</v>
      </c>
    </row>
    <row r="120" spans="1:10" x14ac:dyDescent="0.2">
      <c r="A120" s="17"/>
      <c r="B120" s="28" t="s">
        <v>196</v>
      </c>
      <c r="C120" s="29">
        <v>44789</v>
      </c>
      <c r="D120" s="28" t="s">
        <v>351</v>
      </c>
      <c r="E120" s="28" t="s">
        <v>268</v>
      </c>
      <c r="F120" s="28" t="s">
        <v>18</v>
      </c>
      <c r="G120" s="28" t="s">
        <v>197</v>
      </c>
      <c r="H120" s="10">
        <v>404.57615399999997</v>
      </c>
      <c r="I120" s="28" t="s">
        <v>23</v>
      </c>
      <c r="J120" s="28" t="s">
        <v>201</v>
      </c>
    </row>
    <row r="121" spans="1:10" x14ac:dyDescent="0.2">
      <c r="A121" s="17"/>
      <c r="B121" s="28" t="s">
        <v>196</v>
      </c>
      <c r="C121" s="29">
        <v>44789</v>
      </c>
      <c r="D121" s="28" t="s">
        <v>351</v>
      </c>
      <c r="E121" s="28" t="s">
        <v>268</v>
      </c>
      <c r="F121" s="28" t="s">
        <v>18</v>
      </c>
      <c r="G121" s="28" t="s">
        <v>197</v>
      </c>
      <c r="H121" s="10">
        <v>292.419783</v>
      </c>
      <c r="I121" s="28" t="s">
        <v>23</v>
      </c>
      <c r="J121" s="28" t="s">
        <v>28</v>
      </c>
    </row>
    <row r="122" spans="1:10" x14ac:dyDescent="0.2">
      <c r="A122" s="17"/>
      <c r="B122" s="28" t="s">
        <v>196</v>
      </c>
      <c r="C122" s="29">
        <v>44789</v>
      </c>
      <c r="D122" s="28" t="s">
        <v>351</v>
      </c>
      <c r="E122" s="28" t="s">
        <v>268</v>
      </c>
      <c r="F122" s="28" t="s">
        <v>18</v>
      </c>
      <c r="G122" s="28" t="s">
        <v>197</v>
      </c>
      <c r="H122" s="10">
        <v>685.50922709999998</v>
      </c>
      <c r="I122" s="28" t="s">
        <v>23</v>
      </c>
      <c r="J122" s="28" t="s">
        <v>20</v>
      </c>
    </row>
    <row r="123" spans="1:10" x14ac:dyDescent="0.2">
      <c r="A123" s="17"/>
      <c r="B123" s="28" t="s">
        <v>196</v>
      </c>
      <c r="C123" s="29">
        <v>44789</v>
      </c>
      <c r="D123" s="28" t="s">
        <v>351</v>
      </c>
      <c r="E123" s="28" t="s">
        <v>268</v>
      </c>
      <c r="F123" s="28" t="s">
        <v>18</v>
      </c>
      <c r="G123" s="28" t="s">
        <v>197</v>
      </c>
      <c r="H123" s="10">
        <v>1797.1336011000001</v>
      </c>
      <c r="I123" s="28" t="s">
        <v>23</v>
      </c>
      <c r="J123" s="28" t="s">
        <v>29</v>
      </c>
    </row>
    <row r="124" spans="1:10" x14ac:dyDescent="0.2">
      <c r="A124" s="17"/>
      <c r="B124" s="28" t="s">
        <v>196</v>
      </c>
      <c r="C124" s="29">
        <v>44789</v>
      </c>
      <c r="D124" s="28" t="s">
        <v>351</v>
      </c>
      <c r="E124" s="28" t="s">
        <v>268</v>
      </c>
      <c r="F124" s="28" t="s">
        <v>18</v>
      </c>
      <c r="G124" s="28" t="s">
        <v>197</v>
      </c>
      <c r="H124" s="10">
        <v>450.11638440000002</v>
      </c>
      <c r="I124" s="28" t="s">
        <v>21</v>
      </c>
      <c r="J124" s="28" t="s">
        <v>33</v>
      </c>
    </row>
    <row r="125" spans="1:10" x14ac:dyDescent="0.2">
      <c r="A125" s="17"/>
      <c r="B125" s="28" t="s">
        <v>196</v>
      </c>
      <c r="C125" s="29">
        <v>44789</v>
      </c>
      <c r="D125" s="28" t="s">
        <v>351</v>
      </c>
      <c r="E125" s="28" t="s">
        <v>268</v>
      </c>
      <c r="F125" s="28" t="s">
        <v>18</v>
      </c>
      <c r="G125" s="28" t="s">
        <v>197</v>
      </c>
      <c r="H125" s="10">
        <v>344.91754859999998</v>
      </c>
      <c r="I125" s="28" t="s">
        <v>23</v>
      </c>
      <c r="J125" s="28" t="s">
        <v>33</v>
      </c>
    </row>
    <row r="126" spans="1:10" x14ac:dyDescent="0.2">
      <c r="A126" s="17"/>
      <c r="B126" s="28" t="s">
        <v>196</v>
      </c>
      <c r="C126" s="29">
        <v>44791</v>
      </c>
      <c r="D126" s="28" t="s">
        <v>352</v>
      </c>
      <c r="E126" s="28" t="s">
        <v>268</v>
      </c>
      <c r="F126" s="28" t="s">
        <v>18</v>
      </c>
      <c r="G126" s="28" t="s">
        <v>197</v>
      </c>
      <c r="H126" s="10">
        <v>272.16838589999998</v>
      </c>
      <c r="I126" s="28" t="s">
        <v>23</v>
      </c>
      <c r="J126" s="28" t="s">
        <v>24</v>
      </c>
    </row>
    <row r="127" spans="1:10" x14ac:dyDescent="0.2">
      <c r="A127" s="17"/>
      <c r="B127" s="28" t="s">
        <v>196</v>
      </c>
      <c r="C127" s="29">
        <v>44791</v>
      </c>
      <c r="D127" s="28" t="s">
        <v>353</v>
      </c>
      <c r="E127" s="28" t="s">
        <v>268</v>
      </c>
      <c r="F127" s="28" t="s">
        <v>18</v>
      </c>
      <c r="G127" s="28" t="s">
        <v>197</v>
      </c>
      <c r="H127" s="10">
        <v>68.039272800000006</v>
      </c>
      <c r="I127" s="28" t="s">
        <v>23</v>
      </c>
      <c r="J127" s="28" t="s">
        <v>24</v>
      </c>
    </row>
    <row r="128" spans="1:10" x14ac:dyDescent="0.2">
      <c r="A128" s="17"/>
      <c r="B128" s="28" t="s">
        <v>196</v>
      </c>
      <c r="C128" s="29">
        <v>44791</v>
      </c>
      <c r="D128" s="28" t="s">
        <v>353</v>
      </c>
      <c r="E128" s="28" t="s">
        <v>268</v>
      </c>
      <c r="F128" s="28" t="s">
        <v>18</v>
      </c>
      <c r="G128" s="28" t="s">
        <v>197</v>
      </c>
      <c r="H128" s="10">
        <v>276.27965669999998</v>
      </c>
      <c r="I128" s="28" t="s">
        <v>23</v>
      </c>
      <c r="J128" s="28" t="s">
        <v>20</v>
      </c>
    </row>
    <row r="129" spans="1:10" x14ac:dyDescent="0.2">
      <c r="A129" s="17"/>
      <c r="B129" s="28" t="s">
        <v>196</v>
      </c>
      <c r="C129" s="29">
        <v>44792</v>
      </c>
      <c r="D129" s="28" t="s">
        <v>354</v>
      </c>
      <c r="E129" s="28" t="s">
        <v>268</v>
      </c>
      <c r="F129" s="28" t="s">
        <v>18</v>
      </c>
      <c r="G129" s="28" t="s">
        <v>197</v>
      </c>
      <c r="H129" s="10">
        <v>519.55619999999999</v>
      </c>
      <c r="I129" s="28" t="s">
        <v>23</v>
      </c>
      <c r="J129" s="28" t="s">
        <v>28</v>
      </c>
    </row>
    <row r="130" spans="1:10" x14ac:dyDescent="0.2">
      <c r="A130" s="17"/>
      <c r="B130" s="28" t="s">
        <v>196</v>
      </c>
      <c r="C130" s="29">
        <v>44792</v>
      </c>
      <c r="D130" s="28" t="s">
        <v>355</v>
      </c>
      <c r="E130" s="28" t="s">
        <v>268</v>
      </c>
      <c r="F130" s="28" t="s">
        <v>18</v>
      </c>
      <c r="G130" s="28" t="s">
        <v>197</v>
      </c>
      <c r="H130" s="10">
        <v>2507.4234000000001</v>
      </c>
      <c r="I130" s="28" t="s">
        <v>23</v>
      </c>
      <c r="J130" s="28" t="s">
        <v>28</v>
      </c>
    </row>
    <row r="131" spans="1:10" x14ac:dyDescent="0.2">
      <c r="A131" s="17"/>
      <c r="B131" s="28" t="s">
        <v>196</v>
      </c>
      <c r="C131" s="29">
        <v>44792</v>
      </c>
      <c r="D131" s="28" t="s">
        <v>355</v>
      </c>
      <c r="E131" s="28" t="s">
        <v>268</v>
      </c>
      <c r="F131" s="28" t="s">
        <v>18</v>
      </c>
      <c r="G131" s="28" t="s">
        <v>197</v>
      </c>
      <c r="H131" s="10">
        <v>1694.2049999999999</v>
      </c>
      <c r="I131" s="28" t="s">
        <v>23</v>
      </c>
      <c r="J131" s="28" t="s">
        <v>33</v>
      </c>
    </row>
    <row r="132" spans="1:10" x14ac:dyDescent="0.2">
      <c r="A132" s="17"/>
      <c r="B132" s="28" t="s">
        <v>196</v>
      </c>
      <c r="C132" s="29">
        <v>44792</v>
      </c>
      <c r="D132" s="28" t="s">
        <v>356</v>
      </c>
      <c r="E132" s="28" t="s">
        <v>268</v>
      </c>
      <c r="F132" s="28" t="s">
        <v>18</v>
      </c>
      <c r="G132" s="28" t="s">
        <v>197</v>
      </c>
      <c r="H132" s="10">
        <v>310.15246200000001</v>
      </c>
      <c r="I132" s="28" t="s">
        <v>23</v>
      </c>
      <c r="J132" s="28" t="s">
        <v>24</v>
      </c>
    </row>
    <row r="133" spans="1:10" x14ac:dyDescent="0.2">
      <c r="A133" s="17"/>
      <c r="B133" s="28" t="s">
        <v>196</v>
      </c>
      <c r="C133" s="29">
        <v>44796</v>
      </c>
      <c r="D133" s="28" t="s">
        <v>357</v>
      </c>
      <c r="E133" s="28" t="s">
        <v>268</v>
      </c>
      <c r="F133" s="28" t="s">
        <v>18</v>
      </c>
      <c r="G133" s="28" t="s">
        <v>197</v>
      </c>
      <c r="H133" s="10">
        <v>208.0935528</v>
      </c>
      <c r="I133" s="28" t="s">
        <v>23</v>
      </c>
      <c r="J133" s="28" t="s">
        <v>24</v>
      </c>
    </row>
    <row r="134" spans="1:10" x14ac:dyDescent="0.2">
      <c r="A134" s="17"/>
      <c r="B134" s="28" t="s">
        <v>196</v>
      </c>
      <c r="C134" s="29">
        <v>44796</v>
      </c>
      <c r="D134" s="28" t="s">
        <v>357</v>
      </c>
      <c r="E134" s="28" t="s">
        <v>268</v>
      </c>
      <c r="F134" s="28" t="s">
        <v>18</v>
      </c>
      <c r="G134" s="28" t="s">
        <v>197</v>
      </c>
      <c r="H134" s="10">
        <v>409.77171600000003</v>
      </c>
      <c r="I134" s="28" t="s">
        <v>23</v>
      </c>
      <c r="J134" s="28" t="s">
        <v>29</v>
      </c>
    </row>
    <row r="135" spans="1:10" x14ac:dyDescent="0.2">
      <c r="A135" s="17"/>
      <c r="B135" s="28" t="s">
        <v>196</v>
      </c>
      <c r="C135" s="29">
        <v>44802</v>
      </c>
      <c r="D135" s="28" t="s">
        <v>358</v>
      </c>
      <c r="E135" s="28" t="s">
        <v>268</v>
      </c>
      <c r="F135" s="28" t="s">
        <v>18</v>
      </c>
      <c r="G135" s="28" t="s">
        <v>197</v>
      </c>
      <c r="H135" s="10">
        <v>6267.4290300000002</v>
      </c>
      <c r="I135" s="28" t="s">
        <v>23</v>
      </c>
      <c r="J135" s="28" t="s">
        <v>26</v>
      </c>
    </row>
    <row r="136" spans="1:10" x14ac:dyDescent="0.2">
      <c r="A136" s="17"/>
      <c r="B136" s="28" t="s">
        <v>196</v>
      </c>
      <c r="C136" s="29">
        <v>44802</v>
      </c>
      <c r="D136" s="28" t="s">
        <v>359</v>
      </c>
      <c r="E136" s="28" t="s">
        <v>268</v>
      </c>
      <c r="F136" s="28" t="s">
        <v>18</v>
      </c>
      <c r="G136" s="28" t="s">
        <v>197</v>
      </c>
      <c r="H136" s="10">
        <v>540.69987839999999</v>
      </c>
      <c r="I136" s="28" t="s">
        <v>23</v>
      </c>
      <c r="J136" s="28" t="s">
        <v>20</v>
      </c>
    </row>
    <row r="137" spans="1:10" x14ac:dyDescent="0.2">
      <c r="A137" s="17"/>
      <c r="B137" s="28" t="s">
        <v>196</v>
      </c>
      <c r="C137" s="29">
        <v>44802</v>
      </c>
      <c r="D137" s="28" t="s">
        <v>359</v>
      </c>
      <c r="E137" s="28" t="s">
        <v>268</v>
      </c>
      <c r="F137" s="28" t="s">
        <v>18</v>
      </c>
      <c r="G137" s="28" t="s">
        <v>197</v>
      </c>
      <c r="H137" s="10">
        <v>117.27287010000001</v>
      </c>
      <c r="I137" s="28" t="s">
        <v>23</v>
      </c>
      <c r="J137" s="28" t="s">
        <v>31</v>
      </c>
    </row>
    <row r="138" spans="1:10" x14ac:dyDescent="0.2">
      <c r="A138" s="17"/>
      <c r="B138" s="28" t="s">
        <v>196</v>
      </c>
      <c r="C138" s="29">
        <v>44803</v>
      </c>
      <c r="D138" s="28" t="s">
        <v>360</v>
      </c>
      <c r="E138" s="28" t="s">
        <v>268</v>
      </c>
      <c r="F138" s="28" t="s">
        <v>18</v>
      </c>
      <c r="G138" s="28" t="s">
        <v>197</v>
      </c>
      <c r="H138" s="10">
        <v>274.67580930000003</v>
      </c>
      <c r="I138" s="28" t="s">
        <v>23</v>
      </c>
      <c r="J138" s="28" t="s">
        <v>24</v>
      </c>
    </row>
    <row r="139" spans="1:10" x14ac:dyDescent="0.2">
      <c r="A139" s="17"/>
      <c r="B139" s="28" t="s">
        <v>196</v>
      </c>
      <c r="C139" s="29">
        <v>44803</v>
      </c>
      <c r="D139" s="28" t="s">
        <v>361</v>
      </c>
      <c r="E139" s="28" t="s">
        <v>268</v>
      </c>
      <c r="F139" s="28" t="s">
        <v>18</v>
      </c>
      <c r="G139" s="28" t="s">
        <v>197</v>
      </c>
      <c r="H139" s="10">
        <v>20100.082004100001</v>
      </c>
      <c r="I139" s="28" t="s">
        <v>23</v>
      </c>
      <c r="J139" s="28" t="s">
        <v>26</v>
      </c>
    </row>
    <row r="140" spans="1:10" x14ac:dyDescent="0.2">
      <c r="A140" s="17"/>
      <c r="B140" s="28" t="s">
        <v>196</v>
      </c>
      <c r="C140" s="29">
        <v>44804</v>
      </c>
      <c r="D140" s="28" t="s">
        <v>362</v>
      </c>
      <c r="E140" s="28" t="s">
        <v>0</v>
      </c>
      <c r="F140" s="28" t="s">
        <v>18</v>
      </c>
      <c r="G140" s="28" t="s">
        <v>197</v>
      </c>
      <c r="H140" s="10">
        <v>71576.070451815089</v>
      </c>
      <c r="I140" s="28" t="s">
        <v>36</v>
      </c>
      <c r="J140" s="28" t="s">
        <v>188</v>
      </c>
    </row>
    <row r="141" spans="1:10" x14ac:dyDescent="0.2">
      <c r="A141" s="17"/>
      <c r="B141" s="28" t="s">
        <v>196</v>
      </c>
      <c r="C141" s="29">
        <v>44804</v>
      </c>
      <c r="D141" s="28" t="s">
        <v>363</v>
      </c>
      <c r="E141" s="28" t="s">
        <v>0</v>
      </c>
      <c r="F141" s="28" t="s">
        <v>18</v>
      </c>
      <c r="G141" s="28" t="s">
        <v>197</v>
      </c>
      <c r="H141" s="10">
        <v>53048.317694787183</v>
      </c>
      <c r="I141" s="28" t="s">
        <v>36</v>
      </c>
      <c r="J141" s="28" t="s">
        <v>188</v>
      </c>
    </row>
  </sheetData>
  <autoFilter ref="A1:J1529" xr:uid="{90BF4956-1B19-48D0-A5CD-897EBF53E047}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1E88-D901-4C4C-94CC-B0C3D16BB531}">
  <sheetPr codeName="Sheet1"/>
  <dimension ref="A1:J140"/>
  <sheetViews>
    <sheetView workbookViewId="0">
      <selection sqref="A1:J1"/>
    </sheetView>
  </sheetViews>
  <sheetFormatPr defaultRowHeight="10" x14ac:dyDescent="0.2"/>
  <cols>
    <col min="1" max="1" width="11.7265625" style="33" bestFit="1" customWidth="1"/>
    <col min="2" max="2" width="10.08984375" style="33" bestFit="1" customWidth="1"/>
    <col min="3" max="3" width="8.08984375" style="33" bestFit="1" customWidth="1"/>
    <col min="4" max="4" width="14.7265625" style="33" bestFit="1" customWidth="1"/>
    <col min="5" max="5" width="17.36328125" style="33" bestFit="1" customWidth="1"/>
    <col min="6" max="6" width="4.7265625" style="33" bestFit="1" customWidth="1"/>
    <col min="7" max="7" width="42" style="33" bestFit="1" customWidth="1"/>
    <col min="8" max="8" width="8.54296875" style="33" bestFit="1" customWidth="1"/>
    <col min="9" max="9" width="14.1796875" style="33" bestFit="1" customWidth="1"/>
    <col min="10" max="10" width="11.36328125" style="33" bestFit="1" customWidth="1"/>
    <col min="11" max="16384" width="8.7265625" style="33"/>
  </cols>
  <sheetData>
    <row r="1" spans="1:10" x14ac:dyDescent="0.2">
      <c r="A1" s="34" t="s">
        <v>3</v>
      </c>
      <c r="B1" s="34" t="s">
        <v>4</v>
      </c>
      <c r="C1" s="34" t="s">
        <v>5</v>
      </c>
      <c r="D1" s="34" t="s">
        <v>6</v>
      </c>
      <c r="E1" s="34" t="s">
        <v>7</v>
      </c>
      <c r="F1" s="34" t="s">
        <v>8</v>
      </c>
      <c r="G1" s="34" t="s">
        <v>9</v>
      </c>
      <c r="H1" s="35" t="s">
        <v>10</v>
      </c>
      <c r="I1" s="34" t="s">
        <v>11</v>
      </c>
      <c r="J1" s="34" t="s">
        <v>12</v>
      </c>
    </row>
    <row r="2" spans="1:10" x14ac:dyDescent="0.2">
      <c r="A2" s="41"/>
      <c r="B2" s="42" t="s">
        <v>17</v>
      </c>
      <c r="C2" s="43">
        <v>44672</v>
      </c>
      <c r="D2" s="42" t="s">
        <v>204</v>
      </c>
      <c r="E2" s="42" t="s">
        <v>40</v>
      </c>
      <c r="F2" s="42" t="s">
        <v>18</v>
      </c>
      <c r="G2" s="42" t="s">
        <v>30</v>
      </c>
      <c r="H2" s="44">
        <v>5266.9749001602713</v>
      </c>
      <c r="I2" s="42" t="s">
        <v>38</v>
      </c>
      <c r="J2" s="42" t="s">
        <v>24</v>
      </c>
    </row>
    <row r="3" spans="1:10" x14ac:dyDescent="0.2">
      <c r="A3" s="41"/>
      <c r="B3" s="42" t="s">
        <v>17</v>
      </c>
      <c r="C3" s="43">
        <v>44692</v>
      </c>
      <c r="D3" s="42" t="s">
        <v>206</v>
      </c>
      <c r="E3" s="42" t="s">
        <v>40</v>
      </c>
      <c r="F3" s="42" t="s">
        <v>18</v>
      </c>
      <c r="G3" s="42" t="s">
        <v>30</v>
      </c>
      <c r="H3" s="44">
        <v>14053.208210261249</v>
      </c>
      <c r="I3" s="42" t="s">
        <v>21</v>
      </c>
      <c r="J3" s="42" t="s">
        <v>20</v>
      </c>
    </row>
    <row r="4" spans="1:10" x14ac:dyDescent="0.2">
      <c r="A4" s="41"/>
      <c r="B4" s="42" t="s">
        <v>17</v>
      </c>
      <c r="C4" s="43">
        <v>44692</v>
      </c>
      <c r="D4" s="42" t="s">
        <v>206</v>
      </c>
      <c r="E4" s="42" t="s">
        <v>40</v>
      </c>
      <c r="F4" s="42" t="s">
        <v>18</v>
      </c>
      <c r="G4" s="42" t="s">
        <v>30</v>
      </c>
      <c r="H4" s="44">
        <v>35499.817101448927</v>
      </c>
      <c r="I4" s="42" t="s">
        <v>35</v>
      </c>
      <c r="J4" s="42" t="s">
        <v>20</v>
      </c>
    </row>
    <row r="5" spans="1:10" x14ac:dyDescent="0.2">
      <c r="A5" s="41"/>
      <c r="B5" s="42" t="s">
        <v>17</v>
      </c>
      <c r="C5" s="43">
        <v>44700</v>
      </c>
      <c r="D5" s="42" t="s">
        <v>207</v>
      </c>
      <c r="E5" s="42" t="s">
        <v>0</v>
      </c>
      <c r="F5" s="42" t="s">
        <v>18</v>
      </c>
      <c r="G5" s="42" t="s">
        <v>30</v>
      </c>
      <c r="H5" s="44">
        <v>52908.465827728527</v>
      </c>
      <c r="I5" s="42" t="s">
        <v>27</v>
      </c>
      <c r="J5" s="42" t="s">
        <v>24</v>
      </c>
    </row>
    <row r="6" spans="1:10" x14ac:dyDescent="0.2">
      <c r="A6" s="41"/>
      <c r="B6" s="42" t="s">
        <v>17</v>
      </c>
      <c r="C6" s="43">
        <v>44733</v>
      </c>
      <c r="D6" s="42" t="s">
        <v>210</v>
      </c>
      <c r="E6" s="42" t="s">
        <v>53</v>
      </c>
      <c r="F6" s="42" t="s">
        <v>18</v>
      </c>
      <c r="G6" s="42" t="s">
        <v>30</v>
      </c>
      <c r="H6" s="44">
        <v>3386.7667479280453</v>
      </c>
      <c r="I6" s="42" t="s">
        <v>27</v>
      </c>
      <c r="J6" s="42" t="s">
        <v>24</v>
      </c>
    </row>
    <row r="7" spans="1:10" x14ac:dyDescent="0.2">
      <c r="A7" s="41"/>
      <c r="B7" s="42" t="s">
        <v>17</v>
      </c>
      <c r="C7" s="43">
        <v>44733</v>
      </c>
      <c r="D7" s="42" t="s">
        <v>211</v>
      </c>
      <c r="E7" s="42" t="s">
        <v>53</v>
      </c>
      <c r="F7" s="42" t="s">
        <v>18</v>
      </c>
      <c r="G7" s="42" t="s">
        <v>30</v>
      </c>
      <c r="H7" s="44">
        <v>5796.2508774894741</v>
      </c>
      <c r="I7" s="42" t="s">
        <v>27</v>
      </c>
      <c r="J7" s="42" t="s">
        <v>24</v>
      </c>
    </row>
    <row r="8" spans="1:10" x14ac:dyDescent="0.2">
      <c r="A8" s="41"/>
      <c r="B8" s="42" t="s">
        <v>17</v>
      </c>
      <c r="C8" s="43">
        <v>44733</v>
      </c>
      <c r="D8" s="42" t="s">
        <v>212</v>
      </c>
      <c r="E8" s="42" t="s">
        <v>40</v>
      </c>
      <c r="F8" s="42" t="s">
        <v>18</v>
      </c>
      <c r="G8" s="42" t="s">
        <v>30</v>
      </c>
      <c r="H8" s="44">
        <v>8551.7102594833668</v>
      </c>
      <c r="I8" s="42" t="s">
        <v>35</v>
      </c>
      <c r="J8" s="42" t="s">
        <v>22</v>
      </c>
    </row>
    <row r="9" spans="1:10" x14ac:dyDescent="0.2">
      <c r="A9" s="41"/>
      <c r="B9" s="42" t="s">
        <v>17</v>
      </c>
      <c r="C9" s="43">
        <v>44733</v>
      </c>
      <c r="D9" s="42" t="s">
        <v>212</v>
      </c>
      <c r="E9" s="42" t="s">
        <v>40</v>
      </c>
      <c r="F9" s="42" t="s">
        <v>18</v>
      </c>
      <c r="G9" s="42" t="s">
        <v>30</v>
      </c>
      <c r="H9" s="44">
        <v>31476.702603187052</v>
      </c>
      <c r="I9" s="42" t="s">
        <v>35</v>
      </c>
      <c r="J9" s="42" t="s">
        <v>20</v>
      </c>
    </row>
    <row r="10" spans="1:10" x14ac:dyDescent="0.2">
      <c r="A10" s="41"/>
      <c r="B10" s="42" t="s">
        <v>17</v>
      </c>
      <c r="C10" s="43">
        <v>44747</v>
      </c>
      <c r="D10" s="42" t="s">
        <v>213</v>
      </c>
      <c r="E10" s="42" t="s">
        <v>268</v>
      </c>
      <c r="F10" s="42" t="s">
        <v>18</v>
      </c>
      <c r="G10" s="42" t="s">
        <v>30</v>
      </c>
      <c r="H10" s="44">
        <v>155.12653330889188</v>
      </c>
      <c r="I10" s="42" t="s">
        <v>23</v>
      </c>
      <c r="J10" s="42" t="s">
        <v>33</v>
      </c>
    </row>
    <row r="11" spans="1:10" x14ac:dyDescent="0.2">
      <c r="A11" s="41"/>
      <c r="B11" s="42" t="s">
        <v>17</v>
      </c>
      <c r="C11" s="43">
        <v>44747</v>
      </c>
      <c r="D11" s="42" t="s">
        <v>213</v>
      </c>
      <c r="E11" s="42" t="s">
        <v>268</v>
      </c>
      <c r="F11" s="42" t="s">
        <v>18</v>
      </c>
      <c r="G11" s="42" t="s">
        <v>30</v>
      </c>
      <c r="H11" s="44">
        <v>63.939287799512336</v>
      </c>
      <c r="I11" s="42" t="s">
        <v>23</v>
      </c>
      <c r="J11" s="42" t="s">
        <v>22</v>
      </c>
    </row>
    <row r="12" spans="1:10" x14ac:dyDescent="0.2">
      <c r="A12" s="41"/>
      <c r="B12" s="42" t="s">
        <v>17</v>
      </c>
      <c r="C12" s="43">
        <v>44749</v>
      </c>
      <c r="D12" s="42" t="s">
        <v>214</v>
      </c>
      <c r="E12" s="42" t="s">
        <v>268</v>
      </c>
      <c r="F12" s="42" t="s">
        <v>18</v>
      </c>
      <c r="G12" s="42" t="s">
        <v>30</v>
      </c>
      <c r="H12" s="44">
        <v>532.66745652680117</v>
      </c>
      <c r="I12" s="42" t="s">
        <v>27</v>
      </c>
      <c r="J12" s="42" t="s">
        <v>24</v>
      </c>
    </row>
    <row r="13" spans="1:10" x14ac:dyDescent="0.2">
      <c r="A13" s="41"/>
      <c r="B13" s="42" t="s">
        <v>17</v>
      </c>
      <c r="C13" s="43">
        <v>44749</v>
      </c>
      <c r="D13" s="42" t="s">
        <v>214</v>
      </c>
      <c r="E13" s="42" t="s">
        <v>268</v>
      </c>
      <c r="F13" s="42" t="s">
        <v>18</v>
      </c>
      <c r="G13" s="42" t="s">
        <v>30</v>
      </c>
      <c r="H13" s="44">
        <v>1652.3859854367026</v>
      </c>
      <c r="I13" s="42" t="s">
        <v>27</v>
      </c>
      <c r="J13" s="42" t="s">
        <v>28</v>
      </c>
    </row>
    <row r="14" spans="1:10" x14ac:dyDescent="0.2">
      <c r="A14" s="41"/>
      <c r="B14" s="42" t="s">
        <v>17</v>
      </c>
      <c r="C14" s="43">
        <v>44749</v>
      </c>
      <c r="D14" s="42" t="s">
        <v>215</v>
      </c>
      <c r="E14" s="42" t="s">
        <v>268</v>
      </c>
      <c r="F14" s="42" t="s">
        <v>18</v>
      </c>
      <c r="G14" s="42" t="s">
        <v>30</v>
      </c>
      <c r="H14" s="44">
        <v>670.45902086178728</v>
      </c>
      <c r="I14" s="42" t="s">
        <v>23</v>
      </c>
      <c r="J14" s="42" t="s">
        <v>202</v>
      </c>
    </row>
    <row r="15" spans="1:10" x14ac:dyDescent="0.2">
      <c r="A15" s="41"/>
      <c r="B15" s="42" t="s">
        <v>17</v>
      </c>
      <c r="C15" s="43">
        <v>44750</v>
      </c>
      <c r="D15" s="42" t="s">
        <v>216</v>
      </c>
      <c r="E15" s="42" t="s">
        <v>268</v>
      </c>
      <c r="F15" s="42" t="s">
        <v>18</v>
      </c>
      <c r="G15" s="42" t="s">
        <v>30</v>
      </c>
      <c r="H15" s="44">
        <v>796.94916549470406</v>
      </c>
      <c r="I15" s="42" t="s">
        <v>23</v>
      </c>
      <c r="J15" s="42" t="s">
        <v>28</v>
      </c>
    </row>
    <row r="16" spans="1:10" x14ac:dyDescent="0.2">
      <c r="A16" s="41"/>
      <c r="B16" s="42" t="s">
        <v>17</v>
      </c>
      <c r="C16" s="43">
        <v>44750</v>
      </c>
      <c r="D16" s="42" t="s">
        <v>216</v>
      </c>
      <c r="E16" s="42" t="s">
        <v>268</v>
      </c>
      <c r="F16" s="42" t="s">
        <v>18</v>
      </c>
      <c r="G16" s="42" t="s">
        <v>30</v>
      </c>
      <c r="H16" s="44">
        <v>976.48554027391913</v>
      </c>
      <c r="I16" s="42" t="s">
        <v>23</v>
      </c>
      <c r="J16" s="42" t="s">
        <v>20</v>
      </c>
    </row>
    <row r="17" spans="1:10" x14ac:dyDescent="0.2">
      <c r="A17" s="41"/>
      <c r="B17" s="42" t="s">
        <v>17</v>
      </c>
      <c r="C17" s="43">
        <v>44750</v>
      </c>
      <c r="D17" s="42" t="s">
        <v>216</v>
      </c>
      <c r="E17" s="42" t="s">
        <v>268</v>
      </c>
      <c r="F17" s="42" t="s">
        <v>18</v>
      </c>
      <c r="G17" s="42" t="s">
        <v>30</v>
      </c>
      <c r="H17" s="44">
        <v>43.582439664077626</v>
      </c>
      <c r="I17" s="42" t="s">
        <v>23</v>
      </c>
      <c r="J17" s="42" t="s">
        <v>31</v>
      </c>
    </row>
    <row r="18" spans="1:10" x14ac:dyDescent="0.2">
      <c r="A18" s="41"/>
      <c r="B18" s="42" t="s">
        <v>17</v>
      </c>
      <c r="C18" s="43">
        <v>44750</v>
      </c>
      <c r="D18" s="42" t="s">
        <v>216</v>
      </c>
      <c r="E18" s="42" t="s">
        <v>268</v>
      </c>
      <c r="F18" s="42" t="s">
        <v>18</v>
      </c>
      <c r="G18" s="42" t="s">
        <v>30</v>
      </c>
      <c r="H18" s="44">
        <v>775.61224844201672</v>
      </c>
      <c r="I18" s="42" t="s">
        <v>23</v>
      </c>
      <c r="J18" s="42" t="s">
        <v>33</v>
      </c>
    </row>
    <row r="19" spans="1:10" x14ac:dyDescent="0.2">
      <c r="A19" s="41"/>
      <c r="B19" s="42" t="s">
        <v>17</v>
      </c>
      <c r="C19" s="43">
        <v>44750</v>
      </c>
      <c r="D19" s="42" t="s">
        <v>216</v>
      </c>
      <c r="E19" s="42" t="s">
        <v>268</v>
      </c>
      <c r="F19" s="42" t="s">
        <v>18</v>
      </c>
      <c r="G19" s="42" t="s">
        <v>30</v>
      </c>
      <c r="H19" s="44">
        <v>1934.5947883493516</v>
      </c>
      <c r="I19" s="42" t="s">
        <v>23</v>
      </c>
      <c r="J19" s="42" t="s">
        <v>29</v>
      </c>
    </row>
    <row r="20" spans="1:10" x14ac:dyDescent="0.2">
      <c r="A20" s="41"/>
      <c r="B20" s="42" t="s">
        <v>17</v>
      </c>
      <c r="C20" s="43">
        <v>44750</v>
      </c>
      <c r="D20" s="42" t="s">
        <v>217</v>
      </c>
      <c r="E20" s="42" t="s">
        <v>268</v>
      </c>
      <c r="F20" s="42" t="s">
        <v>18</v>
      </c>
      <c r="G20" s="42" t="s">
        <v>30</v>
      </c>
      <c r="H20" s="44">
        <v>17.559568100776179</v>
      </c>
      <c r="I20" s="42" t="s">
        <v>23</v>
      </c>
      <c r="J20" s="42" t="s">
        <v>26</v>
      </c>
    </row>
    <row r="21" spans="1:10" x14ac:dyDescent="0.2">
      <c r="A21" s="41"/>
      <c r="B21" s="42" t="s">
        <v>17</v>
      </c>
      <c r="C21" s="43">
        <v>44750</v>
      </c>
      <c r="D21" s="42" t="s">
        <v>217</v>
      </c>
      <c r="E21" s="42" t="s">
        <v>268</v>
      </c>
      <c r="F21" s="42" t="s">
        <v>18</v>
      </c>
      <c r="G21" s="42" t="s">
        <v>30</v>
      </c>
      <c r="H21" s="44">
        <v>662.47554280666691</v>
      </c>
      <c r="I21" s="42" t="s">
        <v>23</v>
      </c>
      <c r="J21" s="42" t="s">
        <v>29</v>
      </c>
    </row>
    <row r="22" spans="1:10" x14ac:dyDescent="0.2">
      <c r="A22" s="41"/>
      <c r="B22" s="42" t="s">
        <v>17</v>
      </c>
      <c r="C22" s="43">
        <v>44750</v>
      </c>
      <c r="D22" s="42" t="s">
        <v>217</v>
      </c>
      <c r="E22" s="42" t="s">
        <v>268</v>
      </c>
      <c r="F22" s="42" t="s">
        <v>18</v>
      </c>
      <c r="G22" s="42" t="s">
        <v>30</v>
      </c>
      <c r="H22" s="44">
        <v>26.972313326889925</v>
      </c>
      <c r="I22" s="42" t="s">
        <v>23</v>
      </c>
      <c r="J22" s="42" t="s">
        <v>24</v>
      </c>
    </row>
    <row r="23" spans="1:10" x14ac:dyDescent="0.2">
      <c r="A23" s="41"/>
      <c r="B23" s="42" t="s">
        <v>17</v>
      </c>
      <c r="C23" s="43">
        <v>44750</v>
      </c>
      <c r="D23" s="42" t="s">
        <v>217</v>
      </c>
      <c r="E23" s="42" t="s">
        <v>268</v>
      </c>
      <c r="F23" s="42" t="s">
        <v>18</v>
      </c>
      <c r="G23" s="42" t="s">
        <v>30</v>
      </c>
      <c r="H23" s="44">
        <v>42.949478488351971</v>
      </c>
      <c r="I23" s="42" t="s">
        <v>23</v>
      </c>
      <c r="J23" s="42" t="s">
        <v>22</v>
      </c>
    </row>
    <row r="24" spans="1:10" x14ac:dyDescent="0.2">
      <c r="A24" s="41"/>
      <c r="B24" s="42" t="s">
        <v>17</v>
      </c>
      <c r="C24" s="43">
        <v>44751</v>
      </c>
      <c r="D24" s="42" t="s">
        <v>218</v>
      </c>
      <c r="E24" s="42" t="s">
        <v>268</v>
      </c>
      <c r="F24" s="42" t="s">
        <v>18</v>
      </c>
      <c r="G24" s="42" t="s">
        <v>30</v>
      </c>
      <c r="H24" s="44">
        <v>57.26256830072883</v>
      </c>
      <c r="I24" s="42" t="s">
        <v>23</v>
      </c>
      <c r="J24" s="42" t="s">
        <v>22</v>
      </c>
    </row>
    <row r="25" spans="1:10" x14ac:dyDescent="0.2">
      <c r="A25" s="41"/>
      <c r="B25" s="42" t="s">
        <v>17</v>
      </c>
      <c r="C25" s="43">
        <v>44751</v>
      </c>
      <c r="D25" s="42" t="s">
        <v>219</v>
      </c>
      <c r="E25" s="42" t="s">
        <v>268</v>
      </c>
      <c r="F25" s="42" t="s">
        <v>18</v>
      </c>
      <c r="G25" s="42" t="s">
        <v>30</v>
      </c>
      <c r="H25" s="44">
        <v>447.39125167460145</v>
      </c>
      <c r="I25" s="42" t="s">
        <v>23</v>
      </c>
      <c r="J25" s="42" t="s">
        <v>26</v>
      </c>
    </row>
    <row r="26" spans="1:10" x14ac:dyDescent="0.2">
      <c r="A26" s="41"/>
      <c r="B26" s="42" t="s">
        <v>17</v>
      </c>
      <c r="C26" s="43">
        <v>44751</v>
      </c>
      <c r="D26" s="42" t="s">
        <v>220</v>
      </c>
      <c r="E26" s="42" t="s">
        <v>268</v>
      </c>
      <c r="F26" s="42" t="s">
        <v>18</v>
      </c>
      <c r="G26" s="42" t="s">
        <v>30</v>
      </c>
      <c r="H26" s="44">
        <v>1744.7268537340983</v>
      </c>
      <c r="I26" s="42" t="s">
        <v>23</v>
      </c>
      <c r="J26" s="42" t="s">
        <v>29</v>
      </c>
    </row>
    <row r="27" spans="1:10" x14ac:dyDescent="0.2">
      <c r="A27" s="41"/>
      <c r="B27" s="42" t="s">
        <v>17</v>
      </c>
      <c r="C27" s="43">
        <v>44751</v>
      </c>
      <c r="D27" s="42" t="s">
        <v>221</v>
      </c>
      <c r="E27" s="42" t="s">
        <v>268</v>
      </c>
      <c r="F27" s="42" t="s">
        <v>18</v>
      </c>
      <c r="G27" s="42" t="s">
        <v>30</v>
      </c>
      <c r="H27" s="44">
        <v>654.32871993200445</v>
      </c>
      <c r="I27" s="42" t="s">
        <v>23</v>
      </c>
      <c r="J27" s="42" t="s">
        <v>20</v>
      </c>
    </row>
    <row r="28" spans="1:10" x14ac:dyDescent="0.2">
      <c r="A28" s="41"/>
      <c r="B28" s="42" t="s">
        <v>17</v>
      </c>
      <c r="C28" s="43">
        <v>44751</v>
      </c>
      <c r="D28" s="42" t="s">
        <v>220</v>
      </c>
      <c r="E28" s="42" t="s">
        <v>268</v>
      </c>
      <c r="F28" s="42" t="s">
        <v>18</v>
      </c>
      <c r="G28" s="42" t="s">
        <v>30</v>
      </c>
      <c r="H28" s="44">
        <v>268.90640917118873</v>
      </c>
      <c r="I28" s="42" t="s">
        <v>23</v>
      </c>
      <c r="J28" s="42" t="s">
        <v>41</v>
      </c>
    </row>
    <row r="29" spans="1:10" x14ac:dyDescent="0.2">
      <c r="A29" s="41"/>
      <c r="B29" s="42" t="s">
        <v>17</v>
      </c>
      <c r="C29" s="43">
        <v>44751</v>
      </c>
      <c r="D29" s="42" t="s">
        <v>219</v>
      </c>
      <c r="E29" s="42" t="s">
        <v>268</v>
      </c>
      <c r="F29" s="42" t="s">
        <v>18</v>
      </c>
      <c r="G29" s="42" t="s">
        <v>30</v>
      </c>
      <c r="H29" s="44">
        <v>47.012680874461807</v>
      </c>
      <c r="I29" s="42" t="s">
        <v>23</v>
      </c>
      <c r="J29" s="42" t="s">
        <v>28</v>
      </c>
    </row>
    <row r="30" spans="1:10" x14ac:dyDescent="0.2">
      <c r="A30" s="41"/>
      <c r="B30" s="42" t="s">
        <v>17</v>
      </c>
      <c r="C30" s="43">
        <v>44751</v>
      </c>
      <c r="D30" s="42" t="s">
        <v>222</v>
      </c>
      <c r="E30" s="42" t="s">
        <v>268</v>
      </c>
      <c r="F30" s="42" t="s">
        <v>18</v>
      </c>
      <c r="G30" s="42" t="s">
        <v>30</v>
      </c>
      <c r="H30" s="44">
        <v>1655.3874464957889</v>
      </c>
      <c r="I30" s="42" t="s">
        <v>23</v>
      </c>
      <c r="J30" s="42" t="s">
        <v>33</v>
      </c>
    </row>
    <row r="31" spans="1:10" x14ac:dyDescent="0.2">
      <c r="A31" s="41"/>
      <c r="B31" s="42" t="s">
        <v>17</v>
      </c>
      <c r="C31" s="43">
        <v>44751</v>
      </c>
      <c r="D31" s="42" t="s">
        <v>223</v>
      </c>
      <c r="E31" s="42" t="s">
        <v>268</v>
      </c>
      <c r="F31" s="42" t="s">
        <v>18</v>
      </c>
      <c r="G31" s="42" t="s">
        <v>30</v>
      </c>
      <c r="H31" s="44">
        <v>2201.5002234811495</v>
      </c>
      <c r="I31" s="42" t="s">
        <v>23</v>
      </c>
      <c r="J31" s="42" t="s">
        <v>24</v>
      </c>
    </row>
    <row r="32" spans="1:10" x14ac:dyDescent="0.2">
      <c r="A32" s="41"/>
      <c r="B32" s="42" t="s">
        <v>17</v>
      </c>
      <c r="C32" s="43">
        <v>44751</v>
      </c>
      <c r="D32" s="42" t="s">
        <v>224</v>
      </c>
      <c r="E32" s="42" t="s">
        <v>268</v>
      </c>
      <c r="F32" s="42" t="s">
        <v>18</v>
      </c>
      <c r="G32" s="42" t="s">
        <v>30</v>
      </c>
      <c r="H32" s="44">
        <v>1926.52963788446</v>
      </c>
      <c r="I32" s="42" t="s">
        <v>23</v>
      </c>
      <c r="J32" s="42" t="s">
        <v>20</v>
      </c>
    </row>
    <row r="33" spans="1:10" x14ac:dyDescent="0.2">
      <c r="A33" s="41"/>
      <c r="B33" s="42" t="s">
        <v>17</v>
      </c>
      <c r="C33" s="43">
        <v>44751</v>
      </c>
      <c r="D33" s="42" t="s">
        <v>218</v>
      </c>
      <c r="E33" s="42" t="s">
        <v>268</v>
      </c>
      <c r="F33" s="42" t="s">
        <v>18</v>
      </c>
      <c r="G33" s="42" t="s">
        <v>30</v>
      </c>
      <c r="H33" s="44">
        <v>42.387980671175988</v>
      </c>
      <c r="I33" s="42" t="s">
        <v>23</v>
      </c>
      <c r="J33" s="42" t="s">
        <v>200</v>
      </c>
    </row>
    <row r="34" spans="1:10" x14ac:dyDescent="0.2">
      <c r="A34" s="41"/>
      <c r="B34" s="42" t="s">
        <v>17</v>
      </c>
      <c r="C34" s="43">
        <v>44751</v>
      </c>
      <c r="D34" s="42" t="s">
        <v>218</v>
      </c>
      <c r="E34" s="42" t="s">
        <v>268</v>
      </c>
      <c r="F34" s="42" t="s">
        <v>18</v>
      </c>
      <c r="G34" s="42" t="s">
        <v>30</v>
      </c>
      <c r="H34" s="44">
        <v>361.45145849301201</v>
      </c>
      <c r="I34" s="42" t="s">
        <v>23</v>
      </c>
      <c r="J34" s="42" t="s">
        <v>20</v>
      </c>
    </row>
    <row r="35" spans="1:10" x14ac:dyDescent="0.2">
      <c r="A35" s="41"/>
      <c r="B35" s="42" t="s">
        <v>17</v>
      </c>
      <c r="C35" s="43">
        <v>44751</v>
      </c>
      <c r="D35" s="42" t="s">
        <v>222</v>
      </c>
      <c r="E35" s="42" t="s">
        <v>268</v>
      </c>
      <c r="F35" s="42" t="s">
        <v>18</v>
      </c>
      <c r="G35" s="42" t="s">
        <v>30</v>
      </c>
      <c r="H35" s="44">
        <v>117.12844466290996</v>
      </c>
      <c r="I35" s="42" t="s">
        <v>23</v>
      </c>
      <c r="J35" s="42"/>
    </row>
    <row r="36" spans="1:10" x14ac:dyDescent="0.2">
      <c r="A36" s="41"/>
      <c r="B36" s="42" t="s">
        <v>17</v>
      </c>
      <c r="C36" s="43">
        <v>44751</v>
      </c>
      <c r="D36" s="42" t="s">
        <v>225</v>
      </c>
      <c r="E36" s="42" t="s">
        <v>268</v>
      </c>
      <c r="F36" s="42" t="s">
        <v>18</v>
      </c>
      <c r="G36" s="42" t="s">
        <v>30</v>
      </c>
      <c r="H36" s="44">
        <v>672.24560482552897</v>
      </c>
      <c r="I36" s="42" t="s">
        <v>23</v>
      </c>
      <c r="J36" s="42"/>
    </row>
    <row r="37" spans="1:10" x14ac:dyDescent="0.2">
      <c r="A37" s="41"/>
      <c r="B37" s="42" t="s">
        <v>17</v>
      </c>
      <c r="C37" s="43">
        <v>44751</v>
      </c>
      <c r="D37" s="42" t="s">
        <v>218</v>
      </c>
      <c r="E37" s="42" t="s">
        <v>268</v>
      </c>
      <c r="F37" s="42" t="s">
        <v>18</v>
      </c>
      <c r="G37" s="42" t="s">
        <v>30</v>
      </c>
      <c r="H37" s="44">
        <v>1034.5546236211371</v>
      </c>
      <c r="I37" s="42" t="s">
        <v>23</v>
      </c>
      <c r="J37" s="42" t="s">
        <v>37</v>
      </c>
    </row>
    <row r="38" spans="1:10" x14ac:dyDescent="0.2">
      <c r="A38" s="41"/>
      <c r="B38" s="42" t="s">
        <v>17</v>
      </c>
      <c r="C38" s="43">
        <v>44751</v>
      </c>
      <c r="D38" s="42" t="s">
        <v>226</v>
      </c>
      <c r="E38" s="42" t="s">
        <v>268</v>
      </c>
      <c r="F38" s="42" t="s">
        <v>18</v>
      </c>
      <c r="G38" s="42" t="s">
        <v>30</v>
      </c>
      <c r="H38" s="44">
        <v>182.14989189188873</v>
      </c>
      <c r="I38" s="42" t="s">
        <v>23</v>
      </c>
      <c r="J38" s="42" t="s">
        <v>25</v>
      </c>
    </row>
    <row r="39" spans="1:10" x14ac:dyDescent="0.2">
      <c r="A39" s="41"/>
      <c r="B39" s="42" t="s">
        <v>17</v>
      </c>
      <c r="C39" s="43">
        <v>44751</v>
      </c>
      <c r="D39" s="42" t="s">
        <v>222</v>
      </c>
      <c r="E39" s="42" t="s">
        <v>268</v>
      </c>
      <c r="F39" s="42" t="s">
        <v>18</v>
      </c>
      <c r="G39" s="42" t="s">
        <v>30</v>
      </c>
      <c r="H39" s="44">
        <v>296.92004572265955</v>
      </c>
      <c r="I39" s="42" t="s">
        <v>23</v>
      </c>
      <c r="J39" s="42" t="s">
        <v>31</v>
      </c>
    </row>
    <row r="40" spans="1:10" x14ac:dyDescent="0.2">
      <c r="A40" s="41"/>
      <c r="B40" s="42" t="s">
        <v>17</v>
      </c>
      <c r="C40" s="43">
        <v>44751</v>
      </c>
      <c r="D40" s="42" t="s">
        <v>226</v>
      </c>
      <c r="E40" s="42" t="s">
        <v>268</v>
      </c>
      <c r="F40" s="42" t="s">
        <v>18</v>
      </c>
      <c r="G40" s="42" t="s">
        <v>30</v>
      </c>
      <c r="H40" s="44">
        <v>229.84657919818309</v>
      </c>
      <c r="I40" s="42" t="s">
        <v>23</v>
      </c>
      <c r="J40" s="42" t="s">
        <v>28</v>
      </c>
    </row>
    <row r="41" spans="1:10" x14ac:dyDescent="0.2">
      <c r="A41" s="41"/>
      <c r="B41" s="42" t="s">
        <v>17</v>
      </c>
      <c r="C41" s="43">
        <v>44751</v>
      </c>
      <c r="D41" s="42" t="s">
        <v>221</v>
      </c>
      <c r="E41" s="42" t="s">
        <v>268</v>
      </c>
      <c r="F41" s="42" t="s">
        <v>18</v>
      </c>
      <c r="G41" s="42" t="s">
        <v>30</v>
      </c>
      <c r="H41" s="44">
        <v>851.37361755588881</v>
      </c>
      <c r="I41" s="42" t="s">
        <v>23</v>
      </c>
      <c r="J41" s="42"/>
    </row>
    <row r="42" spans="1:10" x14ac:dyDescent="0.2">
      <c r="A42" s="41"/>
      <c r="B42" s="42" t="s">
        <v>17</v>
      </c>
      <c r="C42" s="43">
        <v>44751</v>
      </c>
      <c r="D42" s="42" t="s">
        <v>219</v>
      </c>
      <c r="E42" s="42" t="s">
        <v>268</v>
      </c>
      <c r="F42" s="42" t="s">
        <v>18</v>
      </c>
      <c r="G42" s="42" t="s">
        <v>30</v>
      </c>
      <c r="H42" s="44">
        <v>61.07054440630413</v>
      </c>
      <c r="I42" s="42" t="s">
        <v>23</v>
      </c>
      <c r="J42" s="42" t="s">
        <v>201</v>
      </c>
    </row>
    <row r="43" spans="1:10" x14ac:dyDescent="0.2">
      <c r="A43" s="41"/>
      <c r="B43" s="42" t="s">
        <v>17</v>
      </c>
      <c r="C43" s="43">
        <v>44752</v>
      </c>
      <c r="D43" s="42" t="s">
        <v>227</v>
      </c>
      <c r="E43" s="42" t="s">
        <v>268</v>
      </c>
      <c r="F43" s="42" t="s">
        <v>18</v>
      </c>
      <c r="G43" s="42" t="s">
        <v>30</v>
      </c>
      <c r="H43" s="44">
        <v>1611.0087008364435</v>
      </c>
      <c r="I43" s="42" t="s">
        <v>23</v>
      </c>
      <c r="J43" s="42" t="s">
        <v>20</v>
      </c>
    </row>
    <row r="44" spans="1:10" x14ac:dyDescent="0.2">
      <c r="A44" s="41"/>
      <c r="B44" s="42" t="s">
        <v>17</v>
      </c>
      <c r="C44" s="43">
        <v>44754</v>
      </c>
      <c r="D44" s="42" t="s">
        <v>228</v>
      </c>
      <c r="E44" s="42" t="s">
        <v>268</v>
      </c>
      <c r="F44" s="42" t="s">
        <v>18</v>
      </c>
      <c r="G44" s="42" t="s">
        <v>30</v>
      </c>
      <c r="H44" s="44">
        <v>176.01425210783844</v>
      </c>
      <c r="I44" s="42" t="s">
        <v>23</v>
      </c>
      <c r="J44" s="42" t="s">
        <v>20</v>
      </c>
    </row>
    <row r="45" spans="1:10" x14ac:dyDescent="0.2">
      <c r="A45" s="41"/>
      <c r="B45" s="42" t="s">
        <v>17</v>
      </c>
      <c r="C45" s="43">
        <v>44754</v>
      </c>
      <c r="D45" s="42" t="s">
        <v>228</v>
      </c>
      <c r="E45" s="42" t="s">
        <v>268</v>
      </c>
      <c r="F45" s="42" t="s">
        <v>18</v>
      </c>
      <c r="G45" s="42" t="s">
        <v>30</v>
      </c>
      <c r="H45" s="44">
        <v>21.551307128336347</v>
      </c>
      <c r="I45" s="42" t="s">
        <v>23</v>
      </c>
      <c r="J45" s="42" t="s">
        <v>22</v>
      </c>
    </row>
    <row r="46" spans="1:10" x14ac:dyDescent="0.2">
      <c r="A46" s="41"/>
      <c r="B46" s="42" t="s">
        <v>17</v>
      </c>
      <c r="C46" s="43">
        <v>44757</v>
      </c>
      <c r="D46" s="42" t="s">
        <v>229</v>
      </c>
      <c r="E46" s="42" t="s">
        <v>268</v>
      </c>
      <c r="F46" s="42" t="s">
        <v>18</v>
      </c>
      <c r="G46" s="42" t="s">
        <v>30</v>
      </c>
      <c r="H46" s="44">
        <v>444.50209017895048</v>
      </c>
      <c r="I46" s="42" t="s">
        <v>23</v>
      </c>
      <c r="J46" s="42" t="s">
        <v>28</v>
      </c>
    </row>
    <row r="47" spans="1:10" x14ac:dyDescent="0.2">
      <c r="A47" s="41"/>
      <c r="B47" s="42" t="s">
        <v>17</v>
      </c>
      <c r="C47" s="43">
        <v>44757</v>
      </c>
      <c r="D47" s="42" t="s">
        <v>230</v>
      </c>
      <c r="E47" s="42" t="s">
        <v>268</v>
      </c>
      <c r="F47" s="42" t="s">
        <v>18</v>
      </c>
      <c r="G47" s="42" t="s">
        <v>30</v>
      </c>
      <c r="H47" s="44">
        <v>114.60680901122872</v>
      </c>
      <c r="I47" s="42" t="s">
        <v>23</v>
      </c>
      <c r="J47" s="42" t="s">
        <v>29</v>
      </c>
    </row>
    <row r="48" spans="1:10" x14ac:dyDescent="0.2">
      <c r="A48" s="41"/>
      <c r="B48" s="42" t="s">
        <v>17</v>
      </c>
      <c r="C48" s="43">
        <v>44757</v>
      </c>
      <c r="D48" s="42" t="s">
        <v>230</v>
      </c>
      <c r="E48" s="42" t="s">
        <v>268</v>
      </c>
      <c r="F48" s="42" t="s">
        <v>18</v>
      </c>
      <c r="G48" s="42" t="s">
        <v>30</v>
      </c>
      <c r="H48" s="44">
        <v>146.0813139267479</v>
      </c>
      <c r="I48" s="42" t="s">
        <v>23</v>
      </c>
      <c r="J48" s="42" t="s">
        <v>25</v>
      </c>
    </row>
    <row r="49" spans="1:10" x14ac:dyDescent="0.2">
      <c r="A49" s="41"/>
      <c r="B49" s="42" t="s">
        <v>17</v>
      </c>
      <c r="C49" s="43">
        <v>44757</v>
      </c>
      <c r="D49" s="42" t="s">
        <v>231</v>
      </c>
      <c r="E49" s="42" t="s">
        <v>268</v>
      </c>
      <c r="F49" s="42" t="s">
        <v>18</v>
      </c>
      <c r="G49" s="42" t="s">
        <v>30</v>
      </c>
      <c r="H49" s="44">
        <v>280.00364784883038</v>
      </c>
      <c r="I49" s="42" t="s">
        <v>23</v>
      </c>
      <c r="J49" s="42" t="s">
        <v>24</v>
      </c>
    </row>
    <row r="50" spans="1:10" x14ac:dyDescent="0.2">
      <c r="A50" s="41"/>
      <c r="B50" s="42" t="s">
        <v>17</v>
      </c>
      <c r="C50" s="43">
        <v>44757</v>
      </c>
      <c r="D50" s="42" t="s">
        <v>229</v>
      </c>
      <c r="E50" s="42" t="s">
        <v>268</v>
      </c>
      <c r="F50" s="42" t="s">
        <v>18</v>
      </c>
      <c r="G50" s="42" t="s">
        <v>30</v>
      </c>
      <c r="H50" s="44">
        <v>1656.1837524910566</v>
      </c>
      <c r="I50" s="42" t="s">
        <v>23</v>
      </c>
      <c r="J50" s="42" t="s">
        <v>29</v>
      </c>
    </row>
    <row r="51" spans="1:10" x14ac:dyDescent="0.2">
      <c r="A51" s="41"/>
      <c r="B51" s="42" t="s">
        <v>17</v>
      </c>
      <c r="C51" s="43">
        <v>44761</v>
      </c>
      <c r="D51" s="42" t="s">
        <v>232</v>
      </c>
      <c r="E51" s="42" t="s">
        <v>268</v>
      </c>
      <c r="F51" s="42" t="s">
        <v>18</v>
      </c>
      <c r="G51" s="42" t="s">
        <v>30</v>
      </c>
      <c r="H51" s="44">
        <v>16.436572466424217</v>
      </c>
      <c r="I51" s="42" t="s">
        <v>23</v>
      </c>
      <c r="J51" s="42" t="s">
        <v>26</v>
      </c>
    </row>
    <row r="52" spans="1:10" x14ac:dyDescent="0.2">
      <c r="A52" s="41"/>
      <c r="B52" s="42" t="s">
        <v>17</v>
      </c>
      <c r="C52" s="43">
        <v>44761</v>
      </c>
      <c r="D52" s="42" t="s">
        <v>233</v>
      </c>
      <c r="E52" s="42" t="s">
        <v>268</v>
      </c>
      <c r="F52" s="42" t="s">
        <v>18</v>
      </c>
      <c r="G52" s="42" t="s">
        <v>30</v>
      </c>
      <c r="H52" s="44">
        <v>1002.3654851201212</v>
      </c>
      <c r="I52" s="42" t="s">
        <v>23</v>
      </c>
      <c r="J52" s="42" t="s">
        <v>31</v>
      </c>
    </row>
    <row r="53" spans="1:10" x14ac:dyDescent="0.2">
      <c r="A53" s="41"/>
      <c r="B53" s="42" t="s">
        <v>17</v>
      </c>
      <c r="C53" s="43">
        <v>44761</v>
      </c>
      <c r="D53" s="42" t="s">
        <v>232</v>
      </c>
      <c r="E53" s="42" t="s">
        <v>268</v>
      </c>
      <c r="F53" s="42" t="s">
        <v>18</v>
      </c>
      <c r="G53" s="42" t="s">
        <v>30</v>
      </c>
      <c r="H53" s="44">
        <v>53.944626653779849</v>
      </c>
      <c r="I53" s="42" t="s">
        <v>23</v>
      </c>
      <c r="J53" s="42" t="s">
        <v>20</v>
      </c>
    </row>
    <row r="54" spans="1:10" x14ac:dyDescent="0.2">
      <c r="A54" s="41"/>
      <c r="B54" s="42" t="s">
        <v>17</v>
      </c>
      <c r="C54" s="43">
        <v>44761</v>
      </c>
      <c r="D54" s="42" t="s">
        <v>233</v>
      </c>
      <c r="E54" s="42" t="s">
        <v>268</v>
      </c>
      <c r="F54" s="42" t="s">
        <v>18</v>
      </c>
      <c r="G54" s="42" t="s">
        <v>30</v>
      </c>
      <c r="H54" s="44">
        <v>164.37593371546353</v>
      </c>
      <c r="I54" s="42" t="s">
        <v>23</v>
      </c>
      <c r="J54" s="42" t="s">
        <v>26</v>
      </c>
    </row>
    <row r="55" spans="1:10" x14ac:dyDescent="0.2">
      <c r="A55" s="41"/>
      <c r="B55" s="42" t="s">
        <v>17</v>
      </c>
      <c r="C55" s="43">
        <v>44761</v>
      </c>
      <c r="D55" s="42" t="s">
        <v>233</v>
      </c>
      <c r="E55" s="42" t="s">
        <v>268</v>
      </c>
      <c r="F55" s="42" t="s">
        <v>18</v>
      </c>
      <c r="G55" s="42" t="s">
        <v>30</v>
      </c>
      <c r="H55" s="44">
        <v>323.31044312993072</v>
      </c>
      <c r="I55" s="42" t="s">
        <v>23</v>
      </c>
      <c r="J55" s="42" t="s">
        <v>22</v>
      </c>
    </row>
    <row r="56" spans="1:10" x14ac:dyDescent="0.2">
      <c r="A56" s="41"/>
      <c r="B56" s="42" t="s">
        <v>17</v>
      </c>
      <c r="C56" s="43">
        <v>44761</v>
      </c>
      <c r="D56" s="42" t="s">
        <v>234</v>
      </c>
      <c r="E56" s="42" t="s">
        <v>268</v>
      </c>
      <c r="F56" s="42" t="s">
        <v>18</v>
      </c>
      <c r="G56" s="42" t="s">
        <v>30</v>
      </c>
      <c r="H56" s="44">
        <v>120.95683887092801</v>
      </c>
      <c r="I56" s="42" t="s">
        <v>23</v>
      </c>
      <c r="J56" s="42" t="s">
        <v>20</v>
      </c>
    </row>
    <row r="57" spans="1:10" x14ac:dyDescent="0.2">
      <c r="A57" s="41"/>
      <c r="B57" s="42" t="s">
        <v>17</v>
      </c>
      <c r="C57" s="43">
        <v>44761</v>
      </c>
      <c r="D57" s="42" t="s">
        <v>233</v>
      </c>
      <c r="E57" s="42" t="s">
        <v>268</v>
      </c>
      <c r="F57" s="42" t="s">
        <v>18</v>
      </c>
      <c r="G57" s="42" t="s">
        <v>30</v>
      </c>
      <c r="H57" s="44">
        <v>390.80248075448384</v>
      </c>
      <c r="I57" s="42" t="s">
        <v>23</v>
      </c>
      <c r="J57" s="42" t="s">
        <v>33</v>
      </c>
    </row>
    <row r="58" spans="1:10" x14ac:dyDescent="0.2">
      <c r="A58" s="41"/>
      <c r="B58" s="42" t="s">
        <v>17</v>
      </c>
      <c r="C58" s="43">
        <v>44761</v>
      </c>
      <c r="D58" s="42" t="s">
        <v>235</v>
      </c>
      <c r="E58" s="42" t="s">
        <v>268</v>
      </c>
      <c r="F58" s="42" t="s">
        <v>18</v>
      </c>
      <c r="G58" s="42" t="s">
        <v>30</v>
      </c>
      <c r="H58" s="44">
        <v>133.11581887559339</v>
      </c>
      <c r="I58" s="42" t="s">
        <v>23</v>
      </c>
      <c r="J58" s="42" t="s">
        <v>31</v>
      </c>
    </row>
    <row r="59" spans="1:10" x14ac:dyDescent="0.2">
      <c r="A59" s="41"/>
      <c r="B59" s="42" t="s">
        <v>17</v>
      </c>
      <c r="C59" s="43">
        <v>44761</v>
      </c>
      <c r="D59" s="42" t="s">
        <v>232</v>
      </c>
      <c r="E59" s="42" t="s">
        <v>268</v>
      </c>
      <c r="F59" s="42" t="s">
        <v>18</v>
      </c>
      <c r="G59" s="42" t="s">
        <v>30</v>
      </c>
      <c r="H59" s="44">
        <v>78.160496150896762</v>
      </c>
      <c r="I59" s="42" t="s">
        <v>23</v>
      </c>
      <c r="J59" s="42" t="s">
        <v>33</v>
      </c>
    </row>
    <row r="60" spans="1:10" x14ac:dyDescent="0.2">
      <c r="A60" s="41"/>
      <c r="B60" s="42" t="s">
        <v>17</v>
      </c>
      <c r="C60" s="43">
        <v>44761</v>
      </c>
      <c r="D60" s="42" t="s">
        <v>233</v>
      </c>
      <c r="E60" s="42" t="s">
        <v>268</v>
      </c>
      <c r="F60" s="42" t="s">
        <v>18</v>
      </c>
      <c r="G60" s="42" t="s">
        <v>30</v>
      </c>
      <c r="H60" s="44">
        <v>1343.419259272813</v>
      </c>
      <c r="I60" s="42" t="s">
        <v>23</v>
      </c>
      <c r="J60" s="42" t="s">
        <v>24</v>
      </c>
    </row>
    <row r="61" spans="1:10" x14ac:dyDescent="0.2">
      <c r="A61" s="41"/>
      <c r="B61" s="42" t="s">
        <v>17</v>
      </c>
      <c r="C61" s="43">
        <v>44762</v>
      </c>
      <c r="D61" s="42" t="s">
        <v>237</v>
      </c>
      <c r="E61" s="42" t="s">
        <v>268</v>
      </c>
      <c r="F61" s="42" t="s">
        <v>18</v>
      </c>
      <c r="G61" s="42" t="s">
        <v>30</v>
      </c>
      <c r="H61" s="44">
        <v>282.68862832005374</v>
      </c>
      <c r="I61" s="42" t="s">
        <v>23</v>
      </c>
      <c r="J61" s="42" t="s">
        <v>33</v>
      </c>
    </row>
    <row r="62" spans="1:10" x14ac:dyDescent="0.2">
      <c r="A62" s="41"/>
      <c r="B62" s="42" t="s">
        <v>17</v>
      </c>
      <c r="C62" s="43">
        <v>44762</v>
      </c>
      <c r="D62" s="42" t="s">
        <v>237</v>
      </c>
      <c r="E62" s="42" t="s">
        <v>268</v>
      </c>
      <c r="F62" s="42" t="s">
        <v>18</v>
      </c>
      <c r="G62" s="42" t="s">
        <v>30</v>
      </c>
      <c r="H62" s="44">
        <v>57.538212683706135</v>
      </c>
      <c r="I62" s="42" t="s">
        <v>23</v>
      </c>
      <c r="J62" s="42" t="s">
        <v>20</v>
      </c>
    </row>
    <row r="63" spans="1:10" x14ac:dyDescent="0.2">
      <c r="A63" s="41"/>
      <c r="B63" s="42" t="s">
        <v>17</v>
      </c>
      <c r="C63" s="43">
        <v>44762</v>
      </c>
      <c r="D63" s="42" t="s">
        <v>237</v>
      </c>
      <c r="E63" s="42" t="s">
        <v>268</v>
      </c>
      <c r="F63" s="42" t="s">
        <v>18</v>
      </c>
      <c r="G63" s="42" t="s">
        <v>30</v>
      </c>
      <c r="H63" s="44">
        <v>774.75468813942064</v>
      </c>
      <c r="I63" s="42" t="s">
        <v>23</v>
      </c>
      <c r="J63" s="42" t="s">
        <v>202</v>
      </c>
    </row>
    <row r="64" spans="1:10" x14ac:dyDescent="0.2">
      <c r="A64" s="41"/>
      <c r="B64" s="42" t="s">
        <v>17</v>
      </c>
      <c r="C64" s="43">
        <v>44762</v>
      </c>
      <c r="D64" s="42" t="s">
        <v>237</v>
      </c>
      <c r="E64" s="42" t="s">
        <v>268</v>
      </c>
      <c r="F64" s="42" t="s">
        <v>18</v>
      </c>
      <c r="G64" s="42" t="s">
        <v>30</v>
      </c>
      <c r="H64" s="44">
        <v>22.419076482153773</v>
      </c>
      <c r="I64" s="42" t="s">
        <v>23</v>
      </c>
      <c r="J64" s="42" t="s">
        <v>28</v>
      </c>
    </row>
    <row r="65" spans="1:10" x14ac:dyDescent="0.2">
      <c r="A65" s="41"/>
      <c r="B65" s="42" t="s">
        <v>17</v>
      </c>
      <c r="C65" s="43">
        <v>44762</v>
      </c>
      <c r="D65" s="42" t="s">
        <v>237</v>
      </c>
      <c r="E65" s="42" t="s">
        <v>268</v>
      </c>
      <c r="F65" s="42" t="s">
        <v>18</v>
      </c>
      <c r="G65" s="42" t="s">
        <v>30</v>
      </c>
      <c r="H65" s="44">
        <v>65.399182124169883</v>
      </c>
      <c r="I65" s="42" t="s">
        <v>23</v>
      </c>
      <c r="J65" s="42" t="s">
        <v>22</v>
      </c>
    </row>
    <row r="66" spans="1:10" x14ac:dyDescent="0.2">
      <c r="A66" s="41"/>
      <c r="B66" s="42" t="s">
        <v>17</v>
      </c>
      <c r="C66" s="43">
        <v>44762</v>
      </c>
      <c r="D66" s="42" t="s">
        <v>237</v>
      </c>
      <c r="E66" s="42" t="s">
        <v>268</v>
      </c>
      <c r="F66" s="42" t="s">
        <v>18</v>
      </c>
      <c r="G66" s="42" t="s">
        <v>30</v>
      </c>
      <c r="H66" s="44">
        <v>46.155120571865758</v>
      </c>
      <c r="I66" s="42" t="s">
        <v>23</v>
      </c>
      <c r="J66" s="42" t="s">
        <v>26</v>
      </c>
    </row>
    <row r="67" spans="1:10" x14ac:dyDescent="0.2">
      <c r="A67" s="41"/>
      <c r="B67" s="42" t="s">
        <v>17</v>
      </c>
      <c r="C67" s="43">
        <v>44762</v>
      </c>
      <c r="D67" s="42" t="s">
        <v>237</v>
      </c>
      <c r="E67" s="42" t="s">
        <v>268</v>
      </c>
      <c r="F67" s="42" t="s">
        <v>18</v>
      </c>
      <c r="G67" s="42" t="s">
        <v>30</v>
      </c>
      <c r="H67" s="44">
        <v>35.170181457659268</v>
      </c>
      <c r="I67" s="42" t="s">
        <v>23</v>
      </c>
      <c r="J67" s="42" t="s">
        <v>31</v>
      </c>
    </row>
    <row r="68" spans="1:10" x14ac:dyDescent="0.2">
      <c r="A68" s="41"/>
      <c r="B68" s="42" t="s">
        <v>17</v>
      </c>
      <c r="C68" s="43">
        <v>44764</v>
      </c>
      <c r="D68" s="42" t="s">
        <v>238</v>
      </c>
      <c r="E68" s="42" t="s">
        <v>268</v>
      </c>
      <c r="F68" s="42" t="s">
        <v>18</v>
      </c>
      <c r="G68" s="42" t="s">
        <v>30</v>
      </c>
      <c r="H68" s="44">
        <v>179.58742003532197</v>
      </c>
      <c r="I68" s="42" t="s">
        <v>23</v>
      </c>
      <c r="J68" s="42" t="s">
        <v>20</v>
      </c>
    </row>
    <row r="69" spans="1:10" x14ac:dyDescent="0.2">
      <c r="A69" s="41"/>
      <c r="B69" s="42" t="s">
        <v>17</v>
      </c>
      <c r="C69" s="43">
        <v>44770</v>
      </c>
      <c r="D69" s="42" t="s">
        <v>240</v>
      </c>
      <c r="E69" s="42" t="s">
        <v>268</v>
      </c>
      <c r="F69" s="42" t="s">
        <v>18</v>
      </c>
      <c r="G69" s="42" t="s">
        <v>30</v>
      </c>
      <c r="H69" s="44">
        <v>2179.8876620454848</v>
      </c>
      <c r="I69" s="42" t="s">
        <v>23</v>
      </c>
      <c r="J69" s="42" t="s">
        <v>239</v>
      </c>
    </row>
    <row r="70" spans="1:10" x14ac:dyDescent="0.2">
      <c r="A70" s="41"/>
      <c r="B70" s="42" t="s">
        <v>17</v>
      </c>
      <c r="C70" s="43">
        <v>44771</v>
      </c>
      <c r="D70" s="42" t="s">
        <v>241</v>
      </c>
      <c r="E70" s="42" t="s">
        <v>268</v>
      </c>
      <c r="F70" s="42" t="s">
        <v>18</v>
      </c>
      <c r="G70" s="42" t="s">
        <v>30</v>
      </c>
      <c r="H70" s="44">
        <v>88.502265038156224</v>
      </c>
      <c r="I70" s="42" t="s">
        <v>23</v>
      </c>
      <c r="J70" s="42" t="s">
        <v>22</v>
      </c>
    </row>
    <row r="71" spans="1:10" x14ac:dyDescent="0.2">
      <c r="A71" s="41"/>
      <c r="B71" s="42" t="s">
        <v>17</v>
      </c>
      <c r="C71" s="43">
        <v>44771</v>
      </c>
      <c r="D71" s="42" t="s">
        <v>242</v>
      </c>
      <c r="E71" s="42" t="s">
        <v>268</v>
      </c>
      <c r="F71" s="42" t="s">
        <v>18</v>
      </c>
      <c r="G71" s="42" t="s">
        <v>30</v>
      </c>
      <c r="H71" s="44">
        <v>560.01750474888217</v>
      </c>
      <c r="I71" s="42" t="s">
        <v>23</v>
      </c>
      <c r="J71" s="42" t="s">
        <v>24</v>
      </c>
    </row>
    <row r="72" spans="1:10" x14ac:dyDescent="0.2">
      <c r="A72" s="41"/>
      <c r="B72" s="42" t="s">
        <v>17</v>
      </c>
      <c r="C72" s="43">
        <v>44771</v>
      </c>
      <c r="D72" s="42" t="s">
        <v>242</v>
      </c>
      <c r="E72" s="42" t="s">
        <v>268</v>
      </c>
      <c r="F72" s="42" t="s">
        <v>18</v>
      </c>
      <c r="G72" s="42" t="s">
        <v>30</v>
      </c>
      <c r="H72" s="44">
        <v>2231.1983534841484</v>
      </c>
      <c r="I72" s="42" t="s">
        <v>23</v>
      </c>
      <c r="J72" s="42" t="s">
        <v>28</v>
      </c>
    </row>
    <row r="73" spans="1:10" x14ac:dyDescent="0.2">
      <c r="A73" s="41"/>
      <c r="B73" s="42" t="s">
        <v>17</v>
      </c>
      <c r="C73" s="43">
        <v>44771</v>
      </c>
      <c r="D73" s="42" t="s">
        <v>241</v>
      </c>
      <c r="E73" s="42" t="s">
        <v>268</v>
      </c>
      <c r="F73" s="42" t="s">
        <v>18</v>
      </c>
      <c r="G73" s="42" t="s">
        <v>30</v>
      </c>
      <c r="H73" s="44">
        <v>126.18387309627533</v>
      </c>
      <c r="I73" s="42" t="s">
        <v>23</v>
      </c>
      <c r="J73" s="42" t="s">
        <v>33</v>
      </c>
    </row>
    <row r="74" spans="1:10" x14ac:dyDescent="0.2">
      <c r="A74" s="41"/>
      <c r="B74" s="42" t="s">
        <v>17</v>
      </c>
      <c r="C74" s="43">
        <v>44771</v>
      </c>
      <c r="D74" s="42" t="s">
        <v>241</v>
      </c>
      <c r="E74" s="42" t="s">
        <v>268</v>
      </c>
      <c r="F74" s="42" t="s">
        <v>18</v>
      </c>
      <c r="G74" s="42" t="s">
        <v>30</v>
      </c>
      <c r="H74" s="44">
        <v>273.5004822208104</v>
      </c>
      <c r="I74" s="42" t="s">
        <v>23</v>
      </c>
      <c r="J74" s="42"/>
    </row>
    <row r="75" spans="1:10" x14ac:dyDescent="0.2">
      <c r="A75" s="41"/>
      <c r="B75" s="42" t="s">
        <v>17</v>
      </c>
      <c r="C75" s="43">
        <v>44771</v>
      </c>
      <c r="D75" s="42" t="s">
        <v>242</v>
      </c>
      <c r="E75" s="42" t="s">
        <v>268</v>
      </c>
      <c r="F75" s="42" t="s">
        <v>18</v>
      </c>
      <c r="G75" s="42" t="s">
        <v>30</v>
      </c>
      <c r="H75" s="44">
        <v>560.56879351483678</v>
      </c>
      <c r="I75" s="42" t="s">
        <v>23</v>
      </c>
      <c r="J75" s="42" t="s">
        <v>31</v>
      </c>
    </row>
    <row r="76" spans="1:10" x14ac:dyDescent="0.2">
      <c r="A76" s="41"/>
      <c r="B76" s="42" t="s">
        <v>17</v>
      </c>
      <c r="C76" s="43">
        <v>44771</v>
      </c>
      <c r="D76" s="42" t="s">
        <v>242</v>
      </c>
      <c r="E76" s="42" t="s">
        <v>268</v>
      </c>
      <c r="F76" s="42" t="s">
        <v>18</v>
      </c>
      <c r="G76" s="42" t="s">
        <v>30</v>
      </c>
      <c r="H76" s="44">
        <v>110.62527903488993</v>
      </c>
      <c r="I76" s="42" t="s">
        <v>23</v>
      </c>
      <c r="J76" s="42" t="s">
        <v>22</v>
      </c>
    </row>
    <row r="77" spans="1:10" x14ac:dyDescent="0.2">
      <c r="A77" s="41"/>
      <c r="B77" s="42" t="s">
        <v>17</v>
      </c>
      <c r="C77" s="43">
        <v>44771</v>
      </c>
      <c r="D77" s="42" t="s">
        <v>242</v>
      </c>
      <c r="E77" s="42" t="s">
        <v>268</v>
      </c>
      <c r="F77" s="42" t="s">
        <v>18</v>
      </c>
      <c r="G77" s="42" t="s">
        <v>30</v>
      </c>
      <c r="H77" s="44">
        <v>953.05576772084851</v>
      </c>
      <c r="I77" s="42" t="s">
        <v>23</v>
      </c>
      <c r="J77" s="42" t="s">
        <v>33</v>
      </c>
    </row>
    <row r="78" spans="1:10" x14ac:dyDescent="0.2">
      <c r="A78" s="41"/>
      <c r="B78" s="42" t="s">
        <v>17</v>
      </c>
      <c r="C78" s="43">
        <v>44771</v>
      </c>
      <c r="D78" s="42" t="s">
        <v>242</v>
      </c>
      <c r="E78" s="42" t="s">
        <v>268</v>
      </c>
      <c r="F78" s="42" t="s">
        <v>18</v>
      </c>
      <c r="G78" s="42" t="s">
        <v>30</v>
      </c>
      <c r="H78" s="44">
        <v>1168.6300933115403</v>
      </c>
      <c r="I78" s="42" t="s">
        <v>23</v>
      </c>
      <c r="J78" s="42" t="s">
        <v>25</v>
      </c>
    </row>
    <row r="79" spans="1:10" x14ac:dyDescent="0.2">
      <c r="A79" s="41"/>
      <c r="B79" s="42" t="s">
        <v>17</v>
      </c>
      <c r="C79" s="43">
        <v>44779</v>
      </c>
      <c r="D79" s="42" t="s">
        <v>243</v>
      </c>
      <c r="E79" s="42" t="s">
        <v>268</v>
      </c>
      <c r="F79" s="42" t="s">
        <v>18</v>
      </c>
      <c r="G79" s="42" t="s">
        <v>30</v>
      </c>
      <c r="H79" s="44">
        <v>1902.479268</v>
      </c>
      <c r="I79" s="42" t="s">
        <v>23</v>
      </c>
      <c r="J79" s="42" t="s">
        <v>31</v>
      </c>
    </row>
    <row r="80" spans="1:10" x14ac:dyDescent="0.2">
      <c r="A80" s="41"/>
      <c r="B80" s="42" t="s">
        <v>17</v>
      </c>
      <c r="C80" s="43">
        <v>44779</v>
      </c>
      <c r="D80" s="42" t="s">
        <v>244</v>
      </c>
      <c r="E80" s="42" t="s">
        <v>268</v>
      </c>
      <c r="F80" s="42" t="s">
        <v>18</v>
      </c>
      <c r="G80" s="42" t="s">
        <v>30</v>
      </c>
      <c r="H80" s="44">
        <v>424.35317370000001</v>
      </c>
      <c r="I80" s="42" t="s">
        <v>23</v>
      </c>
      <c r="J80" s="42" t="s">
        <v>29</v>
      </c>
    </row>
    <row r="81" spans="1:10" x14ac:dyDescent="0.2">
      <c r="A81" s="41"/>
      <c r="B81" s="42" t="s">
        <v>17</v>
      </c>
      <c r="C81" s="43">
        <v>44779</v>
      </c>
      <c r="D81" s="42" t="s">
        <v>243</v>
      </c>
      <c r="E81" s="42" t="s">
        <v>268</v>
      </c>
      <c r="F81" s="42" t="s">
        <v>18</v>
      </c>
      <c r="G81" s="42" t="s">
        <v>30</v>
      </c>
      <c r="H81" s="44">
        <v>304.58417489999999</v>
      </c>
      <c r="I81" s="42" t="s">
        <v>23</v>
      </c>
      <c r="J81" s="42" t="s">
        <v>24</v>
      </c>
    </row>
    <row r="82" spans="1:10" x14ac:dyDescent="0.2">
      <c r="A82" s="41"/>
      <c r="B82" s="42" t="s">
        <v>17</v>
      </c>
      <c r="C82" s="43">
        <v>44779</v>
      </c>
      <c r="D82" s="42" t="s">
        <v>245</v>
      </c>
      <c r="E82" s="42" t="s">
        <v>268</v>
      </c>
      <c r="F82" s="42" t="s">
        <v>18</v>
      </c>
      <c r="G82" s="42" t="s">
        <v>30</v>
      </c>
      <c r="H82" s="44">
        <v>958.34400029999995</v>
      </c>
      <c r="I82" s="42" t="s">
        <v>23</v>
      </c>
      <c r="J82" s="42" t="s">
        <v>26</v>
      </c>
    </row>
    <row r="83" spans="1:10" x14ac:dyDescent="0.2">
      <c r="A83" s="41"/>
      <c r="B83" s="42" t="s">
        <v>17</v>
      </c>
      <c r="C83" s="43">
        <v>44779</v>
      </c>
      <c r="D83" s="42" t="s">
        <v>246</v>
      </c>
      <c r="E83" s="42" t="s">
        <v>268</v>
      </c>
      <c r="F83" s="42" t="s">
        <v>18</v>
      </c>
      <c r="G83" s="42" t="s">
        <v>30</v>
      </c>
      <c r="H83" s="44">
        <v>321.1196157</v>
      </c>
      <c r="I83" s="42" t="s">
        <v>23</v>
      </c>
      <c r="J83" s="42" t="s">
        <v>33</v>
      </c>
    </row>
    <row r="84" spans="1:10" x14ac:dyDescent="0.2">
      <c r="A84" s="41"/>
      <c r="B84" s="42" t="s">
        <v>17</v>
      </c>
      <c r="C84" s="43">
        <v>44779</v>
      </c>
      <c r="D84" s="42" t="s">
        <v>247</v>
      </c>
      <c r="E84" s="42" t="s">
        <v>268</v>
      </c>
      <c r="F84" s="42" t="s">
        <v>18</v>
      </c>
      <c r="G84" s="42" t="s">
        <v>30</v>
      </c>
      <c r="H84" s="44">
        <v>90.459252300000003</v>
      </c>
      <c r="I84" s="42" t="s">
        <v>23</v>
      </c>
      <c r="J84" s="42" t="s">
        <v>28</v>
      </c>
    </row>
    <row r="85" spans="1:10" x14ac:dyDescent="0.2">
      <c r="A85" s="41"/>
      <c r="B85" s="42" t="s">
        <v>17</v>
      </c>
      <c r="C85" s="43">
        <v>44779</v>
      </c>
      <c r="D85" s="42" t="s">
        <v>247</v>
      </c>
      <c r="E85" s="42" t="s">
        <v>268</v>
      </c>
      <c r="F85" s="42" t="s">
        <v>18</v>
      </c>
      <c r="G85" s="42" t="s">
        <v>30</v>
      </c>
      <c r="H85" s="44">
        <v>64.300727100000003</v>
      </c>
      <c r="I85" s="42" t="s">
        <v>23</v>
      </c>
      <c r="J85" s="42" t="s">
        <v>20</v>
      </c>
    </row>
    <row r="86" spans="1:10" x14ac:dyDescent="0.2">
      <c r="A86" s="41"/>
      <c r="B86" s="42" t="s">
        <v>17</v>
      </c>
      <c r="C86" s="43">
        <v>44779</v>
      </c>
      <c r="D86" s="42" t="s">
        <v>243</v>
      </c>
      <c r="E86" s="42" t="s">
        <v>268</v>
      </c>
      <c r="F86" s="42" t="s">
        <v>18</v>
      </c>
      <c r="G86" s="42" t="s">
        <v>30</v>
      </c>
      <c r="H86" s="44">
        <v>958.35529499999996</v>
      </c>
      <c r="I86" s="42" t="s">
        <v>23</v>
      </c>
      <c r="J86" s="42" t="s">
        <v>26</v>
      </c>
    </row>
    <row r="87" spans="1:10" x14ac:dyDescent="0.2">
      <c r="A87" s="41"/>
      <c r="B87" s="42" t="s">
        <v>17</v>
      </c>
      <c r="C87" s="43">
        <v>44779</v>
      </c>
      <c r="D87" s="42" t="s">
        <v>247</v>
      </c>
      <c r="E87" s="42" t="s">
        <v>268</v>
      </c>
      <c r="F87" s="42" t="s">
        <v>18</v>
      </c>
      <c r="G87" s="42" t="s">
        <v>30</v>
      </c>
      <c r="H87" s="44">
        <v>307.21584000000001</v>
      </c>
      <c r="I87" s="42" t="s">
        <v>23</v>
      </c>
      <c r="J87" s="42" t="s">
        <v>202</v>
      </c>
    </row>
    <row r="88" spans="1:10" x14ac:dyDescent="0.2">
      <c r="A88" s="41"/>
      <c r="B88" s="42" t="s">
        <v>17</v>
      </c>
      <c r="C88" s="43">
        <v>44779</v>
      </c>
      <c r="D88" s="42" t="s">
        <v>246</v>
      </c>
      <c r="E88" s="42" t="s">
        <v>268</v>
      </c>
      <c r="F88" s="42" t="s">
        <v>18</v>
      </c>
      <c r="G88" s="42" t="s">
        <v>30</v>
      </c>
      <c r="H88" s="44">
        <v>30.461805900000002</v>
      </c>
      <c r="I88" s="42" t="s">
        <v>23</v>
      </c>
      <c r="J88" s="42" t="s">
        <v>24</v>
      </c>
    </row>
    <row r="89" spans="1:10" x14ac:dyDescent="0.2">
      <c r="A89" s="41"/>
      <c r="B89" s="42" t="s">
        <v>17</v>
      </c>
      <c r="C89" s="43">
        <v>44779</v>
      </c>
      <c r="D89" s="42" t="s">
        <v>244</v>
      </c>
      <c r="E89" s="42" t="s">
        <v>268</v>
      </c>
      <c r="F89" s="42" t="s">
        <v>18</v>
      </c>
      <c r="G89" s="42" t="s">
        <v>30</v>
      </c>
      <c r="H89" s="44">
        <v>42.524545500000002</v>
      </c>
      <c r="I89" s="42" t="s">
        <v>23</v>
      </c>
      <c r="J89" s="42" t="s">
        <v>26</v>
      </c>
    </row>
    <row r="90" spans="1:10" x14ac:dyDescent="0.2">
      <c r="A90" s="41"/>
      <c r="B90" s="42" t="s">
        <v>17</v>
      </c>
      <c r="C90" s="43">
        <v>44779</v>
      </c>
      <c r="D90" s="42" t="s">
        <v>243</v>
      </c>
      <c r="E90" s="42" t="s">
        <v>268</v>
      </c>
      <c r="F90" s="42" t="s">
        <v>18</v>
      </c>
      <c r="G90" s="42" t="s">
        <v>30</v>
      </c>
      <c r="H90" s="44">
        <v>1440.3227334000001</v>
      </c>
      <c r="I90" s="42" t="s">
        <v>23</v>
      </c>
      <c r="J90" s="42" t="s">
        <v>22</v>
      </c>
    </row>
    <row r="91" spans="1:10" x14ac:dyDescent="0.2">
      <c r="A91" s="41"/>
      <c r="B91" s="42" t="s">
        <v>17</v>
      </c>
      <c r="C91" s="43">
        <v>44779</v>
      </c>
      <c r="D91" s="42" t="s">
        <v>246</v>
      </c>
      <c r="E91" s="42" t="s">
        <v>268</v>
      </c>
      <c r="F91" s="42" t="s">
        <v>18</v>
      </c>
      <c r="G91" s="42" t="s">
        <v>30</v>
      </c>
      <c r="H91" s="44">
        <v>4699.0018092</v>
      </c>
      <c r="I91" s="42" t="s">
        <v>23</v>
      </c>
      <c r="J91" s="42" t="s">
        <v>31</v>
      </c>
    </row>
    <row r="92" spans="1:10" x14ac:dyDescent="0.2">
      <c r="A92" s="41"/>
      <c r="B92" s="42" t="s">
        <v>17</v>
      </c>
      <c r="C92" s="43">
        <v>44779</v>
      </c>
      <c r="D92" s="42" t="s">
        <v>246</v>
      </c>
      <c r="E92" s="42" t="s">
        <v>268</v>
      </c>
      <c r="F92" s="42" t="s">
        <v>18</v>
      </c>
      <c r="G92" s="42" t="s">
        <v>30</v>
      </c>
      <c r="H92" s="44">
        <v>1440.3227334000001</v>
      </c>
      <c r="I92" s="42" t="s">
        <v>23</v>
      </c>
      <c r="J92" s="42" t="s">
        <v>22</v>
      </c>
    </row>
    <row r="93" spans="1:10" x14ac:dyDescent="0.2">
      <c r="A93" s="41"/>
      <c r="B93" s="42" t="s">
        <v>17</v>
      </c>
      <c r="C93" s="43">
        <v>44779</v>
      </c>
      <c r="D93" s="42" t="s">
        <v>246</v>
      </c>
      <c r="E93" s="42" t="s">
        <v>268</v>
      </c>
      <c r="F93" s="42" t="s">
        <v>18</v>
      </c>
      <c r="G93" s="42" t="s">
        <v>30</v>
      </c>
      <c r="H93" s="44">
        <v>2126.1369174000001</v>
      </c>
      <c r="I93" s="42" t="s">
        <v>23</v>
      </c>
      <c r="J93" s="42" t="s">
        <v>26</v>
      </c>
    </row>
    <row r="94" spans="1:10" x14ac:dyDescent="0.2">
      <c r="A94" s="41"/>
      <c r="B94" s="42" t="s">
        <v>17</v>
      </c>
      <c r="C94" s="43">
        <v>44779</v>
      </c>
      <c r="D94" s="42" t="s">
        <v>246</v>
      </c>
      <c r="E94" s="42" t="s">
        <v>268</v>
      </c>
      <c r="F94" s="42" t="s">
        <v>18</v>
      </c>
      <c r="G94" s="42" t="s">
        <v>30</v>
      </c>
      <c r="H94" s="44">
        <v>385.3186905</v>
      </c>
      <c r="I94" s="42" t="s">
        <v>23</v>
      </c>
      <c r="J94" s="42" t="s">
        <v>29</v>
      </c>
    </row>
    <row r="95" spans="1:10" x14ac:dyDescent="0.2">
      <c r="A95" s="41"/>
      <c r="B95" s="42" t="s">
        <v>17</v>
      </c>
      <c r="C95" s="43">
        <v>44779</v>
      </c>
      <c r="D95" s="42" t="s">
        <v>247</v>
      </c>
      <c r="E95" s="42" t="s">
        <v>268</v>
      </c>
      <c r="F95" s="42" t="s">
        <v>18</v>
      </c>
      <c r="G95" s="42" t="s">
        <v>30</v>
      </c>
      <c r="H95" s="44">
        <v>56.315374200000001</v>
      </c>
      <c r="I95" s="42" t="s">
        <v>23</v>
      </c>
      <c r="J95" s="42" t="s">
        <v>24</v>
      </c>
    </row>
    <row r="96" spans="1:10" x14ac:dyDescent="0.2">
      <c r="A96" s="41"/>
      <c r="B96" s="42" t="s">
        <v>17</v>
      </c>
      <c r="C96" s="43">
        <v>44779</v>
      </c>
      <c r="D96" s="42" t="s">
        <v>247</v>
      </c>
      <c r="E96" s="42" t="s">
        <v>268</v>
      </c>
      <c r="F96" s="42" t="s">
        <v>18</v>
      </c>
      <c r="G96" s="42" t="s">
        <v>30</v>
      </c>
      <c r="H96" s="44">
        <v>19.167105899999999</v>
      </c>
      <c r="I96" s="42" t="s">
        <v>23</v>
      </c>
      <c r="J96" s="42" t="s">
        <v>26</v>
      </c>
    </row>
    <row r="97" spans="1:10" x14ac:dyDescent="0.2">
      <c r="A97" s="41"/>
      <c r="B97" s="42" t="s">
        <v>17</v>
      </c>
      <c r="C97" s="43">
        <v>44779</v>
      </c>
      <c r="D97" s="42" t="s">
        <v>246</v>
      </c>
      <c r="E97" s="42" t="s">
        <v>268</v>
      </c>
      <c r="F97" s="42" t="s">
        <v>18</v>
      </c>
      <c r="G97" s="42" t="s">
        <v>30</v>
      </c>
      <c r="H97" s="44">
        <v>2150.4882905999998</v>
      </c>
      <c r="I97" s="42" t="s">
        <v>23</v>
      </c>
      <c r="J97" s="42" t="s">
        <v>202</v>
      </c>
    </row>
    <row r="98" spans="1:10" x14ac:dyDescent="0.2">
      <c r="A98" s="41"/>
      <c r="B98" s="42" t="s">
        <v>208</v>
      </c>
      <c r="C98" s="43">
        <v>44779</v>
      </c>
      <c r="D98" s="42" t="s">
        <v>248</v>
      </c>
      <c r="E98" s="42" t="s">
        <v>0</v>
      </c>
      <c r="F98" s="42" t="s">
        <v>18</v>
      </c>
      <c r="G98" s="42" t="s">
        <v>249</v>
      </c>
      <c r="H98" s="44">
        <v>40.581857100000001</v>
      </c>
      <c r="I98" s="42" t="s">
        <v>23</v>
      </c>
      <c r="J98" s="42" t="s">
        <v>24</v>
      </c>
    </row>
    <row r="99" spans="1:10" x14ac:dyDescent="0.2">
      <c r="A99" s="41"/>
      <c r="B99" s="42" t="s">
        <v>208</v>
      </c>
      <c r="C99" s="43">
        <v>44779</v>
      </c>
      <c r="D99" s="42" t="s">
        <v>248</v>
      </c>
      <c r="E99" s="42" t="s">
        <v>0</v>
      </c>
      <c r="F99" s="42" t="s">
        <v>18</v>
      </c>
      <c r="G99" s="42" t="s">
        <v>249</v>
      </c>
      <c r="H99" s="44">
        <v>28.857958499999999</v>
      </c>
      <c r="I99" s="42" t="s">
        <v>23</v>
      </c>
      <c r="J99" s="42" t="s">
        <v>202</v>
      </c>
    </row>
    <row r="100" spans="1:10" x14ac:dyDescent="0.2">
      <c r="A100" s="41"/>
      <c r="B100" s="42" t="s">
        <v>208</v>
      </c>
      <c r="C100" s="43">
        <v>44779</v>
      </c>
      <c r="D100" s="42" t="s">
        <v>248</v>
      </c>
      <c r="E100" s="42" t="s">
        <v>0</v>
      </c>
      <c r="F100" s="42" t="s">
        <v>18</v>
      </c>
      <c r="G100" s="42" t="s">
        <v>249</v>
      </c>
      <c r="H100" s="44">
        <v>53.344868099999999</v>
      </c>
      <c r="I100" s="42" t="s">
        <v>23</v>
      </c>
      <c r="J100" s="42" t="s">
        <v>26</v>
      </c>
    </row>
    <row r="101" spans="1:10" x14ac:dyDescent="0.2">
      <c r="A101" s="41"/>
      <c r="B101" s="42" t="s">
        <v>208</v>
      </c>
      <c r="C101" s="43">
        <v>44779</v>
      </c>
      <c r="D101" s="42" t="s">
        <v>248</v>
      </c>
      <c r="E101" s="42" t="s">
        <v>0</v>
      </c>
      <c r="F101" s="42" t="s">
        <v>18</v>
      </c>
      <c r="G101" s="42" t="s">
        <v>249</v>
      </c>
      <c r="H101" s="44">
        <v>73.404255300000003</v>
      </c>
      <c r="I101" s="42" t="s">
        <v>23</v>
      </c>
      <c r="J101" s="42" t="s">
        <v>28</v>
      </c>
    </row>
    <row r="102" spans="1:10" x14ac:dyDescent="0.2">
      <c r="A102" s="41"/>
      <c r="B102" s="42" t="s">
        <v>208</v>
      </c>
      <c r="C102" s="43">
        <v>44779</v>
      </c>
      <c r="D102" s="42" t="s">
        <v>250</v>
      </c>
      <c r="E102" s="42" t="s">
        <v>0</v>
      </c>
      <c r="F102" s="42" t="s">
        <v>18</v>
      </c>
      <c r="G102" s="42" t="s">
        <v>249</v>
      </c>
      <c r="H102" s="44">
        <v>272.75571029999998</v>
      </c>
      <c r="I102" s="42" t="s">
        <v>23</v>
      </c>
      <c r="J102" s="42" t="s">
        <v>22</v>
      </c>
    </row>
    <row r="103" spans="1:10" x14ac:dyDescent="0.2">
      <c r="A103" s="41"/>
      <c r="B103" s="42" t="s">
        <v>208</v>
      </c>
      <c r="C103" s="43">
        <v>44779</v>
      </c>
      <c r="D103" s="42" t="s">
        <v>250</v>
      </c>
      <c r="E103" s="42" t="s">
        <v>0</v>
      </c>
      <c r="F103" s="42" t="s">
        <v>18</v>
      </c>
      <c r="G103" s="42" t="s">
        <v>249</v>
      </c>
      <c r="H103" s="44">
        <v>177.9254091</v>
      </c>
      <c r="I103" s="42" t="s">
        <v>23</v>
      </c>
      <c r="J103" s="42" t="s">
        <v>29</v>
      </c>
    </row>
    <row r="104" spans="1:10" x14ac:dyDescent="0.2">
      <c r="A104" s="41"/>
      <c r="B104" s="42" t="s">
        <v>208</v>
      </c>
      <c r="C104" s="43">
        <v>44779</v>
      </c>
      <c r="D104" s="42" t="s">
        <v>248</v>
      </c>
      <c r="E104" s="42" t="s">
        <v>0</v>
      </c>
      <c r="F104" s="42" t="s">
        <v>18</v>
      </c>
      <c r="G104" s="42" t="s">
        <v>249</v>
      </c>
      <c r="H104" s="44">
        <v>-47.290908899999998</v>
      </c>
      <c r="I104" s="42" t="s">
        <v>23</v>
      </c>
      <c r="J104" s="42" t="s">
        <v>20</v>
      </c>
    </row>
    <row r="105" spans="1:10" x14ac:dyDescent="0.2">
      <c r="A105" s="41"/>
      <c r="B105" s="42" t="s">
        <v>17</v>
      </c>
      <c r="C105" s="43">
        <v>44785</v>
      </c>
      <c r="D105" s="42" t="s">
        <v>251</v>
      </c>
      <c r="E105" s="42" t="s">
        <v>268</v>
      </c>
      <c r="F105" s="42" t="s">
        <v>18</v>
      </c>
      <c r="G105" s="42" t="s">
        <v>30</v>
      </c>
      <c r="H105" s="44">
        <v>109.49082180000001</v>
      </c>
      <c r="I105" s="42" t="s">
        <v>23</v>
      </c>
      <c r="J105" s="42" t="s">
        <v>31</v>
      </c>
    </row>
    <row r="106" spans="1:10" x14ac:dyDescent="0.2">
      <c r="A106" s="41"/>
      <c r="B106" s="42" t="s">
        <v>17</v>
      </c>
      <c r="C106" s="43">
        <v>44785</v>
      </c>
      <c r="D106" s="42" t="s">
        <v>251</v>
      </c>
      <c r="E106" s="42" t="s">
        <v>268</v>
      </c>
      <c r="F106" s="42" t="s">
        <v>18</v>
      </c>
      <c r="G106" s="42" t="s">
        <v>30</v>
      </c>
      <c r="H106" s="44">
        <v>96.513211499999997</v>
      </c>
      <c r="I106" s="42" t="s">
        <v>23</v>
      </c>
      <c r="J106" s="42" t="s">
        <v>24</v>
      </c>
    </row>
    <row r="107" spans="1:10" x14ac:dyDescent="0.2">
      <c r="A107" s="41"/>
      <c r="B107" s="42" t="s">
        <v>17</v>
      </c>
      <c r="C107" s="43">
        <v>44785</v>
      </c>
      <c r="D107" s="42" t="s">
        <v>251</v>
      </c>
      <c r="E107" s="42" t="s">
        <v>268</v>
      </c>
      <c r="F107" s="42" t="s">
        <v>18</v>
      </c>
      <c r="G107" s="42" t="s">
        <v>30</v>
      </c>
      <c r="H107" s="44">
        <v>651.9752628</v>
      </c>
      <c r="I107" s="42" t="s">
        <v>23</v>
      </c>
      <c r="J107" s="42" t="s">
        <v>20</v>
      </c>
    </row>
    <row r="108" spans="1:10" x14ac:dyDescent="0.2">
      <c r="A108" s="41"/>
      <c r="B108" s="42" t="s">
        <v>17</v>
      </c>
      <c r="C108" s="43">
        <v>44785</v>
      </c>
      <c r="D108" s="42" t="s">
        <v>251</v>
      </c>
      <c r="E108" s="42" t="s">
        <v>268</v>
      </c>
      <c r="F108" s="42" t="s">
        <v>18</v>
      </c>
      <c r="G108" s="42" t="s">
        <v>30</v>
      </c>
      <c r="H108" s="44">
        <v>236.80468020000001</v>
      </c>
      <c r="I108" s="42" t="s">
        <v>23</v>
      </c>
      <c r="J108" s="42" t="s">
        <v>26</v>
      </c>
    </row>
    <row r="109" spans="1:10" x14ac:dyDescent="0.2">
      <c r="A109" s="41"/>
      <c r="B109" s="42" t="s">
        <v>17</v>
      </c>
      <c r="C109" s="43">
        <v>44785</v>
      </c>
      <c r="D109" s="42" t="s">
        <v>251</v>
      </c>
      <c r="E109" s="42" t="s">
        <v>268</v>
      </c>
      <c r="F109" s="42" t="s">
        <v>18</v>
      </c>
      <c r="G109" s="42" t="s">
        <v>30</v>
      </c>
      <c r="H109" s="44">
        <v>25.266243899999999</v>
      </c>
      <c r="I109" s="42" t="s">
        <v>23</v>
      </c>
      <c r="J109" s="42" t="s">
        <v>28</v>
      </c>
    </row>
    <row r="110" spans="1:10" x14ac:dyDescent="0.2">
      <c r="A110" s="41"/>
      <c r="B110" s="42" t="s">
        <v>17</v>
      </c>
      <c r="C110" s="43">
        <v>44785</v>
      </c>
      <c r="D110" s="42" t="s">
        <v>251</v>
      </c>
      <c r="E110" s="42" t="s">
        <v>268</v>
      </c>
      <c r="F110" s="42" t="s">
        <v>18</v>
      </c>
      <c r="G110" s="42" t="s">
        <v>30</v>
      </c>
      <c r="H110" s="44">
        <v>29.016084299999999</v>
      </c>
      <c r="I110" s="42" t="s">
        <v>23</v>
      </c>
      <c r="J110" s="42" t="s">
        <v>22</v>
      </c>
    </row>
    <row r="111" spans="1:10" x14ac:dyDescent="0.2">
      <c r="A111" s="41"/>
      <c r="B111" s="42" t="s">
        <v>17</v>
      </c>
      <c r="C111" s="43">
        <v>44785</v>
      </c>
      <c r="D111" s="42" t="s">
        <v>251</v>
      </c>
      <c r="E111" s="42" t="s">
        <v>268</v>
      </c>
      <c r="F111" s="42" t="s">
        <v>18</v>
      </c>
      <c r="G111" s="42" t="s">
        <v>30</v>
      </c>
      <c r="H111" s="44">
        <v>337.1580897</v>
      </c>
      <c r="I111" s="42" t="s">
        <v>23</v>
      </c>
      <c r="J111" s="42" t="s">
        <v>201</v>
      </c>
    </row>
    <row r="112" spans="1:10" x14ac:dyDescent="0.2">
      <c r="A112" s="41"/>
      <c r="B112" s="42" t="s">
        <v>17</v>
      </c>
      <c r="C112" s="43">
        <v>44787</v>
      </c>
      <c r="D112" s="42" t="s">
        <v>252</v>
      </c>
      <c r="E112" s="42" t="s">
        <v>268</v>
      </c>
      <c r="F112" s="42" t="s">
        <v>18</v>
      </c>
      <c r="G112" s="42" t="s">
        <v>30</v>
      </c>
      <c r="H112" s="44">
        <v>36.4592916</v>
      </c>
      <c r="I112" s="42" t="s">
        <v>23</v>
      </c>
      <c r="J112" s="42" t="s">
        <v>200</v>
      </c>
    </row>
    <row r="113" spans="1:10" x14ac:dyDescent="0.2">
      <c r="A113" s="41"/>
      <c r="B113" s="42" t="s">
        <v>17</v>
      </c>
      <c r="C113" s="43">
        <v>44787</v>
      </c>
      <c r="D113" s="42" t="s">
        <v>253</v>
      </c>
      <c r="E113" s="42" t="s">
        <v>268</v>
      </c>
      <c r="F113" s="42" t="s">
        <v>18</v>
      </c>
      <c r="G113" s="42" t="s">
        <v>30</v>
      </c>
      <c r="H113" s="44">
        <v>14952.4547109</v>
      </c>
      <c r="I113" s="42" t="s">
        <v>23</v>
      </c>
      <c r="J113" s="42" t="s">
        <v>239</v>
      </c>
    </row>
    <row r="114" spans="1:10" x14ac:dyDescent="0.2">
      <c r="A114" s="41"/>
      <c r="B114" s="42" t="s">
        <v>17</v>
      </c>
      <c r="C114" s="43">
        <v>44787</v>
      </c>
      <c r="D114" s="42" t="s">
        <v>252</v>
      </c>
      <c r="E114" s="42" t="s">
        <v>268</v>
      </c>
      <c r="F114" s="42" t="s">
        <v>18</v>
      </c>
      <c r="G114" s="42" t="s">
        <v>30</v>
      </c>
      <c r="H114" s="44">
        <v>39.474976499999997</v>
      </c>
      <c r="I114" s="42" t="s">
        <v>23</v>
      </c>
      <c r="J114" s="42" t="s">
        <v>26</v>
      </c>
    </row>
    <row r="115" spans="1:10" x14ac:dyDescent="0.2">
      <c r="A115" s="41"/>
      <c r="B115" s="42" t="s">
        <v>17</v>
      </c>
      <c r="C115" s="43">
        <v>44787</v>
      </c>
      <c r="D115" s="42" t="s">
        <v>252</v>
      </c>
      <c r="E115" s="42" t="s">
        <v>268</v>
      </c>
      <c r="F115" s="42" t="s">
        <v>18</v>
      </c>
      <c r="G115" s="42" t="s">
        <v>30</v>
      </c>
      <c r="H115" s="44">
        <v>134.85871800000001</v>
      </c>
      <c r="I115" s="42" t="s">
        <v>23</v>
      </c>
      <c r="J115" s="42" t="s">
        <v>201</v>
      </c>
    </row>
    <row r="116" spans="1:10" x14ac:dyDescent="0.2">
      <c r="A116" s="41"/>
      <c r="B116" s="42" t="s">
        <v>17</v>
      </c>
      <c r="C116" s="43">
        <v>44787</v>
      </c>
      <c r="D116" s="42" t="s">
        <v>254</v>
      </c>
      <c r="E116" s="42" t="s">
        <v>268</v>
      </c>
      <c r="F116" s="42" t="s">
        <v>18</v>
      </c>
      <c r="G116" s="42" t="s">
        <v>30</v>
      </c>
      <c r="H116" s="44">
        <v>236.78209079999999</v>
      </c>
      <c r="I116" s="42" t="s">
        <v>23</v>
      </c>
      <c r="J116" s="42" t="s">
        <v>26</v>
      </c>
    </row>
    <row r="117" spans="1:10" x14ac:dyDescent="0.2">
      <c r="A117" s="41"/>
      <c r="B117" s="42" t="s">
        <v>17</v>
      </c>
      <c r="C117" s="43">
        <v>44787</v>
      </c>
      <c r="D117" s="42" t="s">
        <v>255</v>
      </c>
      <c r="E117" s="42" t="s">
        <v>268</v>
      </c>
      <c r="F117" s="42" t="s">
        <v>18</v>
      </c>
      <c r="G117" s="42" t="s">
        <v>30</v>
      </c>
      <c r="H117" s="44">
        <v>944.04491010000004</v>
      </c>
      <c r="I117" s="42" t="s">
        <v>23</v>
      </c>
      <c r="J117" s="42" t="s">
        <v>201</v>
      </c>
    </row>
    <row r="118" spans="1:10" x14ac:dyDescent="0.2">
      <c r="A118" s="41"/>
      <c r="B118" s="42" t="s">
        <v>17</v>
      </c>
      <c r="C118" s="43">
        <v>44787</v>
      </c>
      <c r="D118" s="42" t="s">
        <v>252</v>
      </c>
      <c r="E118" s="42" t="s">
        <v>268</v>
      </c>
      <c r="F118" s="42" t="s">
        <v>18</v>
      </c>
      <c r="G118" s="42" t="s">
        <v>30</v>
      </c>
      <c r="H118" s="44">
        <v>533.08725059999995</v>
      </c>
      <c r="I118" s="42" t="s">
        <v>23</v>
      </c>
      <c r="J118" s="42" t="s">
        <v>28</v>
      </c>
    </row>
    <row r="119" spans="1:10" x14ac:dyDescent="0.2">
      <c r="A119" s="41"/>
      <c r="B119" s="42" t="s">
        <v>17</v>
      </c>
      <c r="C119" s="43">
        <v>44787</v>
      </c>
      <c r="D119" s="42" t="s">
        <v>256</v>
      </c>
      <c r="E119" s="42" t="s">
        <v>268</v>
      </c>
      <c r="F119" s="42" t="s">
        <v>18</v>
      </c>
      <c r="G119" s="42" t="s">
        <v>30</v>
      </c>
      <c r="H119" s="44">
        <v>19.731840900000002</v>
      </c>
      <c r="I119" s="42" t="s">
        <v>23</v>
      </c>
      <c r="J119" s="42" t="s">
        <v>26</v>
      </c>
    </row>
    <row r="120" spans="1:10" x14ac:dyDescent="0.2">
      <c r="A120" s="41"/>
      <c r="B120" s="42" t="s">
        <v>17</v>
      </c>
      <c r="C120" s="43">
        <v>44787</v>
      </c>
      <c r="D120" s="42" t="s">
        <v>252</v>
      </c>
      <c r="E120" s="42" t="s">
        <v>268</v>
      </c>
      <c r="F120" s="42" t="s">
        <v>18</v>
      </c>
      <c r="G120" s="42" t="s">
        <v>30</v>
      </c>
      <c r="H120" s="44">
        <v>32.189895</v>
      </c>
      <c r="I120" s="42" t="s">
        <v>23</v>
      </c>
      <c r="J120" s="42" t="s">
        <v>24</v>
      </c>
    </row>
    <row r="121" spans="1:10" x14ac:dyDescent="0.2">
      <c r="A121" s="41"/>
      <c r="B121" s="42" t="s">
        <v>17</v>
      </c>
      <c r="C121" s="43">
        <v>44787</v>
      </c>
      <c r="D121" s="42" t="s">
        <v>255</v>
      </c>
      <c r="E121" s="42" t="s">
        <v>268</v>
      </c>
      <c r="F121" s="42" t="s">
        <v>18</v>
      </c>
      <c r="G121" s="42" t="s">
        <v>30</v>
      </c>
      <c r="H121" s="44">
        <v>91.803321600000004</v>
      </c>
      <c r="I121" s="42" t="s">
        <v>23</v>
      </c>
      <c r="J121" s="42" t="s">
        <v>33</v>
      </c>
    </row>
    <row r="122" spans="1:10" x14ac:dyDescent="0.2">
      <c r="A122" s="41"/>
      <c r="B122" s="42" t="s">
        <v>17</v>
      </c>
      <c r="C122" s="43">
        <v>44789</v>
      </c>
      <c r="D122" s="42" t="s">
        <v>257</v>
      </c>
      <c r="E122" s="42" t="s">
        <v>268</v>
      </c>
      <c r="F122" s="42" t="s">
        <v>18</v>
      </c>
      <c r="G122" s="42" t="s">
        <v>30</v>
      </c>
      <c r="H122" s="44">
        <v>139.95262769999999</v>
      </c>
      <c r="I122" s="42" t="s">
        <v>23</v>
      </c>
      <c r="J122" s="42" t="s">
        <v>28</v>
      </c>
    </row>
    <row r="123" spans="1:10" x14ac:dyDescent="0.2">
      <c r="A123" s="41"/>
      <c r="B123" s="42" t="s">
        <v>17</v>
      </c>
      <c r="C123" s="43">
        <v>44789</v>
      </c>
      <c r="D123" s="42" t="s">
        <v>257</v>
      </c>
      <c r="E123" s="42" t="s">
        <v>268</v>
      </c>
      <c r="F123" s="42" t="s">
        <v>18</v>
      </c>
      <c r="G123" s="42" t="s">
        <v>30</v>
      </c>
      <c r="H123" s="44">
        <v>404.58744869999998</v>
      </c>
      <c r="I123" s="42" t="s">
        <v>23</v>
      </c>
      <c r="J123" s="42" t="s">
        <v>201</v>
      </c>
    </row>
    <row r="124" spans="1:10" x14ac:dyDescent="0.2">
      <c r="A124" s="41"/>
      <c r="B124" s="42" t="s">
        <v>17</v>
      </c>
      <c r="C124" s="43">
        <v>44789</v>
      </c>
      <c r="D124" s="42" t="s">
        <v>257</v>
      </c>
      <c r="E124" s="42" t="s">
        <v>268</v>
      </c>
      <c r="F124" s="42" t="s">
        <v>18</v>
      </c>
      <c r="G124" s="42" t="s">
        <v>30</v>
      </c>
      <c r="H124" s="44">
        <v>478.83880649999998</v>
      </c>
      <c r="I124" s="42" t="s">
        <v>23</v>
      </c>
      <c r="J124" s="42" t="s">
        <v>33</v>
      </c>
    </row>
    <row r="125" spans="1:10" x14ac:dyDescent="0.2">
      <c r="A125" s="41"/>
      <c r="B125" s="42" t="s">
        <v>17</v>
      </c>
      <c r="C125" s="43">
        <v>44789</v>
      </c>
      <c r="D125" s="42" t="s">
        <v>257</v>
      </c>
      <c r="E125" s="42" t="s">
        <v>268</v>
      </c>
      <c r="F125" s="42" t="s">
        <v>18</v>
      </c>
      <c r="G125" s="42" t="s">
        <v>30</v>
      </c>
      <c r="H125" s="44">
        <v>381.47849250000002</v>
      </c>
      <c r="I125" s="42" t="s">
        <v>23</v>
      </c>
      <c r="J125" s="42" t="s">
        <v>20</v>
      </c>
    </row>
    <row r="126" spans="1:10" x14ac:dyDescent="0.2">
      <c r="A126" s="41"/>
      <c r="B126" s="42" t="s">
        <v>17</v>
      </c>
      <c r="C126" s="43">
        <v>44789</v>
      </c>
      <c r="D126" s="42" t="s">
        <v>257</v>
      </c>
      <c r="E126" s="42" t="s">
        <v>268</v>
      </c>
      <c r="F126" s="42" t="s">
        <v>18</v>
      </c>
      <c r="G126" s="42" t="s">
        <v>30</v>
      </c>
      <c r="H126" s="44">
        <v>1369.1322393</v>
      </c>
      <c r="I126" s="42" t="s">
        <v>23</v>
      </c>
      <c r="J126" s="42" t="s">
        <v>29</v>
      </c>
    </row>
    <row r="127" spans="1:10" x14ac:dyDescent="0.2">
      <c r="A127" s="41"/>
      <c r="B127" s="42" t="s">
        <v>17</v>
      </c>
      <c r="C127" s="43">
        <v>44791</v>
      </c>
      <c r="D127" s="42" t="s">
        <v>258</v>
      </c>
      <c r="E127" s="42" t="s">
        <v>268</v>
      </c>
      <c r="F127" s="42" t="s">
        <v>18</v>
      </c>
      <c r="G127" s="42" t="s">
        <v>30</v>
      </c>
      <c r="H127" s="44">
        <v>186.96116910000001</v>
      </c>
      <c r="I127" s="42" t="s">
        <v>23</v>
      </c>
      <c r="J127" s="42" t="s">
        <v>20</v>
      </c>
    </row>
    <row r="128" spans="1:10" x14ac:dyDescent="0.2">
      <c r="A128" s="41"/>
      <c r="B128" s="42" t="s">
        <v>17</v>
      </c>
      <c r="C128" s="43">
        <v>44791</v>
      </c>
      <c r="D128" s="42" t="s">
        <v>259</v>
      </c>
      <c r="E128" s="42" t="s">
        <v>268</v>
      </c>
      <c r="F128" s="42" t="s">
        <v>18</v>
      </c>
      <c r="G128" s="42" t="s">
        <v>30</v>
      </c>
      <c r="H128" s="44">
        <v>137.29837319999999</v>
      </c>
      <c r="I128" s="42" t="s">
        <v>23</v>
      </c>
      <c r="J128" s="42" t="s">
        <v>24</v>
      </c>
    </row>
    <row r="129" spans="1:10" x14ac:dyDescent="0.2">
      <c r="A129" s="41"/>
      <c r="B129" s="42" t="s">
        <v>17</v>
      </c>
      <c r="C129" s="43">
        <v>44791</v>
      </c>
      <c r="D129" s="42" t="s">
        <v>258</v>
      </c>
      <c r="E129" s="42" t="s">
        <v>268</v>
      </c>
      <c r="F129" s="42" t="s">
        <v>18</v>
      </c>
      <c r="G129" s="42" t="s">
        <v>30</v>
      </c>
      <c r="H129" s="44">
        <v>34.324593299999997</v>
      </c>
      <c r="I129" s="42" t="s">
        <v>23</v>
      </c>
      <c r="J129" s="42" t="s">
        <v>24</v>
      </c>
    </row>
    <row r="130" spans="1:10" x14ac:dyDescent="0.2">
      <c r="A130" s="41"/>
      <c r="B130" s="42" t="s">
        <v>17</v>
      </c>
      <c r="C130" s="43">
        <v>44792</v>
      </c>
      <c r="D130" s="42" t="s">
        <v>260</v>
      </c>
      <c r="E130" s="42" t="s">
        <v>268</v>
      </c>
      <c r="F130" s="42" t="s">
        <v>18</v>
      </c>
      <c r="G130" s="42" t="s">
        <v>30</v>
      </c>
      <c r="H130" s="44">
        <v>505.29099389999999</v>
      </c>
      <c r="I130" s="42" t="s">
        <v>27</v>
      </c>
      <c r="J130" s="42" t="s">
        <v>28</v>
      </c>
    </row>
    <row r="131" spans="1:10" x14ac:dyDescent="0.2">
      <c r="A131" s="41"/>
      <c r="B131" s="42" t="s">
        <v>17</v>
      </c>
      <c r="C131" s="43">
        <v>44792</v>
      </c>
      <c r="D131" s="42" t="s">
        <v>261</v>
      </c>
      <c r="E131" s="42" t="s">
        <v>268</v>
      </c>
      <c r="F131" s="42" t="s">
        <v>18</v>
      </c>
      <c r="G131" s="42" t="s">
        <v>30</v>
      </c>
      <c r="H131" s="44">
        <v>2318.8132046999999</v>
      </c>
      <c r="I131" s="42" t="s">
        <v>23</v>
      </c>
      <c r="J131" s="42" t="s">
        <v>28</v>
      </c>
    </row>
    <row r="132" spans="1:10" x14ac:dyDescent="0.2">
      <c r="A132" s="41"/>
      <c r="B132" s="42" t="s">
        <v>17</v>
      </c>
      <c r="C132" s="43">
        <v>44792</v>
      </c>
      <c r="D132" s="42" t="s">
        <v>262</v>
      </c>
      <c r="E132" s="42" t="s">
        <v>268</v>
      </c>
      <c r="F132" s="42" t="s">
        <v>18</v>
      </c>
      <c r="G132" s="42" t="s">
        <v>30</v>
      </c>
      <c r="H132" s="44">
        <v>193.88482020000001</v>
      </c>
      <c r="I132" s="42" t="s">
        <v>23</v>
      </c>
      <c r="J132" s="42" t="s">
        <v>24</v>
      </c>
    </row>
    <row r="133" spans="1:10" x14ac:dyDescent="0.2">
      <c r="A133" s="41"/>
      <c r="B133" s="42" t="s">
        <v>17</v>
      </c>
      <c r="C133" s="43">
        <v>44792</v>
      </c>
      <c r="D133" s="42" t="s">
        <v>261</v>
      </c>
      <c r="E133" s="42" t="s">
        <v>268</v>
      </c>
      <c r="F133" s="42" t="s">
        <v>18</v>
      </c>
      <c r="G133" s="42" t="s">
        <v>30</v>
      </c>
      <c r="H133" s="44">
        <v>1835.9986638</v>
      </c>
      <c r="I133" s="42" t="s">
        <v>23</v>
      </c>
      <c r="J133" s="42" t="s">
        <v>33</v>
      </c>
    </row>
    <row r="134" spans="1:10" x14ac:dyDescent="0.2">
      <c r="A134" s="41"/>
      <c r="B134" s="42" t="s">
        <v>17</v>
      </c>
      <c r="C134" s="43">
        <v>44796</v>
      </c>
      <c r="D134" s="42" t="s">
        <v>263</v>
      </c>
      <c r="E134" s="42" t="s">
        <v>268</v>
      </c>
      <c r="F134" s="42" t="s">
        <v>18</v>
      </c>
      <c r="G134" s="42" t="s">
        <v>30</v>
      </c>
      <c r="H134" s="44">
        <v>340.36578450000002</v>
      </c>
      <c r="I134" s="42" t="s">
        <v>23</v>
      </c>
      <c r="J134" s="42" t="s">
        <v>29</v>
      </c>
    </row>
    <row r="135" spans="1:10" x14ac:dyDescent="0.2">
      <c r="A135" s="41"/>
      <c r="B135" s="42" t="s">
        <v>17</v>
      </c>
      <c r="C135" s="43">
        <v>44796</v>
      </c>
      <c r="D135" s="42" t="s">
        <v>263</v>
      </c>
      <c r="E135" s="42" t="s">
        <v>268</v>
      </c>
      <c r="F135" s="42" t="s">
        <v>18</v>
      </c>
      <c r="G135" s="42" t="s">
        <v>30</v>
      </c>
      <c r="H135" s="44">
        <v>129.77610300000001</v>
      </c>
      <c r="I135" s="42" t="s">
        <v>23</v>
      </c>
      <c r="J135" s="42" t="s">
        <v>24</v>
      </c>
    </row>
    <row r="136" spans="1:10" x14ac:dyDescent="0.2">
      <c r="A136" s="41"/>
      <c r="B136" s="42" t="s">
        <v>17</v>
      </c>
      <c r="C136" s="43">
        <v>44802</v>
      </c>
      <c r="D136" s="42" t="s">
        <v>264</v>
      </c>
      <c r="E136" s="42" t="s">
        <v>268</v>
      </c>
      <c r="F136" s="42" t="s">
        <v>18</v>
      </c>
      <c r="G136" s="42" t="s">
        <v>30</v>
      </c>
      <c r="H136" s="44">
        <v>273.67058100000003</v>
      </c>
      <c r="I136" s="42" t="s">
        <v>23</v>
      </c>
      <c r="J136" s="42" t="s">
        <v>20</v>
      </c>
    </row>
    <row r="137" spans="1:10" x14ac:dyDescent="0.2">
      <c r="A137" s="41"/>
      <c r="B137" s="42" t="s">
        <v>17</v>
      </c>
      <c r="C137" s="43">
        <v>44802</v>
      </c>
      <c r="D137" s="42" t="s">
        <v>264</v>
      </c>
      <c r="E137" s="42" t="s">
        <v>268</v>
      </c>
      <c r="F137" s="42" t="s">
        <v>18</v>
      </c>
      <c r="G137" s="42" t="s">
        <v>30</v>
      </c>
      <c r="H137" s="44">
        <v>36.628712100000001</v>
      </c>
      <c r="I137" s="42" t="s">
        <v>23</v>
      </c>
      <c r="J137" s="42" t="s">
        <v>31</v>
      </c>
    </row>
    <row r="138" spans="1:10" x14ac:dyDescent="0.2">
      <c r="A138" s="41"/>
      <c r="B138" s="42" t="s">
        <v>17</v>
      </c>
      <c r="C138" s="43">
        <v>44802</v>
      </c>
      <c r="D138" s="42" t="s">
        <v>265</v>
      </c>
      <c r="E138" s="42" t="s">
        <v>268</v>
      </c>
      <c r="F138" s="42" t="s">
        <v>18</v>
      </c>
      <c r="G138" s="42" t="s">
        <v>30</v>
      </c>
      <c r="H138" s="44">
        <v>6724.6723701000001</v>
      </c>
      <c r="I138" s="42" t="s">
        <v>23</v>
      </c>
      <c r="J138" s="42" t="s">
        <v>26</v>
      </c>
    </row>
    <row r="139" spans="1:10" x14ac:dyDescent="0.2">
      <c r="A139" s="41"/>
      <c r="B139" s="42" t="s">
        <v>17</v>
      </c>
      <c r="C139" s="43">
        <v>44803</v>
      </c>
      <c r="D139" s="42" t="s">
        <v>266</v>
      </c>
      <c r="E139" s="42" t="s">
        <v>268</v>
      </c>
      <c r="F139" s="42" t="s">
        <v>18</v>
      </c>
      <c r="G139" s="42" t="s">
        <v>30</v>
      </c>
      <c r="H139" s="44">
        <v>148.2316428</v>
      </c>
      <c r="I139" s="42" t="s">
        <v>23</v>
      </c>
      <c r="J139" s="42" t="s">
        <v>24</v>
      </c>
    </row>
    <row r="140" spans="1:10" x14ac:dyDescent="0.2">
      <c r="A140" s="41"/>
      <c r="B140" s="42" t="s">
        <v>17</v>
      </c>
      <c r="C140" s="43">
        <v>44803</v>
      </c>
      <c r="D140" s="42" t="s">
        <v>267</v>
      </c>
      <c r="E140" s="42" t="s">
        <v>268</v>
      </c>
      <c r="F140" s="42" t="s">
        <v>18</v>
      </c>
      <c r="G140" s="42" t="s">
        <v>30</v>
      </c>
      <c r="H140" s="44">
        <v>11051.310509700001</v>
      </c>
      <c r="I140" s="42" t="s">
        <v>23</v>
      </c>
      <c r="J140" s="42" t="s">
        <v>26</v>
      </c>
    </row>
  </sheetData>
  <autoFilter ref="A1:J1283" xr:uid="{99491E88-D901-4C4C-94CC-B0C3D16BB531}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EE7A-6E94-48DD-9373-BBDBEACF1B28}">
  <sheetPr codeName="Sheet4"/>
  <dimension ref="A1"/>
  <sheetViews>
    <sheetView workbookViewId="0">
      <selection activeCell="F15" sqref="F15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ConsolidatedPLperSub</vt:lpstr>
      <vt:lpstr>ConsolidatedPLperBrand</vt:lpstr>
      <vt:lpstr>ConsolidatedPLperRegion</vt:lpstr>
      <vt:lpstr>InternalSalesPerBrand</vt:lpstr>
      <vt:lpstr>InternalSalesPerRegion</vt:lpstr>
      <vt:lpstr>PLperBrand</vt:lpstr>
      <vt:lpstr>PLperRegion</vt:lpstr>
      <vt:lpstr>CompanyName</vt:lpstr>
      <vt:lpstr>SalesDetail</vt:lpstr>
      <vt:lpstr>COSDetail</vt:lpstr>
      <vt:lpstr>Instruction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彭光宇</dc:creator>
  <cp:lastModifiedBy>彭光宇</cp:lastModifiedBy>
  <dcterms:created xsi:type="dcterms:W3CDTF">2015-06-05T18:17:20Z</dcterms:created>
  <dcterms:modified xsi:type="dcterms:W3CDTF">2022-09-20T15:36:29Z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43531278-b6eb-4250-a8ff-7b1ccaffd776</vt:lpwstr>
  </property>
</Properties>
</file>