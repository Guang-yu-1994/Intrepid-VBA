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F:\Intrepid Spirits\Intercompany loans\"/>
    </mc:Choice>
  </mc:AlternateContent>
  <xr:revisionPtr revIDLastSave="0" documentId="13_ncr:1_{33418B6C-0D5D-4F10-A0D6-ABD4B8D169E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summary" sheetId="1" r:id="rId1"/>
    <sheet name="data_source" sheetId="224" r:id="rId2"/>
  </sheets>
  <definedNames>
    <definedName name="_xlnm._FilterDatabase" localSheetId="0" hidden="1">summary!$A$17:$E$83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1" l="1"/>
  <c r="H21" i="1"/>
  <c r="E41" i="1"/>
  <c r="D41" i="1"/>
  <c r="B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M14" i="1"/>
  <c r="L14" i="1"/>
  <c r="K14" i="1"/>
  <c r="J14" i="1"/>
  <c r="I14" i="1"/>
  <c r="H14" i="1"/>
  <c r="G14" i="1"/>
  <c r="F14" i="1"/>
  <c r="E14" i="1"/>
  <c r="D14" i="1"/>
  <c r="C14" i="1"/>
  <c r="B14" i="1"/>
  <c r="N248" i="224"/>
  <c r="M248" i="224"/>
  <c r="F248" i="224"/>
  <c r="E248" i="224"/>
  <c r="O247" i="224"/>
  <c r="L247" i="224"/>
  <c r="P247" i="224" s="1"/>
  <c r="T247" i="224" s="1"/>
  <c r="T246" i="224"/>
  <c r="O246" i="224"/>
  <c r="L246" i="224"/>
  <c r="P246" i="224" s="1"/>
  <c r="O245" i="224"/>
  <c r="L245" i="224"/>
  <c r="P245" i="224" s="1"/>
  <c r="T245" i="224" s="1"/>
  <c r="N244" i="224"/>
  <c r="M244" i="224"/>
  <c r="L244" i="224"/>
  <c r="L248" i="224" s="1"/>
  <c r="F244" i="224"/>
  <c r="E244" i="224"/>
  <c r="D244" i="224"/>
  <c r="D248" i="224" s="1"/>
  <c r="S243" i="224"/>
  <c r="S244" i="224" s="1"/>
  <c r="S248" i="224" s="1"/>
  <c r="R243" i="224"/>
  <c r="R244" i="224" s="1"/>
  <c r="R248" i="224" s="1"/>
  <c r="Q243" i="224"/>
  <c r="Q244" i="224" s="1"/>
  <c r="Q248" i="224" s="1"/>
  <c r="N243" i="224"/>
  <c r="M243" i="224"/>
  <c r="K243" i="224"/>
  <c r="K244" i="224" s="1"/>
  <c r="K248" i="224" s="1"/>
  <c r="J243" i="224"/>
  <c r="J244" i="224" s="1"/>
  <c r="J248" i="224" s="1"/>
  <c r="I243" i="224"/>
  <c r="I244" i="224" s="1"/>
  <c r="I248" i="224" s="1"/>
  <c r="H243" i="224"/>
  <c r="H244" i="224" s="1"/>
  <c r="H248" i="224" s="1"/>
  <c r="G243" i="224"/>
  <c r="G244" i="224" s="1"/>
  <c r="G248" i="224" s="1"/>
  <c r="F243" i="224"/>
  <c r="E243" i="224"/>
  <c r="D243" i="224"/>
  <c r="C243" i="224"/>
  <c r="C244" i="224" s="1"/>
  <c r="C248" i="224" s="1"/>
  <c r="B243" i="224"/>
  <c r="B244" i="224" s="1"/>
  <c r="B248" i="224" s="1"/>
  <c r="O242" i="224"/>
  <c r="P242" i="224" s="1"/>
  <c r="T242" i="224" s="1"/>
  <c r="L242" i="224"/>
  <c r="O241" i="224"/>
  <c r="L241" i="224"/>
  <c r="P241" i="224" s="1"/>
  <c r="T241" i="224" s="1"/>
  <c r="O240" i="224"/>
  <c r="P240" i="224" s="1"/>
  <c r="T240" i="224" s="1"/>
  <c r="L240" i="224"/>
  <c r="O239" i="224"/>
  <c r="L239" i="224"/>
  <c r="P239" i="224" s="1"/>
  <c r="T239" i="224" s="1"/>
  <c r="O238" i="224"/>
  <c r="P238" i="224" s="1"/>
  <c r="T238" i="224" s="1"/>
  <c r="L238" i="224"/>
  <c r="O237" i="224"/>
  <c r="L237" i="224"/>
  <c r="L243" i="224" s="1"/>
  <c r="M232" i="224"/>
  <c r="E232" i="224"/>
  <c r="O231" i="224"/>
  <c r="L231" i="224"/>
  <c r="P231" i="224" s="1"/>
  <c r="T231" i="224" s="1"/>
  <c r="M230" i="224"/>
  <c r="E230" i="224"/>
  <c r="D230" i="224"/>
  <c r="D232" i="224" s="1"/>
  <c r="S229" i="224"/>
  <c r="R229" i="224"/>
  <c r="R230" i="224" s="1"/>
  <c r="R232" i="224" s="1"/>
  <c r="Q229" i="224"/>
  <c r="N229" i="224"/>
  <c r="M229" i="224"/>
  <c r="K229" i="224"/>
  <c r="J229" i="224"/>
  <c r="J230" i="224" s="1"/>
  <c r="J232" i="224" s="1"/>
  <c r="I229" i="224"/>
  <c r="H229" i="224"/>
  <c r="G229" i="224"/>
  <c r="F229" i="224"/>
  <c r="E229" i="224"/>
  <c r="D229" i="224"/>
  <c r="C229" i="224"/>
  <c r="B229" i="224"/>
  <c r="B230" i="224" s="1"/>
  <c r="B232" i="224" s="1"/>
  <c r="O228" i="224"/>
  <c r="P228" i="224" s="1"/>
  <c r="T228" i="224" s="1"/>
  <c r="L228" i="224"/>
  <c r="O227" i="224"/>
  <c r="L227" i="224"/>
  <c r="P227" i="224" s="1"/>
  <c r="T227" i="224" s="1"/>
  <c r="O226" i="224"/>
  <c r="P226" i="224" s="1"/>
  <c r="L226" i="224"/>
  <c r="L229" i="224" s="1"/>
  <c r="S224" i="224"/>
  <c r="S230" i="224" s="1"/>
  <c r="S232" i="224" s="1"/>
  <c r="R224" i="224"/>
  <c r="Q224" i="224"/>
  <c r="Q230" i="224" s="1"/>
  <c r="Q232" i="224" s="1"/>
  <c r="N224" i="224"/>
  <c r="N230" i="224" s="1"/>
  <c r="N232" i="224" s="1"/>
  <c r="M224" i="224"/>
  <c r="K224" i="224"/>
  <c r="K230" i="224" s="1"/>
  <c r="K232" i="224" s="1"/>
  <c r="J224" i="224"/>
  <c r="I224" i="224"/>
  <c r="I230" i="224" s="1"/>
  <c r="I232" i="224" s="1"/>
  <c r="H224" i="224"/>
  <c r="H230" i="224" s="1"/>
  <c r="H232" i="224" s="1"/>
  <c r="G224" i="224"/>
  <c r="G230" i="224" s="1"/>
  <c r="G232" i="224" s="1"/>
  <c r="F224" i="224"/>
  <c r="F230" i="224" s="1"/>
  <c r="F232" i="224" s="1"/>
  <c r="E224" i="224"/>
  <c r="D224" i="224"/>
  <c r="C224" i="224"/>
  <c r="C230" i="224" s="1"/>
  <c r="C232" i="224" s="1"/>
  <c r="B224" i="224"/>
  <c r="O223" i="224"/>
  <c r="L223" i="224"/>
  <c r="P223" i="224" s="1"/>
  <c r="T223" i="224" s="1"/>
  <c r="P222" i="224"/>
  <c r="T222" i="224" s="1"/>
  <c r="O222" i="224"/>
  <c r="L222" i="224"/>
  <c r="O221" i="224"/>
  <c r="L221" i="224"/>
  <c r="P221" i="224" s="1"/>
  <c r="T221" i="224" s="1"/>
  <c r="P220" i="224"/>
  <c r="T220" i="224" s="1"/>
  <c r="O220" i="224"/>
  <c r="L220" i="224"/>
  <c r="O219" i="224"/>
  <c r="L219" i="224"/>
  <c r="P219" i="224" s="1"/>
  <c r="T219" i="224" s="1"/>
  <c r="P218" i="224"/>
  <c r="T218" i="224" s="1"/>
  <c r="O218" i="224"/>
  <c r="L218" i="224"/>
  <c r="O217" i="224"/>
  <c r="O224" i="224" s="1"/>
  <c r="L217" i="224"/>
  <c r="P216" i="224"/>
  <c r="T216" i="224" s="1"/>
  <c r="O216" i="224"/>
  <c r="L216" i="224"/>
  <c r="P208" i="224"/>
  <c r="T208" i="224" s="1"/>
  <c r="O208" i="224"/>
  <c r="L208" i="224"/>
  <c r="O207" i="224"/>
  <c r="L207" i="224"/>
  <c r="P207" i="224" s="1"/>
  <c r="T207" i="224" s="1"/>
  <c r="P206" i="224"/>
  <c r="T206" i="224" s="1"/>
  <c r="O206" i="224"/>
  <c r="L206" i="224"/>
  <c r="O205" i="224"/>
  <c r="L205" i="224"/>
  <c r="P205" i="224" s="1"/>
  <c r="T205" i="224" s="1"/>
  <c r="P204" i="224"/>
  <c r="T204" i="224" s="1"/>
  <c r="O204" i="224"/>
  <c r="L204" i="224"/>
  <c r="S203" i="224"/>
  <c r="R203" i="224"/>
  <c r="Q203" i="224"/>
  <c r="N203" i="224"/>
  <c r="M203" i="224"/>
  <c r="K203" i="224"/>
  <c r="J203" i="224"/>
  <c r="I203" i="224"/>
  <c r="H203" i="224"/>
  <c r="G203" i="224"/>
  <c r="F203" i="224"/>
  <c r="E203" i="224"/>
  <c r="D203" i="224"/>
  <c r="C203" i="224"/>
  <c r="B203" i="224"/>
  <c r="T202" i="224"/>
  <c r="O202" i="224"/>
  <c r="P202" i="224" s="1"/>
  <c r="L202" i="224"/>
  <c r="O201" i="224"/>
  <c r="L201" i="224"/>
  <c r="L203" i="224" s="1"/>
  <c r="O200" i="224"/>
  <c r="P200" i="224" s="1"/>
  <c r="L200" i="224"/>
  <c r="S198" i="224"/>
  <c r="R198" i="224"/>
  <c r="Q198" i="224"/>
  <c r="N198" i="224"/>
  <c r="M198" i="224"/>
  <c r="K198" i="224"/>
  <c r="J198" i="224"/>
  <c r="I198" i="224"/>
  <c r="H198" i="224"/>
  <c r="G198" i="224"/>
  <c r="F198" i="224"/>
  <c r="E198" i="224"/>
  <c r="D198" i="224"/>
  <c r="C198" i="224"/>
  <c r="B198" i="224"/>
  <c r="P197" i="224"/>
  <c r="T197" i="224" s="1"/>
  <c r="O197" i="224"/>
  <c r="L197" i="224"/>
  <c r="O196" i="224"/>
  <c r="L196" i="224"/>
  <c r="P196" i="224" s="1"/>
  <c r="T196" i="224" s="1"/>
  <c r="P195" i="224"/>
  <c r="T195" i="224" s="1"/>
  <c r="T198" i="224" s="1"/>
  <c r="O195" i="224"/>
  <c r="O198" i="224" s="1"/>
  <c r="L195" i="224"/>
  <c r="L198" i="224" s="1"/>
  <c r="S193" i="224"/>
  <c r="R193" i="224"/>
  <c r="Q193" i="224"/>
  <c r="N193" i="224"/>
  <c r="M193" i="224"/>
  <c r="K193" i="224"/>
  <c r="J193" i="224"/>
  <c r="I193" i="224"/>
  <c r="H193" i="224"/>
  <c r="G193" i="224"/>
  <c r="F193" i="224"/>
  <c r="E193" i="224"/>
  <c r="D193" i="224"/>
  <c r="C193" i="224"/>
  <c r="B193" i="224"/>
  <c r="O192" i="224"/>
  <c r="P192" i="224" s="1"/>
  <c r="T192" i="224" s="1"/>
  <c r="L192" i="224"/>
  <c r="O191" i="224"/>
  <c r="L191" i="224"/>
  <c r="P191" i="224" s="1"/>
  <c r="T191" i="224" s="1"/>
  <c r="O190" i="224"/>
  <c r="P190" i="224" s="1"/>
  <c r="T190" i="224" s="1"/>
  <c r="L190" i="224"/>
  <c r="O189" i="224"/>
  <c r="L189" i="224"/>
  <c r="P189" i="224" s="1"/>
  <c r="T189" i="224" s="1"/>
  <c r="O188" i="224"/>
  <c r="P188" i="224" s="1"/>
  <c r="T188" i="224" s="1"/>
  <c r="L188" i="224"/>
  <c r="O187" i="224"/>
  <c r="L187" i="224"/>
  <c r="P187" i="224" s="1"/>
  <c r="T187" i="224" s="1"/>
  <c r="O186" i="224"/>
  <c r="P186" i="224" s="1"/>
  <c r="T186" i="224" s="1"/>
  <c r="L186" i="224"/>
  <c r="O185" i="224"/>
  <c r="L185" i="224"/>
  <c r="P185" i="224" s="1"/>
  <c r="T185" i="224" s="1"/>
  <c r="O184" i="224"/>
  <c r="P184" i="224" s="1"/>
  <c r="T184" i="224" s="1"/>
  <c r="L184" i="224"/>
  <c r="O183" i="224"/>
  <c r="L183" i="224"/>
  <c r="P183" i="224" s="1"/>
  <c r="T183" i="224" s="1"/>
  <c r="O182" i="224"/>
  <c r="P182" i="224" s="1"/>
  <c r="T182" i="224" s="1"/>
  <c r="L182" i="224"/>
  <c r="O181" i="224"/>
  <c r="L181" i="224"/>
  <c r="L193" i="224" s="1"/>
  <c r="S179" i="224"/>
  <c r="R179" i="224"/>
  <c r="K179" i="224"/>
  <c r="J179" i="224"/>
  <c r="D179" i="224"/>
  <c r="C179" i="224"/>
  <c r="B179" i="224"/>
  <c r="P178" i="224"/>
  <c r="T178" i="224" s="1"/>
  <c r="O178" i="224"/>
  <c r="L178" i="224"/>
  <c r="O177" i="224"/>
  <c r="L177" i="224"/>
  <c r="P177" i="224" s="1"/>
  <c r="T177" i="224" s="1"/>
  <c r="S176" i="224"/>
  <c r="R176" i="224"/>
  <c r="Q176" i="224"/>
  <c r="Q179" i="224" s="1"/>
  <c r="N176" i="224"/>
  <c r="N179" i="224" s="1"/>
  <c r="M176" i="224"/>
  <c r="M179" i="224" s="1"/>
  <c r="K176" i="224"/>
  <c r="J176" i="224"/>
  <c r="I176" i="224"/>
  <c r="I179" i="224" s="1"/>
  <c r="H176" i="224"/>
  <c r="H179" i="224" s="1"/>
  <c r="G176" i="224"/>
  <c r="G179" i="224" s="1"/>
  <c r="F176" i="224"/>
  <c r="F179" i="224" s="1"/>
  <c r="E176" i="224"/>
  <c r="E179" i="224" s="1"/>
  <c r="D176" i="224"/>
  <c r="C176" i="224"/>
  <c r="B176" i="224"/>
  <c r="O175" i="224"/>
  <c r="L175" i="224"/>
  <c r="P175" i="224" s="1"/>
  <c r="T175" i="224" s="1"/>
  <c r="O174" i="224"/>
  <c r="P174" i="224" s="1"/>
  <c r="P176" i="224" s="1"/>
  <c r="L174" i="224"/>
  <c r="L176" i="224" s="1"/>
  <c r="O172" i="224"/>
  <c r="L172" i="224"/>
  <c r="P172" i="224" s="1"/>
  <c r="T170" i="224"/>
  <c r="O170" i="224"/>
  <c r="P170" i="224" s="1"/>
  <c r="L170" i="224"/>
  <c r="Q169" i="224"/>
  <c r="I169" i="224"/>
  <c r="I209" i="224" s="1"/>
  <c r="H169" i="224"/>
  <c r="H209" i="224" s="1"/>
  <c r="S168" i="224"/>
  <c r="S169" i="224" s="1"/>
  <c r="S209" i="224" s="1"/>
  <c r="R168" i="224"/>
  <c r="Q168" i="224"/>
  <c r="N168" i="224"/>
  <c r="M168" i="224"/>
  <c r="L168" i="224"/>
  <c r="K168" i="224"/>
  <c r="K169" i="224" s="1"/>
  <c r="K209" i="224" s="1"/>
  <c r="J168" i="224"/>
  <c r="I168" i="224"/>
  <c r="H168" i="224"/>
  <c r="G168" i="224"/>
  <c r="F168" i="224"/>
  <c r="E168" i="224"/>
  <c r="D168" i="224"/>
  <c r="C168" i="224"/>
  <c r="C169" i="224" s="1"/>
  <c r="C209" i="224" s="1"/>
  <c r="B168" i="224"/>
  <c r="O167" i="224"/>
  <c r="L167" i="224"/>
  <c r="P167" i="224" s="1"/>
  <c r="T167" i="224" s="1"/>
  <c r="O166" i="224"/>
  <c r="P166" i="224" s="1"/>
  <c r="T166" i="224" s="1"/>
  <c r="L166" i="224"/>
  <c r="O165" i="224"/>
  <c r="L165" i="224"/>
  <c r="P165" i="224" s="1"/>
  <c r="T165" i="224" s="1"/>
  <c r="O164" i="224"/>
  <c r="P164" i="224" s="1"/>
  <c r="T164" i="224" s="1"/>
  <c r="L164" i="224"/>
  <c r="O163" i="224"/>
  <c r="L163" i="224"/>
  <c r="P163" i="224" s="1"/>
  <c r="T163" i="224" s="1"/>
  <c r="O162" i="224"/>
  <c r="L162" i="224"/>
  <c r="S160" i="224"/>
  <c r="R160" i="224"/>
  <c r="R169" i="224" s="1"/>
  <c r="R209" i="224" s="1"/>
  <c r="Q160" i="224"/>
  <c r="N160" i="224"/>
  <c r="N169" i="224" s="1"/>
  <c r="N209" i="224" s="1"/>
  <c r="M160" i="224"/>
  <c r="M169" i="224" s="1"/>
  <c r="K160" i="224"/>
  <c r="J160" i="224"/>
  <c r="J169" i="224" s="1"/>
  <c r="J209" i="224" s="1"/>
  <c r="I160" i="224"/>
  <c r="H160" i="224"/>
  <c r="G160" i="224"/>
  <c r="G169" i="224" s="1"/>
  <c r="F160" i="224"/>
  <c r="F169" i="224" s="1"/>
  <c r="E160" i="224"/>
  <c r="E169" i="224" s="1"/>
  <c r="E209" i="224" s="1"/>
  <c r="D160" i="224"/>
  <c r="D169" i="224" s="1"/>
  <c r="D209" i="224" s="1"/>
  <c r="C160" i="224"/>
  <c r="B160" i="224"/>
  <c r="B169" i="224" s="1"/>
  <c r="B209" i="224" s="1"/>
  <c r="O159" i="224"/>
  <c r="O160" i="224" s="1"/>
  <c r="L159" i="224"/>
  <c r="P157" i="224"/>
  <c r="T157" i="224" s="1"/>
  <c r="O157" i="224"/>
  <c r="L157" i="224"/>
  <c r="O156" i="224"/>
  <c r="L156" i="224"/>
  <c r="P156" i="224" s="1"/>
  <c r="T156" i="224" s="1"/>
  <c r="P155" i="224"/>
  <c r="T155" i="224" s="1"/>
  <c r="O155" i="224"/>
  <c r="L155" i="224"/>
  <c r="O154" i="224"/>
  <c r="L154" i="224"/>
  <c r="P153" i="224"/>
  <c r="T153" i="224" s="1"/>
  <c r="O153" i="224"/>
  <c r="L153" i="224"/>
  <c r="S150" i="224"/>
  <c r="R150" i="224"/>
  <c r="Q150" i="224"/>
  <c r="K150" i="224"/>
  <c r="J150" i="224"/>
  <c r="I150" i="224"/>
  <c r="C150" i="224"/>
  <c r="B150" i="224"/>
  <c r="S149" i="224"/>
  <c r="R149" i="224"/>
  <c r="Q149" i="224"/>
  <c r="N149" i="224"/>
  <c r="N150" i="224" s="1"/>
  <c r="M149" i="224"/>
  <c r="M150" i="224" s="1"/>
  <c r="L149" i="224"/>
  <c r="L150" i="224" s="1"/>
  <c r="K149" i="224"/>
  <c r="J149" i="224"/>
  <c r="I149" i="224"/>
  <c r="H149" i="224"/>
  <c r="H150" i="224" s="1"/>
  <c r="G149" i="224"/>
  <c r="G150" i="224" s="1"/>
  <c r="F149" i="224"/>
  <c r="F150" i="224" s="1"/>
  <c r="E149" i="224"/>
  <c r="E150" i="224" s="1"/>
  <c r="D149" i="224"/>
  <c r="D150" i="224" s="1"/>
  <c r="C149" i="224"/>
  <c r="B149" i="224"/>
  <c r="O148" i="224"/>
  <c r="L148" i="224"/>
  <c r="P148" i="224" s="1"/>
  <c r="T148" i="224" s="1"/>
  <c r="T147" i="224"/>
  <c r="P147" i="224"/>
  <c r="O147" i="224"/>
  <c r="L147" i="224"/>
  <c r="O146" i="224"/>
  <c r="L146" i="224"/>
  <c r="P146" i="224" s="1"/>
  <c r="T146" i="224" s="1"/>
  <c r="T145" i="224"/>
  <c r="P145" i="224"/>
  <c r="O145" i="224"/>
  <c r="L145" i="224"/>
  <c r="O144" i="224"/>
  <c r="L144" i="224"/>
  <c r="P144" i="224" s="1"/>
  <c r="T144" i="224" s="1"/>
  <c r="P143" i="224"/>
  <c r="T143" i="224" s="1"/>
  <c r="O143" i="224"/>
  <c r="L143" i="224"/>
  <c r="O142" i="224"/>
  <c r="L142" i="224"/>
  <c r="P142" i="224" s="1"/>
  <c r="T142" i="224" s="1"/>
  <c r="T141" i="224"/>
  <c r="P141" i="224"/>
  <c r="O141" i="224"/>
  <c r="L141" i="224"/>
  <c r="O140" i="224"/>
  <c r="L140" i="224"/>
  <c r="P140" i="224" s="1"/>
  <c r="T140" i="224" s="1"/>
  <c r="T139" i="224"/>
  <c r="P139" i="224"/>
  <c r="O139" i="224"/>
  <c r="L139" i="224"/>
  <c r="O138" i="224"/>
  <c r="L138" i="224"/>
  <c r="P138" i="224" s="1"/>
  <c r="T138" i="224" s="1"/>
  <c r="T137" i="224"/>
  <c r="P137" i="224"/>
  <c r="O137" i="224"/>
  <c r="L137" i="224"/>
  <c r="O136" i="224"/>
  <c r="L136" i="224"/>
  <c r="P136" i="224" s="1"/>
  <c r="T136" i="224" s="1"/>
  <c r="P135" i="224"/>
  <c r="T135" i="224" s="1"/>
  <c r="O135" i="224"/>
  <c r="L135" i="224"/>
  <c r="O134" i="224"/>
  <c r="L134" i="224"/>
  <c r="P134" i="224" s="1"/>
  <c r="T134" i="224" s="1"/>
  <c r="T133" i="224"/>
  <c r="P133" i="224"/>
  <c r="O133" i="224"/>
  <c r="L133" i="224"/>
  <c r="O132" i="224"/>
  <c r="L132" i="224"/>
  <c r="P132" i="224" s="1"/>
  <c r="T132" i="224" s="1"/>
  <c r="T131" i="224"/>
  <c r="P131" i="224"/>
  <c r="O131" i="224"/>
  <c r="L131" i="224"/>
  <c r="O130" i="224"/>
  <c r="O149" i="224" s="1"/>
  <c r="O150" i="224" s="1"/>
  <c r="L130" i="224"/>
  <c r="P130" i="224" s="1"/>
  <c r="S127" i="224"/>
  <c r="S210" i="224" s="1"/>
  <c r="K127" i="224"/>
  <c r="D127" i="224"/>
  <c r="D210" i="224" s="1"/>
  <c r="C127" i="224"/>
  <c r="S126" i="224"/>
  <c r="R126" i="224"/>
  <c r="Q126" i="224"/>
  <c r="Q127" i="224" s="1"/>
  <c r="O126" i="224"/>
  <c r="N126" i="224"/>
  <c r="M126" i="224"/>
  <c r="K126" i="224"/>
  <c r="J126" i="224"/>
  <c r="I126" i="224"/>
  <c r="I127" i="224" s="1"/>
  <c r="H126" i="224"/>
  <c r="G126" i="224"/>
  <c r="F126" i="224"/>
  <c r="E126" i="224"/>
  <c r="D126" i="224"/>
  <c r="C126" i="224"/>
  <c r="B126" i="224"/>
  <c r="O125" i="224"/>
  <c r="L125" i="224"/>
  <c r="S123" i="224"/>
  <c r="Q123" i="224"/>
  <c r="N123" i="224"/>
  <c r="N127" i="224" s="1"/>
  <c r="K123" i="224"/>
  <c r="I123" i="224"/>
  <c r="H123" i="224"/>
  <c r="H127" i="224" s="1"/>
  <c r="F123" i="224"/>
  <c r="F127" i="224" s="1"/>
  <c r="E123" i="224"/>
  <c r="E127" i="224" s="1"/>
  <c r="E210" i="224" s="1"/>
  <c r="C123" i="224"/>
  <c r="O122" i="224"/>
  <c r="L122" i="224"/>
  <c r="P122" i="224" s="1"/>
  <c r="T122" i="224" s="1"/>
  <c r="S121" i="224"/>
  <c r="R121" i="224"/>
  <c r="R123" i="224" s="1"/>
  <c r="R127" i="224" s="1"/>
  <c r="Q121" i="224"/>
  <c r="N121" i="224"/>
  <c r="M121" i="224"/>
  <c r="M123" i="224" s="1"/>
  <c r="M127" i="224" s="1"/>
  <c r="L121" i="224"/>
  <c r="L123" i="224" s="1"/>
  <c r="K121" i="224"/>
  <c r="J121" i="224"/>
  <c r="J123" i="224" s="1"/>
  <c r="J127" i="224" s="1"/>
  <c r="I121" i="224"/>
  <c r="H121" i="224"/>
  <c r="G121" i="224"/>
  <c r="G123" i="224" s="1"/>
  <c r="F121" i="224"/>
  <c r="E121" i="224"/>
  <c r="D121" i="224"/>
  <c r="D123" i="224" s="1"/>
  <c r="C121" i="224"/>
  <c r="B121" i="224"/>
  <c r="B123" i="224" s="1"/>
  <c r="B127" i="224" s="1"/>
  <c r="O120" i="224"/>
  <c r="P120" i="224" s="1"/>
  <c r="T120" i="224" s="1"/>
  <c r="L120" i="224"/>
  <c r="P119" i="224"/>
  <c r="P121" i="224" s="1"/>
  <c r="P123" i="224" s="1"/>
  <c r="O119" i="224"/>
  <c r="L119" i="224"/>
  <c r="S113" i="224"/>
  <c r="R113" i="224"/>
  <c r="Q113" i="224"/>
  <c r="N113" i="224"/>
  <c r="M113" i="224"/>
  <c r="K113" i="224"/>
  <c r="J113" i="224"/>
  <c r="I113" i="224"/>
  <c r="H113" i="224"/>
  <c r="G113" i="224"/>
  <c r="F113" i="224"/>
  <c r="E113" i="224"/>
  <c r="D113" i="224"/>
  <c r="C113" i="224"/>
  <c r="B113" i="224"/>
  <c r="P112" i="224"/>
  <c r="T112" i="224" s="1"/>
  <c r="O112" i="224"/>
  <c r="L112" i="224"/>
  <c r="O111" i="224"/>
  <c r="O113" i="224" s="1"/>
  <c r="L111" i="224"/>
  <c r="S109" i="224"/>
  <c r="R109" i="224"/>
  <c r="Q109" i="224"/>
  <c r="N109" i="224"/>
  <c r="M109" i="224"/>
  <c r="K109" i="224"/>
  <c r="J109" i="224"/>
  <c r="I109" i="224"/>
  <c r="H109" i="224"/>
  <c r="G109" i="224"/>
  <c r="F109" i="224"/>
  <c r="E109" i="224"/>
  <c r="D109" i="224"/>
  <c r="C109" i="224"/>
  <c r="B109" i="224"/>
  <c r="P108" i="224"/>
  <c r="T108" i="224" s="1"/>
  <c r="O108" i="224"/>
  <c r="L108" i="224"/>
  <c r="O107" i="224"/>
  <c r="L107" i="224"/>
  <c r="L109" i="224" s="1"/>
  <c r="S105" i="224"/>
  <c r="R105" i="224"/>
  <c r="Q105" i="224"/>
  <c r="N105" i="224"/>
  <c r="M105" i="224"/>
  <c r="K105" i="224"/>
  <c r="J105" i="224"/>
  <c r="I105" i="224"/>
  <c r="H105" i="224"/>
  <c r="G105" i="224"/>
  <c r="F105" i="224"/>
  <c r="E105" i="224"/>
  <c r="D105" i="224"/>
  <c r="C105" i="224"/>
  <c r="B105" i="224"/>
  <c r="T104" i="224"/>
  <c r="T105" i="224" s="1"/>
  <c r="P104" i="224"/>
  <c r="P105" i="224" s="1"/>
  <c r="O104" i="224"/>
  <c r="O105" i="224" s="1"/>
  <c r="L104" i="224"/>
  <c r="L105" i="224" s="1"/>
  <c r="S102" i="224"/>
  <c r="R102" i="224"/>
  <c r="Q102" i="224"/>
  <c r="N102" i="224"/>
  <c r="M102" i="224"/>
  <c r="K102" i="224"/>
  <c r="J102" i="224"/>
  <c r="I102" i="224"/>
  <c r="H102" i="224"/>
  <c r="G102" i="224"/>
  <c r="G114" i="224" s="1"/>
  <c r="F102" i="224"/>
  <c r="E102" i="224"/>
  <c r="D102" i="224"/>
  <c r="C102" i="224"/>
  <c r="B102" i="224"/>
  <c r="O101" i="224"/>
  <c r="O102" i="224" s="1"/>
  <c r="L101" i="224"/>
  <c r="O100" i="224"/>
  <c r="L100" i="224"/>
  <c r="S98" i="224"/>
  <c r="R98" i="224"/>
  <c r="Q98" i="224"/>
  <c r="N98" i="224"/>
  <c r="M98" i="224"/>
  <c r="K98" i="224"/>
  <c r="J98" i="224"/>
  <c r="J114" i="224" s="1"/>
  <c r="I98" i="224"/>
  <c r="H98" i="224"/>
  <c r="G98" i="224"/>
  <c r="F98" i="224"/>
  <c r="E98" i="224"/>
  <c r="D98" i="224"/>
  <c r="C98" i="224"/>
  <c r="B98" i="224"/>
  <c r="B114" i="224" s="1"/>
  <c r="P97" i="224"/>
  <c r="T97" i="224" s="1"/>
  <c r="O97" i="224"/>
  <c r="L97" i="224"/>
  <c r="O96" i="224"/>
  <c r="O98" i="224" s="1"/>
  <c r="L96" i="224"/>
  <c r="S94" i="224"/>
  <c r="R94" i="224"/>
  <c r="Q94" i="224"/>
  <c r="N94" i="224"/>
  <c r="M94" i="224"/>
  <c r="M114" i="224" s="1"/>
  <c r="K94" i="224"/>
  <c r="J94" i="224"/>
  <c r="I94" i="224"/>
  <c r="H94" i="224"/>
  <c r="H114" i="224" s="1"/>
  <c r="G94" i="224"/>
  <c r="F94" i="224"/>
  <c r="E94" i="224"/>
  <c r="D94" i="224"/>
  <c r="D114" i="224" s="1"/>
  <c r="C94" i="224"/>
  <c r="B94" i="224"/>
  <c r="P93" i="224"/>
  <c r="T93" i="224" s="1"/>
  <c r="O93" i="224"/>
  <c r="L93" i="224"/>
  <c r="O92" i="224"/>
  <c r="L92" i="224"/>
  <c r="L94" i="224" s="1"/>
  <c r="I88" i="224"/>
  <c r="T87" i="224"/>
  <c r="O87" i="224"/>
  <c r="L87" i="224"/>
  <c r="P87" i="224" s="1"/>
  <c r="O86" i="224"/>
  <c r="P86" i="224" s="1"/>
  <c r="T86" i="224" s="1"/>
  <c r="L86" i="224"/>
  <c r="O85" i="224"/>
  <c r="L85" i="224"/>
  <c r="P85" i="224" s="1"/>
  <c r="T85" i="224" s="1"/>
  <c r="S84" i="224"/>
  <c r="R84" i="224"/>
  <c r="Q84" i="224"/>
  <c r="P84" i="224"/>
  <c r="N84" i="224"/>
  <c r="M84" i="224"/>
  <c r="K84" i="224"/>
  <c r="J84" i="224"/>
  <c r="I84" i="224"/>
  <c r="H84" i="224"/>
  <c r="G84" i="224"/>
  <c r="F84" i="224"/>
  <c r="E84" i="224"/>
  <c r="D84" i="224"/>
  <c r="C84" i="224"/>
  <c r="B84" i="224"/>
  <c r="P83" i="224"/>
  <c r="T83" i="224" s="1"/>
  <c r="T84" i="224" s="1"/>
  <c r="O83" i="224"/>
  <c r="O84" i="224" s="1"/>
  <c r="L83" i="224"/>
  <c r="L84" i="224" s="1"/>
  <c r="S81" i="224"/>
  <c r="R81" i="224"/>
  <c r="Q81" i="224"/>
  <c r="N81" i="224"/>
  <c r="M81" i="224"/>
  <c r="K81" i="224"/>
  <c r="J81" i="224"/>
  <c r="I81" i="224"/>
  <c r="H81" i="224"/>
  <c r="G81" i="224"/>
  <c r="F81" i="224"/>
  <c r="E81" i="224"/>
  <c r="D81" i="224"/>
  <c r="C81" i="224"/>
  <c r="B81" i="224"/>
  <c r="T80" i="224"/>
  <c r="O80" i="224"/>
  <c r="P80" i="224" s="1"/>
  <c r="L80" i="224"/>
  <c r="O79" i="224"/>
  <c r="L79" i="224"/>
  <c r="P79" i="224" s="1"/>
  <c r="T79" i="224" s="1"/>
  <c r="T78" i="224"/>
  <c r="O78" i="224"/>
  <c r="P78" i="224" s="1"/>
  <c r="L78" i="224"/>
  <c r="P77" i="224"/>
  <c r="T77" i="224" s="1"/>
  <c r="O77" i="224"/>
  <c r="L77" i="224"/>
  <c r="O76" i="224"/>
  <c r="P76" i="224" s="1"/>
  <c r="T76" i="224" s="1"/>
  <c r="L76" i="224"/>
  <c r="P75" i="224"/>
  <c r="T75" i="224" s="1"/>
  <c r="O75" i="224"/>
  <c r="L75" i="224"/>
  <c r="T74" i="224"/>
  <c r="O74" i="224"/>
  <c r="P74" i="224" s="1"/>
  <c r="L74" i="224"/>
  <c r="S72" i="224"/>
  <c r="R72" i="224"/>
  <c r="Q72" i="224"/>
  <c r="N72" i="224"/>
  <c r="M72" i="224"/>
  <c r="K72" i="224"/>
  <c r="J72" i="224"/>
  <c r="I72" i="224"/>
  <c r="H72" i="224"/>
  <c r="G72" i="224"/>
  <c r="F72" i="224"/>
  <c r="E72" i="224"/>
  <c r="D72" i="224"/>
  <c r="C72" i="224"/>
  <c r="B72" i="224"/>
  <c r="P71" i="224"/>
  <c r="T71" i="224" s="1"/>
  <c r="O71" i="224"/>
  <c r="L71" i="224"/>
  <c r="O70" i="224"/>
  <c r="P70" i="224" s="1"/>
  <c r="T70" i="224" s="1"/>
  <c r="L70" i="224"/>
  <c r="O69" i="224"/>
  <c r="L69" i="224"/>
  <c r="P69" i="224" s="1"/>
  <c r="T69" i="224" s="1"/>
  <c r="P68" i="224"/>
  <c r="T68" i="224" s="1"/>
  <c r="O68" i="224"/>
  <c r="L68" i="224"/>
  <c r="O67" i="224"/>
  <c r="L67" i="224"/>
  <c r="P67" i="224" s="1"/>
  <c r="T67" i="224" s="1"/>
  <c r="P66" i="224"/>
  <c r="T66" i="224" s="1"/>
  <c r="O66" i="224"/>
  <c r="L66" i="224"/>
  <c r="P65" i="224"/>
  <c r="T65" i="224" s="1"/>
  <c r="O65" i="224"/>
  <c r="L65" i="224"/>
  <c r="O64" i="224"/>
  <c r="P64" i="224" s="1"/>
  <c r="T64" i="224" s="1"/>
  <c r="L64" i="224"/>
  <c r="T63" i="224"/>
  <c r="P63" i="224"/>
  <c r="O63" i="224"/>
  <c r="L63" i="224"/>
  <c r="O62" i="224"/>
  <c r="L62" i="224"/>
  <c r="L72" i="224" s="1"/>
  <c r="S60" i="224"/>
  <c r="R60" i="224"/>
  <c r="Q60" i="224"/>
  <c r="Q88" i="224" s="1"/>
  <c r="N60" i="224"/>
  <c r="M60" i="224"/>
  <c r="L60" i="224"/>
  <c r="K60" i="224"/>
  <c r="J60" i="224"/>
  <c r="I60" i="224"/>
  <c r="H60" i="224"/>
  <c r="G60" i="224"/>
  <c r="F60" i="224"/>
  <c r="E60" i="224"/>
  <c r="D60" i="224"/>
  <c r="C60" i="224"/>
  <c r="B60" i="224"/>
  <c r="P59" i="224"/>
  <c r="P60" i="224" s="1"/>
  <c r="O59" i="224"/>
  <c r="O60" i="224" s="1"/>
  <c r="L59" i="224"/>
  <c r="S57" i="224"/>
  <c r="S88" i="224" s="1"/>
  <c r="Q57" i="224"/>
  <c r="K57" i="224"/>
  <c r="K88" i="224" s="1"/>
  <c r="I57" i="224"/>
  <c r="H57" i="224"/>
  <c r="D57" i="224"/>
  <c r="D88" i="224" s="1"/>
  <c r="C57" i="224"/>
  <c r="C88" i="224" s="1"/>
  <c r="S56" i="224"/>
  <c r="R56" i="224"/>
  <c r="R57" i="224" s="1"/>
  <c r="R88" i="224" s="1"/>
  <c r="Q56" i="224"/>
  <c r="N56" i="224"/>
  <c r="N57" i="224" s="1"/>
  <c r="N88" i="224" s="1"/>
  <c r="M56" i="224"/>
  <c r="M57" i="224" s="1"/>
  <c r="M88" i="224" s="1"/>
  <c r="K56" i="224"/>
  <c r="J56" i="224"/>
  <c r="J57" i="224" s="1"/>
  <c r="J88" i="224" s="1"/>
  <c r="I56" i="224"/>
  <c r="H56" i="224"/>
  <c r="G56" i="224"/>
  <c r="G57" i="224" s="1"/>
  <c r="G88" i="224" s="1"/>
  <c r="F56" i="224"/>
  <c r="F57" i="224" s="1"/>
  <c r="F88" i="224" s="1"/>
  <c r="E56" i="224"/>
  <c r="E57" i="224" s="1"/>
  <c r="E88" i="224" s="1"/>
  <c r="D56" i="224"/>
  <c r="C56" i="224"/>
  <c r="B56" i="224"/>
  <c r="B57" i="224" s="1"/>
  <c r="B88" i="224" s="1"/>
  <c r="O55" i="224"/>
  <c r="L55" i="224"/>
  <c r="P55" i="224" s="1"/>
  <c r="T55" i="224" s="1"/>
  <c r="O54" i="224"/>
  <c r="L54" i="224"/>
  <c r="P54" i="224" s="1"/>
  <c r="T54" i="224" s="1"/>
  <c r="O53" i="224"/>
  <c r="O56" i="224" s="1"/>
  <c r="O57" i="224" s="1"/>
  <c r="L53" i="224"/>
  <c r="P53" i="224" s="1"/>
  <c r="T53" i="224" s="1"/>
  <c r="O52" i="224"/>
  <c r="L52" i="224"/>
  <c r="L56" i="224" s="1"/>
  <c r="L57" i="224" s="1"/>
  <c r="R48" i="224"/>
  <c r="Q48" i="224"/>
  <c r="N48" i="224"/>
  <c r="J48" i="224"/>
  <c r="I48" i="224"/>
  <c r="F48" i="224"/>
  <c r="B48" i="224"/>
  <c r="S47" i="224"/>
  <c r="R47" i="224"/>
  <c r="Q47" i="224"/>
  <c r="N47" i="224"/>
  <c r="M47" i="224"/>
  <c r="M48" i="224" s="1"/>
  <c r="L47" i="224"/>
  <c r="K47" i="224"/>
  <c r="J47" i="224"/>
  <c r="I47" i="224"/>
  <c r="H47" i="224"/>
  <c r="H48" i="224" s="1"/>
  <c r="G47" i="224"/>
  <c r="F47" i="224"/>
  <c r="E47" i="224"/>
  <c r="E48" i="224" s="1"/>
  <c r="D47" i="224"/>
  <c r="C47" i="224"/>
  <c r="B47" i="224"/>
  <c r="P46" i="224"/>
  <c r="T46" i="224" s="1"/>
  <c r="T47" i="224" s="1"/>
  <c r="O46" i="224"/>
  <c r="O47" i="224" s="1"/>
  <c r="L46" i="224"/>
  <c r="S44" i="224"/>
  <c r="S48" i="224" s="1"/>
  <c r="R44" i="224"/>
  <c r="Q44" i="224"/>
  <c r="N44" i="224"/>
  <c r="M44" i="224"/>
  <c r="L44" i="224"/>
  <c r="L48" i="224" s="1"/>
  <c r="K44" i="224"/>
  <c r="K48" i="224" s="1"/>
  <c r="J44" i="224"/>
  <c r="I44" i="224"/>
  <c r="H44" i="224"/>
  <c r="G44" i="224"/>
  <c r="G48" i="224" s="1"/>
  <c r="F44" i="224"/>
  <c r="E44" i="224"/>
  <c r="D44" i="224"/>
  <c r="D48" i="224" s="1"/>
  <c r="C44" i="224"/>
  <c r="C48" i="224" s="1"/>
  <c r="B44" i="224"/>
  <c r="O43" i="224"/>
  <c r="P43" i="224" s="1"/>
  <c r="T43" i="224" s="1"/>
  <c r="L43" i="224"/>
  <c r="O42" i="224"/>
  <c r="P42" i="224" s="1"/>
  <c r="T42" i="224" s="1"/>
  <c r="L42" i="224"/>
  <c r="O41" i="224"/>
  <c r="P41" i="224" s="1"/>
  <c r="L41" i="224"/>
  <c r="S38" i="224"/>
  <c r="S89" i="224" s="1"/>
  <c r="S211" i="224" s="1"/>
  <c r="R38" i="224"/>
  <c r="K38" i="224"/>
  <c r="J38" i="224"/>
  <c r="H38" i="224"/>
  <c r="G38" i="224"/>
  <c r="C38" i="224"/>
  <c r="B38" i="224"/>
  <c r="S37" i="224"/>
  <c r="R37" i="224"/>
  <c r="Q37" i="224"/>
  <c r="Q38" i="224" s="1"/>
  <c r="N37" i="224"/>
  <c r="N38" i="224" s="1"/>
  <c r="N89" i="224" s="1"/>
  <c r="M37" i="224"/>
  <c r="M38" i="224" s="1"/>
  <c r="K37" i="224"/>
  <c r="J37" i="224"/>
  <c r="I37" i="224"/>
  <c r="I38" i="224" s="1"/>
  <c r="I89" i="224" s="1"/>
  <c r="H37" i="224"/>
  <c r="G37" i="224"/>
  <c r="F37" i="224"/>
  <c r="F38" i="224" s="1"/>
  <c r="E37" i="224"/>
  <c r="E38" i="224" s="1"/>
  <c r="E89" i="224" s="1"/>
  <c r="E211" i="224" s="1"/>
  <c r="D37" i="224"/>
  <c r="D38" i="224" s="1"/>
  <c r="C37" i="224"/>
  <c r="B37" i="224"/>
  <c r="O36" i="224"/>
  <c r="L36" i="224"/>
  <c r="P36" i="224" s="1"/>
  <c r="T36" i="224" s="1"/>
  <c r="T35" i="224"/>
  <c r="P35" i="224"/>
  <c r="O35" i="224"/>
  <c r="L35" i="224"/>
  <c r="O34" i="224"/>
  <c r="L34" i="224"/>
  <c r="P34" i="224" s="1"/>
  <c r="T34" i="224" s="1"/>
  <c r="T33" i="224"/>
  <c r="P33" i="224"/>
  <c r="O33" i="224"/>
  <c r="L33" i="224"/>
  <c r="O32" i="224"/>
  <c r="L32" i="224"/>
  <c r="P32" i="224" s="1"/>
  <c r="T32" i="224" s="1"/>
  <c r="T31" i="224"/>
  <c r="P31" i="224"/>
  <c r="O31" i="224"/>
  <c r="L31" i="224"/>
  <c r="O30" i="224"/>
  <c r="L30" i="224"/>
  <c r="P30" i="224" s="1"/>
  <c r="T30" i="224" s="1"/>
  <c r="T29" i="224"/>
  <c r="P29" i="224"/>
  <c r="O29" i="224"/>
  <c r="L29" i="224"/>
  <c r="O28" i="224"/>
  <c r="L28" i="224"/>
  <c r="P28" i="224" s="1"/>
  <c r="T28" i="224" s="1"/>
  <c r="T27" i="224"/>
  <c r="P27" i="224"/>
  <c r="O27" i="224"/>
  <c r="L27" i="224"/>
  <c r="O26" i="224"/>
  <c r="L26" i="224"/>
  <c r="P26" i="224" s="1"/>
  <c r="T26" i="224" s="1"/>
  <c r="T25" i="224"/>
  <c r="P25" i="224"/>
  <c r="O25" i="224"/>
  <c r="L25" i="224"/>
  <c r="O24" i="224"/>
  <c r="L24" i="224"/>
  <c r="P24" i="224" s="1"/>
  <c r="T24" i="224" s="1"/>
  <c r="T23" i="224"/>
  <c r="P23" i="224"/>
  <c r="O23" i="224"/>
  <c r="L23" i="224"/>
  <c r="O22" i="224"/>
  <c r="L22" i="224"/>
  <c r="P22" i="224" s="1"/>
  <c r="T22" i="224" s="1"/>
  <c r="T21" i="224"/>
  <c r="P21" i="224"/>
  <c r="O21" i="224"/>
  <c r="L21" i="224"/>
  <c r="O20" i="224"/>
  <c r="L20" i="224"/>
  <c r="P20" i="224" s="1"/>
  <c r="T20" i="224" s="1"/>
  <c r="T19" i="224"/>
  <c r="P19" i="224"/>
  <c r="O19" i="224"/>
  <c r="L19" i="224"/>
  <c r="O18" i="224"/>
  <c r="L18" i="224"/>
  <c r="P18" i="224" s="1"/>
  <c r="T18" i="224" s="1"/>
  <c r="T17" i="224"/>
  <c r="P17" i="224"/>
  <c r="O17" i="224"/>
  <c r="L17" i="224"/>
  <c r="O16" i="224"/>
  <c r="L16" i="224"/>
  <c r="P16" i="224" s="1"/>
  <c r="T16" i="224" s="1"/>
  <c r="T15" i="224"/>
  <c r="P15" i="224"/>
  <c r="O15" i="224"/>
  <c r="O37" i="224" s="1"/>
  <c r="O38" i="224" s="1"/>
  <c r="L15" i="224"/>
  <c r="L37" i="224" s="1"/>
  <c r="L38" i="224" s="1"/>
  <c r="L88" i="224" l="1"/>
  <c r="L89" i="224" s="1"/>
  <c r="T81" i="224"/>
  <c r="T37" i="224"/>
  <c r="T38" i="224" s="1"/>
  <c r="D89" i="224"/>
  <c r="D211" i="224" s="1"/>
  <c r="D212" i="224" s="1"/>
  <c r="D233" i="224" s="1"/>
  <c r="M89" i="224"/>
  <c r="T41" i="224"/>
  <c r="T44" i="224" s="1"/>
  <c r="T48" i="224" s="1"/>
  <c r="P44" i="224"/>
  <c r="P48" i="224" s="1"/>
  <c r="L127" i="224"/>
  <c r="I211" i="224"/>
  <c r="I212" i="224" s="1"/>
  <c r="I233" i="224" s="1"/>
  <c r="P37" i="224"/>
  <c r="P38" i="224" s="1"/>
  <c r="C89" i="224"/>
  <c r="F89" i="224"/>
  <c r="Q89" i="224"/>
  <c r="K89" i="224"/>
  <c r="M210" i="224"/>
  <c r="O72" i="224"/>
  <c r="O88" i="224" s="1"/>
  <c r="E114" i="224"/>
  <c r="E212" i="224" s="1"/>
  <c r="E233" i="224" s="1"/>
  <c r="P101" i="224"/>
  <c r="T101" i="224" s="1"/>
  <c r="G127" i="224"/>
  <c r="L126" i="224"/>
  <c r="P125" i="224"/>
  <c r="T174" i="224"/>
  <c r="T176" i="224" s="1"/>
  <c r="T226" i="224"/>
  <c r="T229" i="224" s="1"/>
  <c r="P229" i="224"/>
  <c r="P62" i="224"/>
  <c r="F114" i="224"/>
  <c r="R114" i="224"/>
  <c r="R210" i="224"/>
  <c r="H210" i="224"/>
  <c r="I210" i="224"/>
  <c r="L169" i="224"/>
  <c r="O168" i="224"/>
  <c r="O169" i="224" s="1"/>
  <c r="O209" i="224" s="1"/>
  <c r="O229" i="224"/>
  <c r="O230" i="224" s="1"/>
  <c r="O232" i="224" s="1"/>
  <c r="O243" i="224"/>
  <c r="O244" i="224" s="1"/>
  <c r="O248" i="224" s="1"/>
  <c r="L81" i="224"/>
  <c r="P92" i="224"/>
  <c r="O94" i="224"/>
  <c r="O114" i="224" s="1"/>
  <c r="N114" i="224"/>
  <c r="T119" i="224"/>
  <c r="T121" i="224" s="1"/>
  <c r="T123" i="224" s="1"/>
  <c r="T130" i="224"/>
  <c r="T149" i="224" s="1"/>
  <c r="T150" i="224" s="1"/>
  <c r="P149" i="224"/>
  <c r="P150" i="224" s="1"/>
  <c r="Q209" i="224"/>
  <c r="T200" i="224"/>
  <c r="P81" i="224"/>
  <c r="Q114" i="224"/>
  <c r="C210" i="224"/>
  <c r="M209" i="224"/>
  <c r="P162" i="224"/>
  <c r="O193" i="224"/>
  <c r="P198" i="224"/>
  <c r="R89" i="224"/>
  <c r="R211" i="224" s="1"/>
  <c r="R212" i="224" s="1"/>
  <c r="R233" i="224" s="1"/>
  <c r="L224" i="224"/>
  <c r="L230" i="224" s="1"/>
  <c r="L232" i="224" s="1"/>
  <c r="P217" i="224"/>
  <c r="T217" i="224" s="1"/>
  <c r="T224" i="224" s="1"/>
  <c r="T230" i="224" s="1"/>
  <c r="T232" i="224" s="1"/>
  <c r="P47" i="224"/>
  <c r="O44" i="224"/>
  <c r="O48" i="224" s="1"/>
  <c r="B210" i="224"/>
  <c r="G89" i="224"/>
  <c r="H88" i="224"/>
  <c r="H89" i="224" s="1"/>
  <c r="H211" i="224" s="1"/>
  <c r="H212" i="224" s="1"/>
  <c r="H233" i="224" s="1"/>
  <c r="T59" i="224"/>
  <c r="T60" i="224" s="1"/>
  <c r="I114" i="224"/>
  <c r="S114" i="224"/>
  <c r="S212" i="224" s="1"/>
  <c r="S233" i="224" s="1"/>
  <c r="L113" i="224"/>
  <c r="P111" i="224"/>
  <c r="K210" i="224"/>
  <c r="P154" i="224"/>
  <c r="F209" i="224"/>
  <c r="F210" i="224" s="1"/>
  <c r="P179" i="224"/>
  <c r="T172" i="224"/>
  <c r="J89" i="224"/>
  <c r="J211" i="224" s="1"/>
  <c r="J212" i="224" s="1"/>
  <c r="J233" i="224" s="1"/>
  <c r="P52" i="224"/>
  <c r="L98" i="224"/>
  <c r="L114" i="224" s="1"/>
  <c r="P96" i="224"/>
  <c r="N210" i="224"/>
  <c r="N211" i="224" s="1"/>
  <c r="N212" i="224" s="1"/>
  <c r="N233" i="224" s="1"/>
  <c r="G209" i="224"/>
  <c r="B89" i="224"/>
  <c r="P107" i="224"/>
  <c r="O109" i="224"/>
  <c r="Q210" i="224"/>
  <c r="O81" i="224"/>
  <c r="L102" i="224"/>
  <c r="P100" i="224"/>
  <c r="J210" i="224"/>
  <c r="C114" i="224"/>
  <c r="K114" i="224"/>
  <c r="L160" i="224"/>
  <c r="P159" i="224"/>
  <c r="O176" i="224"/>
  <c r="O179" i="224" s="1"/>
  <c r="L179" i="224"/>
  <c r="O121" i="224"/>
  <c r="O123" i="224" s="1"/>
  <c r="O127" i="224" s="1"/>
  <c r="P201" i="224"/>
  <c r="T201" i="224" s="1"/>
  <c r="P181" i="224"/>
  <c r="P237" i="224"/>
  <c r="O203" i="224"/>
  <c r="O89" i="224" l="1"/>
  <c r="P102" i="224"/>
  <c r="T100" i="224"/>
  <c r="T102" i="224" s="1"/>
  <c r="T62" i="224"/>
  <c r="T72" i="224" s="1"/>
  <c r="P72" i="224"/>
  <c r="L210" i="224"/>
  <c r="L211" i="224" s="1"/>
  <c r="L212" i="224" s="1"/>
  <c r="L233" i="224" s="1"/>
  <c r="T96" i="224"/>
  <c r="T98" i="224" s="1"/>
  <c r="P98" i="224"/>
  <c r="L209" i="224"/>
  <c r="T181" i="224"/>
  <c r="T193" i="224" s="1"/>
  <c r="P193" i="224"/>
  <c r="T52" i="224"/>
  <c r="T56" i="224" s="1"/>
  <c r="T57" i="224" s="1"/>
  <c r="T88" i="224" s="1"/>
  <c r="T89" i="224" s="1"/>
  <c r="P56" i="224"/>
  <c r="P57" i="224" s="1"/>
  <c r="P88" i="224" s="1"/>
  <c r="P89" i="224" s="1"/>
  <c r="P113" i="224"/>
  <c r="T111" i="224"/>
  <c r="T113" i="224" s="1"/>
  <c r="T203" i="224"/>
  <c r="P94" i="224"/>
  <c r="T92" i="224"/>
  <c r="T94" i="224" s="1"/>
  <c r="T125" i="224"/>
  <c r="T126" i="224" s="1"/>
  <c r="T127" i="224" s="1"/>
  <c r="P126" i="224"/>
  <c r="P127" i="224" s="1"/>
  <c r="Q211" i="224"/>
  <c r="Q212" i="224" s="1"/>
  <c r="Q233" i="224" s="1"/>
  <c r="T154" i="224"/>
  <c r="T159" i="224"/>
  <c r="T160" i="224" s="1"/>
  <c r="P160" i="224"/>
  <c r="P169" i="224" s="1"/>
  <c r="P209" i="224" s="1"/>
  <c r="K211" i="224"/>
  <c r="K212" i="224" s="1"/>
  <c r="K233" i="224" s="1"/>
  <c r="P109" i="224"/>
  <c r="T107" i="224"/>
  <c r="T109" i="224" s="1"/>
  <c r="P168" i="224"/>
  <c r="T162" i="224"/>
  <c r="T168" i="224" s="1"/>
  <c r="F211" i="224"/>
  <c r="F212" i="224" s="1"/>
  <c r="F233" i="224" s="1"/>
  <c r="O210" i="224"/>
  <c r="B211" i="224"/>
  <c r="B212" i="224" s="1"/>
  <c r="B233" i="224" s="1"/>
  <c r="P203" i="224"/>
  <c r="G210" i="224"/>
  <c r="C211" i="224"/>
  <c r="C212" i="224" s="1"/>
  <c r="C233" i="224" s="1"/>
  <c r="G211" i="224"/>
  <c r="G212" i="224" s="1"/>
  <c r="G233" i="224" s="1"/>
  <c r="T237" i="224"/>
  <c r="T243" i="224" s="1"/>
  <c r="T244" i="224" s="1"/>
  <c r="T248" i="224" s="1"/>
  <c r="P243" i="224"/>
  <c r="P244" i="224" s="1"/>
  <c r="P248" i="224" s="1"/>
  <c r="P224" i="224"/>
  <c r="P230" i="224" s="1"/>
  <c r="P232" i="224" s="1"/>
  <c r="T179" i="224"/>
  <c r="M211" i="224"/>
  <c r="M212" i="224" s="1"/>
  <c r="M233" i="224" s="1"/>
  <c r="P210" i="224" l="1"/>
  <c r="P211" i="224" s="1"/>
  <c r="P212" i="224" s="1"/>
  <c r="P233" i="224" s="1"/>
  <c r="P114" i="224"/>
  <c r="T114" i="224"/>
  <c r="T169" i="224"/>
  <c r="T209" i="224" s="1"/>
  <c r="T210" i="224" s="1"/>
  <c r="T211" i="224" s="1"/>
  <c r="T212" i="224" s="1"/>
  <c r="T233" i="224" s="1"/>
  <c r="O211" i="224"/>
  <c r="O212" i="224" s="1"/>
  <c r="O233" i="224" s="1"/>
</calcChain>
</file>

<file path=xl/sharedStrings.xml><?xml version="1.0" encoding="utf-8"?>
<sst xmlns="http://schemas.openxmlformats.org/spreadsheetml/2006/main" count="375" uniqueCount="340">
  <si>
    <t>Intrepid Spirits Limited</t>
  </si>
  <si>
    <t>Parent Company (Consolidated)</t>
  </si>
  <si>
    <t>Balance Sheet</t>
  </si>
  <si>
    <t/>
  </si>
  <si>
    <t>Parent Company</t>
  </si>
  <si>
    <t> </t>
  </si>
  <si>
    <t>Amount</t>
  </si>
  <si>
    <t>Intrepid Rooster LLC</t>
  </si>
  <si>
    <t>Intrepid Spirits Holdings Inc</t>
  </si>
  <si>
    <t>P&amp;H Egans (Tullamore) Limited</t>
  </si>
  <si>
    <t>Shanghai Bajiu Network Technology Co., Ltd.</t>
  </si>
  <si>
    <t>The Rogue Group HK Ltd</t>
  </si>
  <si>
    <t>Total</t>
  </si>
  <si>
    <t>Cocalero International HK Limited</t>
  </si>
  <si>
    <t>Mad March Hare International Holdings Limited</t>
  </si>
  <si>
    <t>Cocalero Productions Limited</t>
  </si>
  <si>
    <t>Intrepid Australia Ltd</t>
  </si>
  <si>
    <t>Intrepid Spirits USA Inc</t>
  </si>
  <si>
    <t>Mad March Hare International Brands Ltd</t>
  </si>
  <si>
    <t>Current Assets</t>
  </si>
  <si>
    <t>Bank</t>
  </si>
  <si>
    <t>10000 - - BANK -</t>
  </si>
  <si>
    <t>10010 - Intrepid Spirits MHW USD</t>
  </si>
  <si>
    <t>10020 - Intrepid Spirits AIB</t>
  </si>
  <si>
    <t>10030 - Petty Cash</t>
  </si>
  <si>
    <t>10040 - Accelerated Payments (Intrepid Spirits Ltd)</t>
  </si>
  <si>
    <t>10110 - Cocalero AIB Bank Account</t>
  </si>
  <si>
    <t>10210 - Intrepid Spirits USA Chase Chk</t>
  </si>
  <si>
    <t>10310 - Intrepid Spirits Holding Check</t>
  </si>
  <si>
    <t>10360 - Intrepid Distilleries AIB</t>
  </si>
  <si>
    <t>10370 - Intrepid Rooster Checking</t>
  </si>
  <si>
    <t>10510 - BOI Current Account (P&amp;H Egan's)</t>
  </si>
  <si>
    <t>10620 - MHW Bank Account</t>
  </si>
  <si>
    <t>10650 - Merchant bank of China</t>
  </si>
  <si>
    <t>10660 - Westpac</t>
  </si>
  <si>
    <t>10670 - HSBC Checking (RR HK)</t>
  </si>
  <si>
    <t>10675 - HSBC Savings (RR HK)</t>
  </si>
  <si>
    <t>10680 - BacMar</t>
  </si>
  <si>
    <t>Total - 10000 - - BANK -</t>
  </si>
  <si>
    <t>Total Bank</t>
  </si>
  <si>
    <t>Accounts Receivable</t>
  </si>
  <si>
    <t>11000 - - ACCOUNTS RECEIVABLE -</t>
  </si>
  <si>
    <t>11010 - Trade Receivable</t>
  </si>
  <si>
    <t>11050 - Provision for Doubtful Debt</t>
  </si>
  <si>
    <t>Total - 11000 - - ACCOUNTS RECEIVABLE -</t>
  </si>
  <si>
    <t>11100 - - INTERCOMPANY ACCOUNTS RECEIVABLE -</t>
  </si>
  <si>
    <t>11110 - Intercompany Accounts Receivable</t>
  </si>
  <si>
    <t>Total - 11100 - - INTERCOMPANY ACCOUNTS RECEIVABLE -</t>
  </si>
  <si>
    <t>Total Accounts Receivable</t>
  </si>
  <si>
    <t>Other Current Asset</t>
  </si>
  <si>
    <t>11300 - - PREPAYMENTS -</t>
  </si>
  <si>
    <t>11310 - Prepayments</t>
  </si>
  <si>
    <t>Total - 11300 - - PREPAYMENTS -</t>
  </si>
  <si>
    <t>13000 - - INTERCOMPANY INVESTMENTS -</t>
  </si>
  <si>
    <t>13020 - InterCo. Investments - Cocalero HK</t>
  </si>
  <si>
    <t>13021 - InterCo. Investments - Cocalero Productions</t>
  </si>
  <si>
    <t>13030 - InterCo. Investments - Mad March Hare Holdings</t>
  </si>
  <si>
    <t>13031 - InterCo. Investments - Mad March Hare Int. Brands</t>
  </si>
  <si>
    <t>13040 - InterCo. Investments - Intrepid Spirit IRE</t>
  </si>
  <si>
    <t>13041 - InterCo. Investments - Intrepid Spirit USA</t>
  </si>
  <si>
    <t>13200 - InterCo. Investments - P&amp;H Egan</t>
  </si>
  <si>
    <t>Total - 13000 - - INTERCOMPANY INVESTMENTS -</t>
  </si>
  <si>
    <t>14000 - - INVENTORY -</t>
  </si>
  <si>
    <t>14010 - Raw Material Inventory</t>
  </si>
  <si>
    <t>14020 - Finished Goods Inventory</t>
  </si>
  <si>
    <t>14030 - Point of Sales Stock</t>
  </si>
  <si>
    <t>14040 - Consignment Stock</t>
  </si>
  <si>
    <t>14050 - Sundry Stock</t>
  </si>
  <si>
    <t>Total - 14000 - - INVENTORY -</t>
  </si>
  <si>
    <t>15000 - - OTHER CURRENT ASSET -</t>
  </si>
  <si>
    <t>15300 - Other Receivables</t>
  </si>
  <si>
    <t>Total - 15000 - - OTHER CURRENT ASSET -</t>
  </si>
  <si>
    <t>IEVOP - IE VAT on Purchases</t>
  </si>
  <si>
    <t>GST Paid</t>
  </si>
  <si>
    <t>Intercompany Clearing Account</t>
  </si>
  <si>
    <t>Total Other Current Asset</t>
  </si>
  <si>
    <t>Total Current Assets</t>
  </si>
  <si>
    <t>Fixed Assets</t>
  </si>
  <si>
    <t>01000 - - OFFICE EQUIPMENT -</t>
  </si>
  <si>
    <t>01010 - Office Equipment at Cost</t>
  </si>
  <si>
    <t>01020 - Office Equipment Depreciation</t>
  </si>
  <si>
    <t>Total - 01000 - - OFFICE EQUIPMENT -</t>
  </si>
  <si>
    <t>01100 - - COMPUTER EQUIPMENT -</t>
  </si>
  <si>
    <t>01110 - Computer Equipment at Cost</t>
  </si>
  <si>
    <t>Total - 01100 - - COMPUTER EQUIPMENT -</t>
  </si>
  <si>
    <t>01200 - - FIXTURES &amp; FITTINGS -</t>
  </si>
  <si>
    <t>01210 - Fixtures &amp; Fittings at Cost</t>
  </si>
  <si>
    <t>Total - 01200 - - FIXTURES &amp; FITTINGS -</t>
  </si>
  <si>
    <t>01300 - - PRODUCTION LINE PARTS -</t>
  </si>
  <si>
    <t>01310 - Production Line Parts at Cost</t>
  </si>
  <si>
    <t>Total - 01300 - - PRODUCTION LINE PARTS -</t>
  </si>
  <si>
    <t>02000 - - IP BLEND -</t>
  </si>
  <si>
    <t>02010 - IP Blend</t>
  </si>
  <si>
    <t>02020 - IP Blend Amortisation</t>
  </si>
  <si>
    <t>Total - 02000 - - IP BLEND -</t>
  </si>
  <si>
    <t>02100 - - BOTTLE MOULD -</t>
  </si>
  <si>
    <t>02110 - Bottle Mould Cost</t>
  </si>
  <si>
    <t>Total - 02100 - - BOTTLE MOULD -</t>
  </si>
  <si>
    <t>Total Fixed Assets</t>
  </si>
  <si>
    <t>Current Liabilities</t>
  </si>
  <si>
    <t>Accounts Payable</t>
  </si>
  <si>
    <t>20000 - - ACCOUNTS PAYABLE -</t>
  </si>
  <si>
    <t>20010 - Accounts Payable</t>
  </si>
  <si>
    <t>20030 - Account Payable Other</t>
  </si>
  <si>
    <t>Total - 20010 - Accounts Payable</t>
  </si>
  <si>
    <t>Total - 20000 - - ACCOUNTS PAYABLE -</t>
  </si>
  <si>
    <t>20100 - - INTERCOMPANY ACCOUNTS PAYABLE -</t>
  </si>
  <si>
    <t>20110 - Intercompany Accounts Payable</t>
  </si>
  <si>
    <t>Total - 20100 - - INTERCOMPANY ACCOUNTS PAYABLE -</t>
  </si>
  <si>
    <t>Total Accounts Payable</t>
  </si>
  <si>
    <t>Credit Card</t>
  </si>
  <si>
    <t>21000 - - CREDIT CARD -</t>
  </si>
  <si>
    <t>21010 - AIB Intrepid Credit Card ID</t>
  </si>
  <si>
    <t>21020 - AIB Intrepid Credit Card FMcG</t>
  </si>
  <si>
    <t>21030 - AIB Intrepid Credit Card JR</t>
  </si>
  <si>
    <t>21040 - AIB Intrepid Credit Card MS</t>
  </si>
  <si>
    <t>21110 - AIB Cocalero Credit Card - JS</t>
  </si>
  <si>
    <t>21120 - AIB Cocalero Credit Card - AM</t>
  </si>
  <si>
    <t>21130 - AIB Cocalero Credit Card - JT</t>
  </si>
  <si>
    <t>21140 - AIB Cocalero Credit Card - CD</t>
  </si>
  <si>
    <t>21150 - AIB Cocalero Credit Card - JR</t>
  </si>
  <si>
    <t>21210 - Intrepid Spirits US Business CC</t>
  </si>
  <si>
    <t>21220 - AMEX Intrepid Spirits Card</t>
  </si>
  <si>
    <t>21230 - John B Ralph</t>
  </si>
  <si>
    <t>21510 - BOI Credit Crd J Egan</t>
  </si>
  <si>
    <t>21610 - International Business Vantage</t>
  </si>
  <si>
    <t>21620 - International</t>
  </si>
  <si>
    <t>Total - 21000 - - CREDIT CARD -</t>
  </si>
  <si>
    <t>Total Credit Card</t>
  </si>
  <si>
    <t>Other Current Liability</t>
  </si>
  <si>
    <t>22000 - - OTHER CURRENT LIABILITIES -</t>
  </si>
  <si>
    <t>22010 - Other Creditors</t>
  </si>
  <si>
    <t>22100 - Accrued Purchases</t>
  </si>
  <si>
    <t>22250 - Manufacturing Accrual</t>
  </si>
  <si>
    <t>22270 - Duty Accruals</t>
  </si>
  <si>
    <t>22300 - Accruals</t>
  </si>
  <si>
    <t>22400 - - AMP ACCRUALS -</t>
  </si>
  <si>
    <t>22410 - AMP Accruals - Japan</t>
  </si>
  <si>
    <t>22430 - AMP Accruals - Europe</t>
  </si>
  <si>
    <t>22440 - AMP Accruals - USA</t>
  </si>
  <si>
    <t>22470 - AMP Accruals - EMEA</t>
  </si>
  <si>
    <t>Total - 22400 - - AMP ACCRUALS -</t>
  </si>
  <si>
    <t>Total - 22000 - - OTHER CURRENT LIABILITIES -</t>
  </si>
  <si>
    <t>22360 - Corporation Tax Liability</t>
  </si>
  <si>
    <t>23000 - - PAYROLL LIABILITY -</t>
  </si>
  <si>
    <t>23010 - Net Salaries Payable</t>
  </si>
  <si>
    <t>23020 - Employee Tax Payable</t>
  </si>
  <si>
    <t>23030 - Superannuation Payable</t>
  </si>
  <si>
    <t>Total - 23000 - - PAYROLL LIABILITY -</t>
  </si>
  <si>
    <t>27000 - - INTERCOMPANY LOAN -</t>
  </si>
  <si>
    <t>27010 - InterCo. Loan - Intrepid Spirit (Holdings)</t>
  </si>
  <si>
    <t>27020 - InterCo. Loan - Cocalero HK</t>
  </si>
  <si>
    <t>27021 - InterCo. Loan - Cocalero Productions</t>
  </si>
  <si>
    <t>27030 - InterCo. Loan - Mad March Hare Holdings</t>
  </si>
  <si>
    <t>27040 - InterCo. Loan - Intrepid Spirit IRE</t>
  </si>
  <si>
    <t>27041 - InterCo. Loan - Intrepid Spirit USA</t>
  </si>
  <si>
    <t>27200 - InterCo. Loan - P&amp;H Egan</t>
  </si>
  <si>
    <t>27300 - InterCo. Loan - Rogue Group HK</t>
  </si>
  <si>
    <t>27400 - InterCo. Loan - Intrepid Spirits Australia Pty Ltd</t>
  </si>
  <si>
    <t>Total - 27000 - - INTERCOMPANY LOAN -</t>
  </si>
  <si>
    <t>28000 - - DIRECTOR LOANS -</t>
  </si>
  <si>
    <t>28010 - J Ralph</t>
  </si>
  <si>
    <t>28020 - J Egan: Short-Term Director Loan</t>
  </si>
  <si>
    <t>28030 - Mark Ward</t>
  </si>
  <si>
    <t>Total - 28000 - - DIRECTOR LOANS -</t>
  </si>
  <si>
    <t>29000 - - SHORT-TERM LOANS -</t>
  </si>
  <si>
    <t>29010 - RKR Finance</t>
  </si>
  <si>
    <t>29015 - Netsuite Finance</t>
  </si>
  <si>
    <t>29020 - Regal Rogue UK Loan</t>
  </si>
  <si>
    <t>Total - 29000 - - SHORT-TERM LOANS -</t>
  </si>
  <si>
    <t>IE-VATLIABILITY - IE VAT Liability</t>
  </si>
  <si>
    <t>IETL - IE Tax Liability</t>
  </si>
  <si>
    <t>PCVOS - IE VAT on Sales</t>
  </si>
  <si>
    <t>GST Collected</t>
  </si>
  <si>
    <t>Total Other Current Liability</t>
  </si>
  <si>
    <t>Total Liabilities</t>
  </si>
  <si>
    <t>Current Assets Less Current Liabilities</t>
  </si>
  <si>
    <t>Total Assets Less Current Liabilities</t>
  </si>
  <si>
    <t>Long Term Liabilities</t>
  </si>
  <si>
    <t>90000 - - LONG-TERM LOANS -</t>
  </si>
  <si>
    <t>90100 - - LOANS LONG-TERM -</t>
  </si>
  <si>
    <t>90110 - Loan</t>
  </si>
  <si>
    <t>90120 - J Suttle</t>
  </si>
  <si>
    <t>90130 - M J Hussey</t>
  </si>
  <si>
    <t>90140 - Winnowski</t>
  </si>
  <si>
    <t>90160 - Korean loans</t>
  </si>
  <si>
    <t>90170 - Flender Finance</t>
  </si>
  <si>
    <t>90180 - J Toettcher loan</t>
  </si>
  <si>
    <t>Total - 90100 - - LOANS LONG-TERM -</t>
  </si>
  <si>
    <t>90600 - - LOANS DIRECTORS L/T -</t>
  </si>
  <si>
    <t>90610 - J Ralph L/T Loan</t>
  </si>
  <si>
    <t>90620 - M Egan L/T Loan</t>
  </si>
  <si>
    <t>Total - 90600 - - LOANS DIRECTORS L/T -</t>
  </si>
  <si>
    <t>Total - 90000 - - LONG-TERM LOANS -</t>
  </si>
  <si>
    <t>99999 - Suspense</t>
  </si>
  <si>
    <t>Total Long Term Liabilities</t>
  </si>
  <si>
    <t>Total Assets Less Total Liabilities</t>
  </si>
  <si>
    <t>Capital and Reserves</t>
  </si>
  <si>
    <t>30000 - - EQUITY -</t>
  </si>
  <si>
    <t>30010 - Equity - Common Stock</t>
  </si>
  <si>
    <t>30020 - Equity - Preferred Stock</t>
  </si>
  <si>
    <t>30030 - Share Premium</t>
  </si>
  <si>
    <t>33000 - Opening Balance</t>
  </si>
  <si>
    <t>33500 - Gorman - Member Capital Account</t>
  </si>
  <si>
    <t>34000 - Intrepid Spirits - Member Capital Account</t>
  </si>
  <si>
    <t>Total - 30000 - - EQUITY -</t>
  </si>
  <si>
    <t>Total - Capital and Reserves</t>
  </si>
  <si>
    <t>Retained Earnings</t>
  </si>
  <si>
    <t>Net Income</t>
  </si>
  <si>
    <t>Cumulative Translation Adjustment</t>
  </si>
  <si>
    <t>Total Capital and Reserves</t>
  </si>
  <si>
    <t>Difference</t>
  </si>
  <si>
    <t>22420 - AMP Accruals - China</t>
  </si>
  <si>
    <t xml:space="preserve"> Intrepid Spirit  Holdings by Cocalero International HK Limited </t>
  </si>
  <si>
    <t xml:space="preserve"> Intrepid Spirit  Holdings by Cocalero Productions Limited </t>
  </si>
  <si>
    <t xml:space="preserve"> Intrepid Spirit  Holdings by Mad March Hare International Holdings Limited </t>
  </si>
  <si>
    <t xml:space="preserve"> Cocalero HK by Cocalero Productions Limited </t>
  </si>
  <si>
    <t>Total_diff</t>
  </si>
  <si>
    <t xml:space="preserve"> Intrepid Spirit  Holdings </t>
  </si>
  <si>
    <t xml:space="preserve"> Cocalero HK </t>
  </si>
  <si>
    <t xml:space="preserve"> Cocalero Productions </t>
  </si>
  <si>
    <t xml:space="preserve"> Mad March Hare Holdings </t>
  </si>
  <si>
    <t xml:space="preserve"> Intrepid Spirit IRE </t>
  </si>
  <si>
    <t xml:space="preserve"> Intrepid Spirit USA </t>
  </si>
  <si>
    <t xml:space="preserve"> P&amp;H Egan </t>
  </si>
  <si>
    <t xml:space="preserve"> Rogue Group HK </t>
  </si>
  <si>
    <t xml:space="preserve"> Intrepid Spirits Australia Pty Ltd </t>
  </si>
  <si>
    <t xml:space="preserve">Total </t>
  </si>
  <si>
    <t xml:space="preserve"> Intrepid Spirits Holdings Inc </t>
  </si>
  <si>
    <t xml:space="preserve"> Cocalero International HK Limited </t>
  </si>
  <si>
    <t xml:space="preserve"> Cocalero Productions Limited </t>
  </si>
  <si>
    <t xml:space="preserve"> Mad March Hare International Holdings Limited </t>
  </si>
  <si>
    <t>Item 1</t>
  </si>
  <si>
    <t>Amount 1</t>
  </si>
  <si>
    <t>Item 2</t>
  </si>
  <si>
    <t>Amount 2</t>
  </si>
  <si>
    <t>Same company 1</t>
  </si>
  <si>
    <t>Amount 3</t>
  </si>
  <si>
    <t>Same company 2</t>
  </si>
  <si>
    <t>Amount 4</t>
  </si>
  <si>
    <t xml:space="preserve"> Cocalero HK to Intrepid Spirits Holdings Inc </t>
  </si>
  <si>
    <t xml:space="preserve"> Cocalero Productions to Intrepid Spirits Holdings Inc </t>
  </si>
  <si>
    <t xml:space="preserve"> Mad March Hare Holdings to Intrepid Spirits Holdings Inc </t>
  </si>
  <si>
    <t xml:space="preserve"> Intrepid Spirit IRE to Intrepid Spirits Holdings Inc </t>
  </si>
  <si>
    <t xml:space="preserve"> Intrepid Spirit USA to Intrepid Spirits Holdings Inc </t>
  </si>
  <si>
    <t xml:space="preserve"> P&amp;H Egan to Intrepid Spirits Holdings Inc </t>
  </si>
  <si>
    <t xml:space="preserve"> Rogue Group HK to Intrepid Spirits Holdings Inc </t>
  </si>
  <si>
    <t xml:space="preserve"> Cocalero Productions to Cocalero International HK Limited </t>
  </si>
  <si>
    <t>20020 - Unpaid Expense Claims</t>
  </si>
  <si>
    <t>Total - 11310 - Prepayments</t>
  </si>
  <si>
    <t>Intrepid Spirits Ireland Ltd.</t>
  </si>
  <si>
    <t>11051 - Provision for Credit Notes</t>
  </si>
  <si>
    <t>13400 - InterCo. Investments - Intrepid Spirits Australia PTY Ltd</t>
  </si>
  <si>
    <t>14051 - Provision for damaged or obsolete stock</t>
  </si>
  <si>
    <t>01120 - Computer Equipment Depreciation</t>
  </si>
  <si>
    <t>01220 - Fixtures &amp; Fittings Depreciation</t>
  </si>
  <si>
    <t>02120 - Bottle Mould Amortisation</t>
  </si>
  <si>
    <t>Financial Row</t>
  </si>
  <si>
    <t xml:space="preserve"> Intrepid Spirits IRE </t>
  </si>
  <si>
    <t xml:space="preserve"> Intrepid Spirits USA Inc </t>
  </si>
  <si>
    <t xml:space="preserve"> P&amp;H Egans  Tullamore  Limited </t>
  </si>
  <si>
    <t xml:space="preserve"> The Rogue Group HK Ltd </t>
  </si>
  <si>
    <t xml:space="preserve"> Intrepid Australia Ltd </t>
  </si>
  <si>
    <t xml:space="preserve"> Intrepid Spirit  Holdings by Intrepid Spirits IRE </t>
  </si>
  <si>
    <t xml:space="preserve"> Intrepid Spirit  Holdings by Intrepid Spirits USA Inc </t>
  </si>
  <si>
    <t xml:space="preserve"> Intrepid Spirit  Holdings by P&amp;H Egans  Tullamore  Limited </t>
  </si>
  <si>
    <t xml:space="preserve"> Intrepid Spirit  Holdings by The Rogue Group HK Ltd </t>
  </si>
  <si>
    <t xml:space="preserve"> Cocalero HK by Intrepid Spirits IRE </t>
  </si>
  <si>
    <t xml:space="preserve"> Cocalero Productions by Intrepid Spirits IRE </t>
  </si>
  <si>
    <t xml:space="preserve"> Cocalero Productions by Intrepid Spirits USA Inc </t>
  </si>
  <si>
    <t xml:space="preserve"> Intrepid Spirit IRE by Intrepid Spirits IRE </t>
  </si>
  <si>
    <t xml:space="preserve"> Intrepid Spirit IRE to Cocalero International HK Limited </t>
  </si>
  <si>
    <t xml:space="preserve"> Intrepid Spirit IRE to Cocalero Productions Limited </t>
  </si>
  <si>
    <t xml:space="preserve"> Intrepid Spirit USA to Cocalero Productions Limited </t>
  </si>
  <si>
    <t xml:space="preserve"> Intrepid Spirit IRE to Intrepid Spirits IRE </t>
  </si>
  <si>
    <t>Intrepid Japan</t>
  </si>
  <si>
    <t>10320 - Intrepid Spirits Holding Check (new)</t>
  </si>
  <si>
    <t>10330 - Intrepid Spirits Holding Savings (new)</t>
  </si>
  <si>
    <t>10700 - RAKUTEN BANK LTD</t>
  </si>
  <si>
    <t>10710 - Resona Bank Limited</t>
  </si>
  <si>
    <t>11330 - Labor Insurance</t>
  </si>
  <si>
    <t>11350 - Supplier Advance Payments</t>
  </si>
  <si>
    <t>13300 - InterCo. Investments - The Rogue Group HK</t>
  </si>
  <si>
    <t>13500 - INTERCO INVESTMENT -: Intrepid Rooster LLC</t>
  </si>
  <si>
    <t>14011 - Inventory In Transit</t>
  </si>
  <si>
    <t>21240 - Intrepid Spirits USA Divvy Account</t>
  </si>
  <si>
    <t>21250 - AMEX Platinum  JR Intrepid Spirits Card (01003)</t>
  </si>
  <si>
    <t>21260 - AMEX Platinum MS Intrepid Spirits Card (01029)</t>
  </si>
  <si>
    <t>21270 - AMEX Gold JR Intrepid Spirits Card (91002)</t>
  </si>
  <si>
    <t>Total - 22300 - Accruals</t>
  </si>
  <si>
    <t>22480 - AMP Accruals - AUS</t>
  </si>
  <si>
    <t>23021 - Withholding Income Tax</t>
  </si>
  <si>
    <t>Total - 23020 - Employee Tax Payable</t>
  </si>
  <si>
    <t>27042 - InterCo. Loan - Shanghai</t>
  </si>
  <si>
    <t>27500 - InterCo. Loan - Intrepid Spirits Japan</t>
  </si>
  <si>
    <t>27600 - InterCo. Loan - Intrepid Rooster</t>
  </si>
  <si>
    <t>CH VAT Liability - CH VAT Liability</t>
  </si>
  <si>
    <t xml:space="preserve"> Shanghai </t>
  </si>
  <si>
    <t xml:space="preserve"> Intrepid Spirits Japan </t>
  </si>
  <si>
    <t xml:space="preserve"> Intrepid Rooster </t>
  </si>
  <si>
    <t xml:space="preserve"> Shanghai Bajiu Network Technology Co , Ltd </t>
  </si>
  <si>
    <t xml:space="preserve"> Intrepid Japan </t>
  </si>
  <si>
    <t xml:space="preserve"> Intrepid Rooster LLC </t>
  </si>
  <si>
    <t xml:space="preserve"> Intrepid Spirit  Holdings by Intrepid Rooster LLC </t>
  </si>
  <si>
    <t xml:space="preserve"> Cocalero Productions by Cocalero Productions Limited </t>
  </si>
  <si>
    <t xml:space="preserve"> Cocalero Productions by The Rogue Group HK Ltd </t>
  </si>
  <si>
    <t xml:space="preserve"> Intrepid Spirit IRE by Intrepid Spirits USA Inc </t>
  </si>
  <si>
    <t xml:space="preserve"> Intrepid Spirit IRE by Shanghai Bajiu Network Technology Co , Ltd </t>
  </si>
  <si>
    <t xml:space="preserve"> Intrepid Spirit IRE by The Rogue Group HK Ltd </t>
  </si>
  <si>
    <t xml:space="preserve"> Intrepid Spirit IRE by Intrepid Australia Ltd </t>
  </si>
  <si>
    <t xml:space="preserve"> Intrepid Spirit IRE by Intrepid Japan </t>
  </si>
  <si>
    <t xml:space="preserve"> Intrepid Rooster to Intrepid Spirits Holdings Inc </t>
  </si>
  <si>
    <t xml:space="preserve"> Cocalero Productions to Cocalero Productions Limited </t>
  </si>
  <si>
    <t xml:space="preserve"> Rogue Group HK to Cocalero Productions Limited </t>
  </si>
  <si>
    <t xml:space="preserve"> Intrepid Spirit USA to Intrepid Spirits IRE </t>
  </si>
  <si>
    <t xml:space="preserve"> Shanghai to Intrepid Spirits IRE </t>
  </si>
  <si>
    <t xml:space="preserve"> Rogue Group HK to Intrepid Spirits IRE </t>
  </si>
  <si>
    <t xml:space="preserve"> Intrepid Spirits Australia Pty Ltd to Intrepid Spirits IRE </t>
  </si>
  <si>
    <t xml:space="preserve"> Intrepid Spirits Japan to Intrepid Spirits IRE </t>
  </si>
  <si>
    <t>11320 - Office Rent</t>
  </si>
  <si>
    <t>22020 - Withholding Income Tax for Reward</t>
  </si>
  <si>
    <t>10050 - Spendesk</t>
  </si>
  <si>
    <t>10715 - Interco Offset Account AUS</t>
  </si>
  <si>
    <t>11500 - - ADVANCES -</t>
  </si>
  <si>
    <t>11510 - Employee Advances Paid</t>
  </si>
  <si>
    <t>Total - 11500 - - ADVANCES -</t>
  </si>
  <si>
    <t xml:space="preserve"> Intrepid Spirit USA by Intrepid Rooster LLC </t>
  </si>
  <si>
    <t xml:space="preserve"> Rogue Group HK by Intrepid Australia Ltd </t>
  </si>
  <si>
    <t xml:space="preserve"> Intrepid Spirits Australia Pty Ltd by Intrepid Japan </t>
  </si>
  <si>
    <t xml:space="preserve"> Intrepid Rooster to Intrepid Spirits USA Inc </t>
  </si>
  <si>
    <t xml:space="preserve"> Intrepid Spirits Australia Pty Ltd to The Rogue Group HK Ltd </t>
  </si>
  <si>
    <t xml:space="preserve"> Intrepid Spirits Japan to Intrepid Australia Ltd </t>
  </si>
  <si>
    <t xml:space="preserve"> Intrepid Spirit  Holdings by Intrepid Australia Ltd </t>
  </si>
  <si>
    <t xml:space="preserve"> Intrepid Spirit IRE by Intrepid Rooster LLC </t>
  </si>
  <si>
    <t xml:space="preserve"> Intrepid Spirits Australia Pty Ltd to Intrepid Spirits Holdings Inc </t>
  </si>
  <si>
    <t xml:space="preserve"> Intrepid Rooster to Intrepid Spirits IRE </t>
  </si>
  <si>
    <t>23035 - 401K Withholding</t>
  </si>
  <si>
    <t>End of Feb 2022</t>
  </si>
  <si>
    <t xml:space="preserve"> Intrepid Spirits Australia Pty Ltd by Intrepid Australia Ltd </t>
  </si>
  <si>
    <t xml:space="preserve"> Intrepid Spirits Australia Pty Ltd to Intrepid Australia Ltd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</si>
</sst>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\(&quot;$&quot;#,##0.00\)"/>
  </numFmts>
  <fonts count="12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8"/>
      <name val="Arial"/>
      <family val="2"/>
    </font>
    <font>
      <sz val="10"/>
      <color theme="1"/>
      <name val="Calibri Light"/>
      <family val="2"/>
    </font>
    <font>
      <sz val="10"/>
      <color indexed="8"/>
      <name val="Calibri Light"/>
      <family val="2"/>
    </font>
    <font>
      <b/>
      <sz val="10"/>
      <color indexed="8"/>
      <name val="Calibri Light"/>
      <family val="2"/>
    </font>
    <font>
      <sz val="8"/>
      <name val="Arial"/>
    </font>
    <font>
      <b/>
      <sz val="12"/>
      <name val="Arial"/>
      <family val="2"/>
    </font>
    <font>
      <b/>
      <sz val="14"/>
      <name val="Arial"/>
      <family val="2"/>
    </font>
    <font>
      <b/>
      <sz val="7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0D0D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/>
      <right/>
      <top style="dotted">
        <color rgb="FFC0C0C0"/>
      </top>
      <bottom/>
      <diagonal/>
    </border>
    <border>
      <left/>
      <right/>
      <top style="dotted">
        <color rgb="FF969696"/>
      </top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6" fillId="0" borderId="0"/>
  </cellStyleXfs>
  <cellXfs count="31">
    <xf numFmtId="0" fontId="0" fillId="0" borderId="0" xfId="0"/>
    <xf numFmtId="0" fontId="3" fillId="0" borderId="0" xfId="0" applyFont="1" applyAlignment="1">
      <alignment horizontal="center" vertical="center" wrapText="1"/>
    </xf>
    <xf numFmtId="0" fontId="1" fillId="0" borderId="0" xfId="1"/>
    <xf numFmtId="0" fontId="9" fillId="2" borderId="0" xfId="1" applyFont="1" applyFill="1" applyAlignment="1">
      <alignment horizontal="left"/>
    </xf>
    <xf numFmtId="0" fontId="10" fillId="0" borderId="0" xfId="1" applyFont="1" applyAlignment="1">
      <alignment horizontal="left" vertical="center"/>
    </xf>
    <xf numFmtId="164" fontId="10" fillId="0" borderId="0" xfId="1" applyNumberFormat="1" applyFont="1" applyAlignment="1">
      <alignment horizontal="right" vertical="center"/>
    </xf>
    <xf numFmtId="0" fontId="10" fillId="0" borderId="0" xfId="1" applyFont="1" applyAlignment="1">
      <alignment horizontal="left" indent="1"/>
    </xf>
    <xf numFmtId="0" fontId="10" fillId="0" borderId="0" xfId="1" applyFont="1" applyAlignment="1">
      <alignment horizontal="left" indent="2"/>
    </xf>
    <xf numFmtId="0" fontId="11" fillId="0" borderId="0" xfId="1" applyFont="1" applyAlignment="1">
      <alignment horizontal="left" indent="3"/>
    </xf>
    <xf numFmtId="164" fontId="11" fillId="0" borderId="0" xfId="1" applyNumberFormat="1" applyFont="1" applyAlignment="1">
      <alignment horizontal="right" vertical="center"/>
    </xf>
    <xf numFmtId="0" fontId="10" fillId="0" borderId="1" xfId="1" applyFont="1" applyBorder="1" applyAlignment="1">
      <alignment horizontal="left" indent="2"/>
    </xf>
    <xf numFmtId="164" fontId="10" fillId="0" borderId="1" xfId="1" applyNumberFormat="1" applyFont="1" applyBorder="1" applyAlignment="1">
      <alignment horizontal="right" vertical="center"/>
    </xf>
    <xf numFmtId="0" fontId="10" fillId="0" borderId="1" xfId="1" applyFont="1" applyBorder="1" applyAlignment="1">
      <alignment horizontal="left" indent="1"/>
    </xf>
    <xf numFmtId="0" fontId="10" fillId="0" borderId="0" xfId="1" applyFont="1" applyAlignment="1">
      <alignment horizontal="left" indent="3"/>
    </xf>
    <xf numFmtId="0" fontId="11" fillId="0" borderId="0" xfId="1" applyFont="1" applyAlignment="1">
      <alignment horizontal="left" indent="4"/>
    </xf>
    <xf numFmtId="0" fontId="10" fillId="0" borderId="1" xfId="1" applyFont="1" applyBorder="1" applyAlignment="1">
      <alignment horizontal="left" indent="3"/>
    </xf>
    <xf numFmtId="0" fontId="11" fillId="0" borderId="0" xfId="1" applyFont="1" applyAlignment="1">
      <alignment horizontal="left" indent="2"/>
    </xf>
    <xf numFmtId="0" fontId="10" fillId="0" borderId="2" xfId="1" applyFont="1" applyBorder="1" applyAlignment="1">
      <alignment horizontal="left" vertical="center"/>
    </xf>
    <xf numFmtId="164" fontId="10" fillId="0" borderId="2" xfId="1" applyNumberFormat="1" applyFont="1" applyBorder="1" applyAlignment="1">
      <alignment horizontal="right" vertical="center"/>
    </xf>
    <xf numFmtId="0" fontId="10" fillId="0" borderId="1" xfId="1" applyFont="1" applyBorder="1" applyAlignment="1">
      <alignment horizontal="left" vertical="center"/>
    </xf>
    <xf numFmtId="0" fontId="11" fillId="0" borderId="0" xfId="1" applyFont="1" applyAlignment="1">
      <alignment horizontal="left" indent="1"/>
    </xf>
    <xf numFmtId="0" fontId="4" fillId="0" borderId="0" xfId="1" applyFont="1" applyAlignment="1">
      <alignment horizontal="center" vertical="center" wrapText="1"/>
    </xf>
    <xf numFmtId="164" fontId="4" fillId="0" borderId="0" xfId="1" applyNumberFormat="1" applyFont="1" applyAlignment="1">
      <alignment horizontal="center" vertical="center" wrapText="1"/>
    </xf>
    <xf numFmtId="164" fontId="4" fillId="3" borderId="0" xfId="1" applyNumberFormat="1" applyFont="1" applyFill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164" fontId="5" fillId="0" borderId="1" xfId="1" applyNumberFormat="1" applyFont="1" applyBorder="1" applyAlignment="1">
      <alignment horizontal="center" vertical="center" wrapText="1"/>
    </xf>
    <xf numFmtId="0" fontId="9" fillId="2" borderId="0" xfId="1" applyFont="1" applyFill="1" applyAlignment="1">
      <alignment horizontal="right"/>
    </xf>
    <xf numFmtId="0" fontId="9" fillId="2" borderId="0" xfId="1" applyFont="1" applyFill="1" applyAlignment="1">
      <alignment horizontal="right"/>
    </xf>
    <xf numFmtId="0" fontId="9" fillId="2" borderId="0" xfId="1" applyFont="1" applyFill="1" applyAlignment="1">
      <alignment horizontal="center"/>
    </xf>
    <xf numFmtId="0" fontId="7" fillId="0" borderId="0" xfId="1" applyFont="1" applyAlignment="1">
      <alignment horizontal="center"/>
    </xf>
    <xf numFmtId="0" fontId="8" fillId="0" borderId="0" xfId="1" applyFont="1" applyAlignment="1">
      <alignment horizontal="center"/>
    </xf>
  </cellXfs>
  <cellStyles count="4">
    <cellStyle name="Normal" xfId="0" builtinId="0"/>
    <cellStyle name="Normal 2" xfId="1" xr:uid="{E6E74F60-A6A7-4E79-9A79-B436BA25698F}"/>
    <cellStyle name="Normal 3" xfId="2" xr:uid="{898B0C12-6396-4EAE-9FFA-D6805225975B}"/>
    <cellStyle name="Normal 4" xfId="3" xr:uid="{C764E3F9-84AF-4BA7-882C-B7357033E4D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3"/>
  <sheetViews>
    <sheetView tabSelected="1" topLeftCell="A16" workbookViewId="0">
      <selection activeCell="E39" sqref="E39"/>
    </sheetView>
  </sheetViews>
  <sheetFormatPr defaultColWidth="15.6328125" defaultRowHeight="13" x14ac:dyDescent="0.35"/>
  <cols>
    <col min="1" max="1686" width="15.6328125" style="1" customWidth="1"/>
    <col min="1687" max="1687" width="15.6328125" style="1"/>
    <col min="1688" max="1695" width="15.6328125" style="1" customWidth="1"/>
    <col min="1696" max="1696" width="15.6328125" style="1"/>
    <col min="1697" max="1704" width="15.6328125" style="1" customWidth="1"/>
    <col min="1705" max="1705" width="15.6328125" style="1"/>
    <col min="1706" max="1709" width="15.6328125" style="1" customWidth="1"/>
    <col min="1710" max="1710" width="15.6328125" style="1"/>
    <col min="1711" max="1725" width="15.6328125" style="1" customWidth="1"/>
    <col min="1726" max="1726" width="15.6328125" style="1"/>
    <col min="1727" max="1731" width="15.6328125" style="1" customWidth="1"/>
    <col min="1732" max="1732" width="15.6328125" style="1"/>
    <col min="1733" max="1734" width="15.6328125" style="1" customWidth="1"/>
    <col min="1735" max="1737" width="15.6328125" style="1"/>
    <col min="1738" max="1746" width="15.6328125" style="1" customWidth="1"/>
    <col min="1747" max="1748" width="15.6328125" style="1"/>
    <col min="1749" max="1749" width="15.6328125" style="1" customWidth="1"/>
    <col min="1750" max="1750" width="15.6328125" style="1"/>
    <col min="1751" max="1752" width="15.6328125" style="1" customWidth="1"/>
    <col min="1753" max="1753" width="15.6328125" style="1"/>
    <col min="1754" max="1754" width="15.6328125" style="1" customWidth="1"/>
    <col min="1755" max="1755" width="15.6328125" style="1"/>
    <col min="1756" max="1756" width="15.6328125" style="1" customWidth="1"/>
    <col min="1757" max="1757" width="15.6328125" style="1"/>
    <col min="1758" max="1761" width="15.6328125" style="1" customWidth="1"/>
    <col min="1762" max="1766" width="15.6328125" style="1"/>
    <col min="1767" max="1767" width="15.6328125" style="1" customWidth="1"/>
    <col min="1768" max="1772" width="15.6328125" style="1"/>
    <col min="1773" max="1773" width="15.6328125" style="1" customWidth="1"/>
    <col min="1774" max="1777" width="15.6328125" style="1"/>
    <col min="1778" max="1778" width="15.6328125" style="1" customWidth="1"/>
    <col min="1779" max="1791" width="15.6328125" style="1"/>
    <col min="1792" max="1792" width="15.6328125" style="1" customWidth="1"/>
    <col min="1793" max="16384" width="15.6328125" style="1"/>
  </cols>
  <sheetData>
    <row r="1" spans="1:14" s="1" customFormat="1" ht="39" x14ac:dyDescent="0.35">
      <c r="A1" s="1" t="s">
        <v>337</v>
      </c>
      <c r="B1" s="1" t="s">
        <v>228</v>
      </c>
      <c r="C1" s="1" t="s">
        <v>229</v>
      </c>
      <c r="D1" s="1" t="s">
        <v>230</v>
      </c>
      <c r="E1" s="1" t="s">
        <v>231</v>
      </c>
      <c r="F1" s="1" t="s">
        <v>258</v>
      </c>
      <c r="G1" s="1" t="s">
        <v>259</v>
      </c>
      <c r="H1" s="1" t="s">
        <v>300</v>
      </c>
      <c r="I1" s="1" t="s">
        <v>260</v>
      </c>
      <c r="J1" s="1" t="s">
        <v>261</v>
      </c>
      <c r="K1" s="1" t="s">
        <v>262</v>
      </c>
      <c r="L1" s="1" t="s">
        <v>301</v>
      </c>
      <c r="M1" s="1" t="s">
        <v>302</v>
      </c>
    </row>
    <row r="2" spans="1:14" s="1" customFormat="1" ht="26" x14ac:dyDescent="0.35">
      <c r="A2" s="21" t="s">
        <v>218</v>
      </c>
      <c r="B2" s="22">
        <v>0</v>
      </c>
      <c r="C2" s="22">
        <v>-202429.73307006</v>
      </c>
      <c r="D2" s="22">
        <v>-372320.27536259999</v>
      </c>
      <c r="E2" s="22">
        <v>88612.501081800001</v>
      </c>
      <c r="F2" s="22">
        <v>2943969.4847174999</v>
      </c>
      <c r="G2" s="22">
        <v>1223548.4868999941</v>
      </c>
      <c r="H2" s="22">
        <v>0</v>
      </c>
      <c r="I2" s="22">
        <v>-334395.98210969998</v>
      </c>
      <c r="J2" s="22">
        <v>288505.18681191001</v>
      </c>
      <c r="K2" s="22">
        <v>356062.95092479745</v>
      </c>
      <c r="L2" s="22">
        <v>0</v>
      </c>
      <c r="M2" s="22">
        <v>5000</v>
      </c>
      <c r="N2" s="21"/>
    </row>
    <row r="3" spans="1:14" s="1" customFormat="1" x14ac:dyDescent="0.35">
      <c r="A3" s="21" t="s">
        <v>219</v>
      </c>
      <c r="B3" s="22">
        <v>203581.51</v>
      </c>
      <c r="C3" s="22">
        <v>0</v>
      </c>
      <c r="D3" s="22">
        <v>0</v>
      </c>
      <c r="E3" s="22">
        <v>0</v>
      </c>
      <c r="F3" s="22">
        <v>-6141.4705356000004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N3" s="21"/>
    </row>
    <row r="4" spans="1:14" s="1" customFormat="1" ht="26" x14ac:dyDescent="0.35">
      <c r="A4" s="21" t="s">
        <v>220</v>
      </c>
      <c r="B4" s="22">
        <v>404702.01</v>
      </c>
      <c r="C4" s="22">
        <v>3.8490299999999998E-3</v>
      </c>
      <c r="D4" s="23">
        <v>-298.970709</v>
      </c>
      <c r="E4" s="22">
        <v>0</v>
      </c>
      <c r="F4" s="22">
        <v>177681.104739</v>
      </c>
      <c r="G4" s="22">
        <v>21010.696861140001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N4" s="21"/>
    </row>
    <row r="5" spans="1:14" s="1" customFormat="1" ht="26" x14ac:dyDescent="0.35">
      <c r="A5" s="21" t="s">
        <v>221</v>
      </c>
      <c r="B5" s="22">
        <v>-105675.75</v>
      </c>
      <c r="C5" s="22">
        <v>0</v>
      </c>
      <c r="D5" s="22">
        <v>0</v>
      </c>
      <c r="E5" s="22">
        <v>0</v>
      </c>
      <c r="F5" s="22">
        <v>0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1"/>
    </row>
    <row r="6" spans="1:14" s="1" customFormat="1" x14ac:dyDescent="0.35">
      <c r="A6" s="21" t="s">
        <v>222</v>
      </c>
      <c r="B6" s="22">
        <v>-3031537.2</v>
      </c>
      <c r="C6" s="22">
        <v>6348.8466840000001</v>
      </c>
      <c r="D6" s="22">
        <v>-163448.72103720001</v>
      </c>
      <c r="E6" s="22">
        <v>0</v>
      </c>
      <c r="F6" s="23">
        <v>-20684.503666199998</v>
      </c>
      <c r="G6" s="22">
        <v>-319848.15949888271</v>
      </c>
      <c r="H6" s="22">
        <v>-1443.93250878</v>
      </c>
      <c r="I6" s="22">
        <v>-38456.646348000002</v>
      </c>
      <c r="J6" s="22">
        <v>14971.768291529999</v>
      </c>
      <c r="K6" s="22">
        <v>243148.26119442933</v>
      </c>
      <c r="L6" s="22">
        <v>333527.54361233185</v>
      </c>
      <c r="M6" s="22">
        <v>0</v>
      </c>
      <c r="N6" s="21"/>
    </row>
    <row r="7" spans="1:14" s="1" customFormat="1" x14ac:dyDescent="0.35">
      <c r="A7" s="21" t="s">
        <v>223</v>
      </c>
      <c r="B7" s="22">
        <v>-1222282.07</v>
      </c>
      <c r="C7" s="22">
        <v>0</v>
      </c>
      <c r="D7" s="22">
        <v>-18721.529985000001</v>
      </c>
      <c r="E7" s="22">
        <v>0</v>
      </c>
      <c r="F7" s="22">
        <v>348896.86341990001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6957</v>
      </c>
      <c r="N7" s="21"/>
    </row>
    <row r="8" spans="1:14" s="1" customFormat="1" x14ac:dyDescent="0.35">
      <c r="A8" s="21" t="s">
        <v>297</v>
      </c>
      <c r="B8" s="22">
        <v>0</v>
      </c>
      <c r="C8" s="22">
        <v>0</v>
      </c>
      <c r="D8" s="22">
        <v>0</v>
      </c>
      <c r="E8" s="22">
        <v>0</v>
      </c>
      <c r="F8" s="22">
        <v>14301.34914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1"/>
    </row>
    <row r="9" spans="1:14" s="1" customFormat="1" x14ac:dyDescent="0.35">
      <c r="A9" s="21" t="s">
        <v>224</v>
      </c>
      <c r="B9" s="22">
        <v>300892.81</v>
      </c>
      <c r="C9" s="22">
        <v>0</v>
      </c>
      <c r="D9" s="22">
        <v>0</v>
      </c>
      <c r="E9" s="22">
        <v>0</v>
      </c>
      <c r="F9" s="22">
        <v>38456.646348000002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1"/>
    </row>
    <row r="10" spans="1:14" s="1" customFormat="1" x14ac:dyDescent="0.35">
      <c r="A10" s="21" t="s">
        <v>225</v>
      </c>
      <c r="B10" s="22">
        <v>-261001.02</v>
      </c>
      <c r="C10" s="22">
        <v>0</v>
      </c>
      <c r="D10" s="22">
        <v>-1689.6645306</v>
      </c>
      <c r="E10" s="22">
        <v>0</v>
      </c>
      <c r="F10" s="22">
        <v>-12671.2302678</v>
      </c>
      <c r="G10" s="22">
        <v>0</v>
      </c>
      <c r="H10" s="22">
        <v>0</v>
      </c>
      <c r="I10" s="22">
        <v>0</v>
      </c>
      <c r="J10" s="22">
        <v>0</v>
      </c>
      <c r="K10" s="22">
        <v>396903.64885029191</v>
      </c>
      <c r="L10" s="22">
        <v>0</v>
      </c>
      <c r="M10" s="22">
        <v>0</v>
      </c>
      <c r="N10" s="21"/>
    </row>
    <row r="11" spans="1:14" s="1" customFormat="1" ht="26" x14ac:dyDescent="0.35">
      <c r="A11" s="21" t="s">
        <v>226</v>
      </c>
      <c r="B11" s="22">
        <v>-378595.79</v>
      </c>
      <c r="C11" s="22">
        <v>0</v>
      </c>
      <c r="D11" s="22">
        <v>0</v>
      </c>
      <c r="E11" s="22">
        <v>0</v>
      </c>
      <c r="F11" s="22">
        <v>-260480.92400219999</v>
      </c>
      <c r="G11" s="22">
        <v>0</v>
      </c>
      <c r="H11" s="22">
        <v>0</v>
      </c>
      <c r="I11" s="22">
        <v>0</v>
      </c>
      <c r="J11" s="22">
        <v>-399468.22861088999</v>
      </c>
      <c r="K11" s="23">
        <v>-1627.9946214975</v>
      </c>
      <c r="L11" s="22">
        <v>11240.803931022758</v>
      </c>
      <c r="M11" s="22">
        <v>0</v>
      </c>
      <c r="N11" s="21"/>
    </row>
    <row r="12" spans="1:14" s="1" customFormat="1" ht="26" x14ac:dyDescent="0.35">
      <c r="A12" s="21" t="s">
        <v>298</v>
      </c>
      <c r="B12" s="22">
        <v>0</v>
      </c>
      <c r="C12" s="22">
        <v>0</v>
      </c>
      <c r="D12" s="22">
        <v>0</v>
      </c>
      <c r="E12" s="22">
        <v>0</v>
      </c>
      <c r="F12" s="22">
        <v>-317280.05020320002</v>
      </c>
      <c r="G12" s="22">
        <v>0</v>
      </c>
      <c r="H12" s="22">
        <v>0</v>
      </c>
      <c r="I12" s="22">
        <v>0</v>
      </c>
      <c r="J12" s="22">
        <v>0</v>
      </c>
      <c r="K12" s="22">
        <v>-11144.643394113193</v>
      </c>
      <c r="L12" s="22">
        <v>0</v>
      </c>
      <c r="M12" s="22">
        <v>0</v>
      </c>
      <c r="N12" s="21"/>
    </row>
    <row r="13" spans="1:14" s="1" customFormat="1" x14ac:dyDescent="0.35">
      <c r="A13" s="21" t="s">
        <v>299</v>
      </c>
      <c r="B13" s="22">
        <v>-25000</v>
      </c>
      <c r="C13" s="22">
        <v>0</v>
      </c>
      <c r="D13" s="22">
        <v>0</v>
      </c>
      <c r="E13" s="22">
        <v>0</v>
      </c>
      <c r="F13" s="22">
        <v>-20237.956407000001</v>
      </c>
      <c r="G13" s="22">
        <v>-21968.184332383378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1"/>
    </row>
    <row r="14" spans="1:14" s="1" customFormat="1" x14ac:dyDescent="0.35">
      <c r="A14" s="24" t="s">
        <v>227</v>
      </c>
      <c r="B14" s="25">
        <f t="shared" ref="B14:M14" si="0">SUM(B2:B13)</f>
        <v>-4114915.5</v>
      </c>
      <c r="C14" s="25">
        <f t="shared" si="0"/>
        <v>-196080.88253703</v>
      </c>
      <c r="D14" s="25">
        <f t="shared" si="0"/>
        <v>-556479.16162440006</v>
      </c>
      <c r="E14" s="25">
        <f t="shared" si="0"/>
        <v>88612.501081800001</v>
      </c>
      <c r="F14" s="25">
        <f t="shared" si="0"/>
        <v>2885809.3132824004</v>
      </c>
      <c r="G14" s="25">
        <f t="shared" si="0"/>
        <v>902742.839929868</v>
      </c>
      <c r="H14" s="25">
        <f t="shared" si="0"/>
        <v>-1443.93250878</v>
      </c>
      <c r="I14" s="25">
        <f t="shared" si="0"/>
        <v>-372852.62845769996</v>
      </c>
      <c r="J14" s="25">
        <f t="shared" si="0"/>
        <v>-95991.273507449951</v>
      </c>
      <c r="K14" s="25">
        <f t="shared" si="0"/>
        <v>983342.22295390815</v>
      </c>
      <c r="L14" s="25">
        <f t="shared" si="0"/>
        <v>344768.34754335461</v>
      </c>
      <c r="M14" s="25">
        <f t="shared" si="0"/>
        <v>11957</v>
      </c>
      <c r="N14" s="24"/>
    </row>
    <row r="15" spans="1:14" s="1" customFormat="1" x14ac:dyDescent="0.35"/>
    <row r="16" spans="1:14" s="1" customFormat="1" x14ac:dyDescent="0.35"/>
    <row r="17" spans="1:10" s="1" customFormat="1" x14ac:dyDescent="0.35">
      <c r="A17" s="1" t="s">
        <v>232</v>
      </c>
      <c r="B17" s="1" t="s">
        <v>233</v>
      </c>
      <c r="C17" s="1" t="s">
        <v>234</v>
      </c>
      <c r="D17" s="1" t="s">
        <v>235</v>
      </c>
      <c r="E17" s="1" t="s">
        <v>211</v>
      </c>
      <c r="G17" s="1" t="s">
        <v>236</v>
      </c>
      <c r="H17" s="1" t="s">
        <v>237</v>
      </c>
      <c r="I17" s="1" t="s">
        <v>238</v>
      </c>
      <c r="J17" s="1" t="s">
        <v>239</v>
      </c>
    </row>
    <row r="18" spans="1:10" s="1" customFormat="1" ht="65" x14ac:dyDescent="0.35">
      <c r="A18" s="1" t="s">
        <v>213</v>
      </c>
      <c r="B18" s="1">
        <v>-202429.73307006</v>
      </c>
      <c r="C18" s="1" t="s">
        <v>240</v>
      </c>
      <c r="D18" s="1">
        <v>203581.51</v>
      </c>
      <c r="E18" s="1">
        <f t="shared" ref="E18:E40" si="1">SUM(B18,D18)</f>
        <v>1151.7769299400097</v>
      </c>
      <c r="G18" s="1" t="s">
        <v>304</v>
      </c>
      <c r="H18" s="1">
        <v>-298.970709</v>
      </c>
      <c r="I18" s="1" t="s">
        <v>312</v>
      </c>
      <c r="J18" s="1">
        <v>-298.970709</v>
      </c>
    </row>
    <row r="19" spans="1:10" s="1" customFormat="1" ht="52" x14ac:dyDescent="0.35">
      <c r="A19" s="1" t="s">
        <v>214</v>
      </c>
      <c r="B19" s="1">
        <v>-372320.27536259999</v>
      </c>
      <c r="C19" s="1" t="s">
        <v>241</v>
      </c>
      <c r="D19" s="1">
        <v>404702.01</v>
      </c>
      <c r="E19" s="1">
        <f t="shared" si="1"/>
        <v>32381.734637400019</v>
      </c>
      <c r="G19" s="1" t="s">
        <v>270</v>
      </c>
      <c r="H19" s="1">
        <v>-20684.503666199998</v>
      </c>
      <c r="I19" s="1" t="s">
        <v>274</v>
      </c>
      <c r="J19" s="1">
        <v>-20684.503666199998</v>
      </c>
    </row>
    <row r="20" spans="1:10" s="1" customFormat="1" ht="65" x14ac:dyDescent="0.35">
      <c r="A20" s="1" t="s">
        <v>215</v>
      </c>
      <c r="B20" s="1">
        <v>88612.501081800001</v>
      </c>
      <c r="C20" s="1" t="s">
        <v>242</v>
      </c>
      <c r="D20" s="1">
        <v>-105675.75</v>
      </c>
      <c r="E20" s="1">
        <f t="shared" si="1"/>
        <v>-17063.248918199999</v>
      </c>
      <c r="G20" s="1" t="s">
        <v>338</v>
      </c>
      <c r="H20" s="1">
        <v>-1627.9946214975</v>
      </c>
      <c r="I20" s="1" t="s">
        <v>339</v>
      </c>
      <c r="J20" s="1">
        <v>-1627.9946214975</v>
      </c>
    </row>
    <row r="21" spans="1:10" s="1" customFormat="1" ht="39" x14ac:dyDescent="0.35">
      <c r="A21" s="1" t="s">
        <v>263</v>
      </c>
      <c r="B21" s="1">
        <v>2943969.4847174999</v>
      </c>
      <c r="C21" s="1" t="s">
        <v>243</v>
      </c>
      <c r="D21" s="1">
        <v>-3031537.2</v>
      </c>
      <c r="E21" s="1">
        <f t="shared" si="1"/>
        <v>-87567.715282500256</v>
      </c>
      <c r="G21" s="1" t="s">
        <v>12</v>
      </c>
      <c r="H21" s="1">
        <f>SUM(H18:H20)</f>
        <v>-22611.468996697498</v>
      </c>
      <c r="J21" s="1">
        <f>SUM(J18:J20)</f>
        <v>-22611.468996697498</v>
      </c>
    </row>
    <row r="22" spans="1:10" s="1" customFormat="1" ht="39" x14ac:dyDescent="0.35">
      <c r="A22" s="1" t="s">
        <v>264</v>
      </c>
      <c r="B22" s="1">
        <v>1223548.4868999941</v>
      </c>
      <c r="C22" s="1" t="s">
        <v>244</v>
      </c>
      <c r="D22" s="1">
        <v>-1222282.07</v>
      </c>
      <c r="E22" s="1">
        <f t="shared" si="1"/>
        <v>1266.4168999940157</v>
      </c>
    </row>
    <row r="23" spans="1:10" s="1" customFormat="1" ht="52" x14ac:dyDescent="0.35">
      <c r="A23" s="1" t="s">
        <v>265</v>
      </c>
      <c r="B23" s="1">
        <v>-334395.98210969998</v>
      </c>
      <c r="C23" s="1" t="s">
        <v>245</v>
      </c>
      <c r="D23" s="1">
        <v>300892.81</v>
      </c>
      <c r="E23" s="1">
        <f t="shared" si="1"/>
        <v>-33503.172109699983</v>
      </c>
    </row>
    <row r="24" spans="1:10" s="1" customFormat="1" ht="39" x14ac:dyDescent="0.35">
      <c r="A24" s="1" t="s">
        <v>266</v>
      </c>
      <c r="B24" s="1">
        <v>288505.18681191001</v>
      </c>
      <c r="C24" s="1" t="s">
        <v>246</v>
      </c>
      <c r="D24" s="1">
        <v>-261001.02</v>
      </c>
      <c r="E24" s="1">
        <f t="shared" si="1"/>
        <v>27504.166811910021</v>
      </c>
    </row>
    <row r="25" spans="1:10" s="1" customFormat="1" ht="52" x14ac:dyDescent="0.35">
      <c r="A25" s="1" t="s">
        <v>332</v>
      </c>
      <c r="B25" s="1">
        <v>356062.95092479745</v>
      </c>
      <c r="C25" s="1" t="s">
        <v>334</v>
      </c>
      <c r="D25" s="1">
        <v>-378595.79</v>
      </c>
      <c r="E25" s="1">
        <f t="shared" si="1"/>
        <v>-22532.83907520253</v>
      </c>
    </row>
    <row r="26" spans="1:10" s="1" customFormat="1" ht="39" x14ac:dyDescent="0.35">
      <c r="A26" s="1" t="s">
        <v>303</v>
      </c>
      <c r="B26" s="1">
        <v>5000</v>
      </c>
      <c r="C26" s="1" t="s">
        <v>311</v>
      </c>
      <c r="D26" s="1">
        <v>-25000</v>
      </c>
      <c r="E26" s="1">
        <f t="shared" si="1"/>
        <v>-20000</v>
      </c>
    </row>
    <row r="27" spans="1:10" s="1" customFormat="1" ht="65" x14ac:dyDescent="0.35">
      <c r="A27" s="1" t="s">
        <v>216</v>
      </c>
      <c r="B27" s="1">
        <v>0</v>
      </c>
      <c r="C27" s="1" t="s">
        <v>247</v>
      </c>
      <c r="D27" s="1">
        <v>3.8490299999999998E-3</v>
      </c>
      <c r="E27" s="1">
        <f t="shared" si="1"/>
        <v>3.8490299999999998E-3</v>
      </c>
    </row>
    <row r="28" spans="1:10" s="1" customFormat="1" ht="52" x14ac:dyDescent="0.35">
      <c r="A28" s="1" t="s">
        <v>267</v>
      </c>
      <c r="B28" s="1">
        <v>-6141.4705356000004</v>
      </c>
      <c r="C28" s="1" t="s">
        <v>271</v>
      </c>
      <c r="D28" s="1">
        <v>6348.8466840000001</v>
      </c>
      <c r="E28" s="1">
        <f t="shared" si="1"/>
        <v>207.37614839999969</v>
      </c>
    </row>
    <row r="29" spans="1:10" s="1" customFormat="1" ht="39" x14ac:dyDescent="0.35">
      <c r="A29" s="1" t="s">
        <v>268</v>
      </c>
      <c r="B29" s="1">
        <v>177681.104739</v>
      </c>
      <c r="C29" s="1" t="s">
        <v>272</v>
      </c>
      <c r="D29" s="1">
        <v>-163448.72103720001</v>
      </c>
      <c r="E29" s="1">
        <f t="shared" si="1"/>
        <v>14232.38370179999</v>
      </c>
    </row>
    <row r="30" spans="1:10" s="1" customFormat="1" ht="52" x14ac:dyDescent="0.35">
      <c r="A30" s="1" t="s">
        <v>269</v>
      </c>
      <c r="B30" s="1">
        <v>21010.696861140001</v>
      </c>
      <c r="C30" s="1" t="s">
        <v>273</v>
      </c>
      <c r="D30" s="1">
        <v>-18721.529985000001</v>
      </c>
      <c r="E30" s="1">
        <f t="shared" si="1"/>
        <v>2289.1668761399997</v>
      </c>
    </row>
    <row r="31" spans="1:10" s="1" customFormat="1" ht="39" x14ac:dyDescent="0.35">
      <c r="A31" s="1" t="s">
        <v>305</v>
      </c>
      <c r="B31" s="1">
        <v>0</v>
      </c>
      <c r="C31" s="1" t="s">
        <v>313</v>
      </c>
      <c r="D31" s="1">
        <v>-1689.6645306</v>
      </c>
      <c r="E31" s="1">
        <f t="shared" si="1"/>
        <v>-1689.6645306</v>
      </c>
    </row>
    <row r="32" spans="1:10" s="1" customFormat="1" ht="39" x14ac:dyDescent="0.35">
      <c r="A32" s="1" t="s">
        <v>306</v>
      </c>
      <c r="B32" s="1">
        <v>-319848.15949888271</v>
      </c>
      <c r="C32" s="1" t="s">
        <v>314</v>
      </c>
      <c r="D32" s="1">
        <v>348896.86341990001</v>
      </c>
      <c r="E32" s="1">
        <f t="shared" si="1"/>
        <v>29048.703921017295</v>
      </c>
    </row>
    <row r="33" spans="1:5" s="1" customFormat="1" ht="52" x14ac:dyDescent="0.35">
      <c r="A33" s="1" t="s">
        <v>307</v>
      </c>
      <c r="B33" s="1">
        <v>-1443.93250878</v>
      </c>
      <c r="C33" s="1" t="s">
        <v>315</v>
      </c>
      <c r="D33" s="1">
        <v>14301.34914</v>
      </c>
      <c r="E33" s="1">
        <f t="shared" si="1"/>
        <v>12857.41663122</v>
      </c>
    </row>
    <row r="34" spans="1:5" s="1" customFormat="1" ht="39" x14ac:dyDescent="0.35">
      <c r="A34" s="1" t="s">
        <v>308</v>
      </c>
      <c r="B34" s="1">
        <v>14971.768291529999</v>
      </c>
      <c r="C34" s="1" t="s">
        <v>316</v>
      </c>
      <c r="D34" s="1">
        <v>-12671.2302678</v>
      </c>
      <c r="E34" s="1">
        <f t="shared" si="1"/>
        <v>2300.5380237299996</v>
      </c>
    </row>
    <row r="35" spans="1:5" s="1" customFormat="1" ht="39" x14ac:dyDescent="0.35">
      <c r="A35" s="1" t="s">
        <v>309</v>
      </c>
      <c r="B35" s="1">
        <v>243148.26119442933</v>
      </c>
      <c r="C35" s="1" t="s">
        <v>317</v>
      </c>
      <c r="D35" s="1">
        <v>-260480.92400219999</v>
      </c>
      <c r="E35" s="1">
        <f t="shared" si="1"/>
        <v>-17332.662807770655</v>
      </c>
    </row>
    <row r="36" spans="1:5" s="1" customFormat="1" ht="39" x14ac:dyDescent="0.35">
      <c r="A36" s="1" t="s">
        <v>310</v>
      </c>
      <c r="B36" s="1">
        <v>333527.54361233185</v>
      </c>
      <c r="C36" s="1" t="s">
        <v>318</v>
      </c>
      <c r="D36" s="1">
        <v>-317280.05020320002</v>
      </c>
      <c r="E36" s="1">
        <f t="shared" si="1"/>
        <v>16247.493409131828</v>
      </c>
    </row>
    <row r="37" spans="1:5" s="1" customFormat="1" ht="39" x14ac:dyDescent="0.35">
      <c r="A37" s="1" t="s">
        <v>333</v>
      </c>
      <c r="B37" s="1">
        <v>0</v>
      </c>
      <c r="C37" s="1" t="s">
        <v>335</v>
      </c>
      <c r="D37" s="1">
        <v>-20237.956407000001</v>
      </c>
      <c r="E37" s="1">
        <f t="shared" si="1"/>
        <v>-20237.956407000001</v>
      </c>
    </row>
    <row r="38" spans="1:5" s="1" customFormat="1" ht="39" x14ac:dyDescent="0.35">
      <c r="A38" s="1" t="s">
        <v>326</v>
      </c>
      <c r="B38" s="1">
        <v>6957</v>
      </c>
      <c r="C38" s="1" t="s">
        <v>329</v>
      </c>
      <c r="D38" s="1">
        <v>-21968.184332383378</v>
      </c>
      <c r="E38" s="1">
        <f t="shared" si="1"/>
        <v>-15011.184332383378</v>
      </c>
    </row>
    <row r="39" spans="1:5" s="1" customFormat="1" ht="52" x14ac:dyDescent="0.35">
      <c r="A39" s="1" t="s">
        <v>327</v>
      </c>
      <c r="B39" s="1">
        <v>396903.64885029191</v>
      </c>
      <c r="C39" s="1" t="s">
        <v>330</v>
      </c>
      <c r="D39" s="1">
        <v>-399468.22861088999</v>
      </c>
      <c r="E39" s="1">
        <f t="shared" si="1"/>
        <v>-2564.579760598077</v>
      </c>
    </row>
    <row r="40" spans="1:5" s="1" customFormat="1" ht="39" x14ac:dyDescent="0.35">
      <c r="A40" s="1" t="s">
        <v>328</v>
      </c>
      <c r="B40" s="1">
        <v>11240.803931022758</v>
      </c>
      <c r="C40" s="1" t="s">
        <v>331</v>
      </c>
      <c r="D40" s="1">
        <v>-11144.643394113193</v>
      </c>
      <c r="E40" s="1">
        <f t="shared" si="1"/>
        <v>96.160536909565053</v>
      </c>
    </row>
    <row r="41" spans="1:5" s="1" customFormat="1" x14ac:dyDescent="0.35">
      <c r="A41" s="1" t="s">
        <v>217</v>
      </c>
      <c r="B41" s="1">
        <f>SUM(B18:B40)</f>
        <v>4874559.8848301247</v>
      </c>
      <c r="D41" s="1">
        <f>SUM(D18:D40)</f>
        <v>-4972479.5696774581</v>
      </c>
      <c r="E41" s="1">
        <f>SUM(E18:E40)</f>
        <v>-97919.68484733213</v>
      </c>
    </row>
    <row r="42" spans="1:5" s="1" customFormat="1" x14ac:dyDescent="0.35"/>
    <row r="43" spans="1:5" s="1" customFormat="1" x14ac:dyDescent="0.35"/>
    <row r="44" spans="1:5" s="1" customFormat="1" x14ac:dyDescent="0.35"/>
    <row r="45" spans="1:5" s="1" customFormat="1" x14ac:dyDescent="0.35"/>
    <row r="46" spans="1:5" s="1" customFormat="1" x14ac:dyDescent="0.35"/>
    <row r="47" spans="1:5" s="1" customFormat="1" x14ac:dyDescent="0.35"/>
    <row r="48" spans="1:5" s="1" customFormat="1" x14ac:dyDescent="0.35"/>
    <row r="49" s="1" customFormat="1" x14ac:dyDescent="0.35"/>
    <row r="50" s="1" customFormat="1" x14ac:dyDescent="0.35"/>
    <row r="51" s="1" customFormat="1" x14ac:dyDescent="0.35"/>
    <row r="52" s="1" customFormat="1" x14ac:dyDescent="0.35"/>
    <row r="53" s="1" customFormat="1" x14ac:dyDescent="0.35"/>
    <row r="54" s="1" customFormat="1" x14ac:dyDescent="0.35"/>
    <row r="55" s="1" customFormat="1" x14ac:dyDescent="0.35"/>
    <row r="56" s="1" customFormat="1" x14ac:dyDescent="0.35"/>
    <row r="57" s="1" customFormat="1" x14ac:dyDescent="0.35"/>
    <row r="58" s="1" customFormat="1" x14ac:dyDescent="0.35"/>
    <row r="59" s="1" customFormat="1" x14ac:dyDescent="0.35"/>
    <row r="60" s="1" customFormat="1" x14ac:dyDescent="0.35"/>
    <row r="61" s="1" customFormat="1" x14ac:dyDescent="0.35"/>
    <row r="62" s="1" customFormat="1" x14ac:dyDescent="0.35"/>
    <row r="63" s="1" customFormat="1" x14ac:dyDescent="0.35"/>
    <row r="64" s="1" customFormat="1" x14ac:dyDescent="0.35"/>
    <row r="65" s="1" customFormat="1" x14ac:dyDescent="0.35"/>
    <row r="66" s="1" customFormat="1" x14ac:dyDescent="0.35"/>
    <row r="67" s="1" customFormat="1" x14ac:dyDescent="0.35"/>
    <row r="68" s="1" customFormat="1" x14ac:dyDescent="0.35"/>
    <row r="69" s="1" customFormat="1" x14ac:dyDescent="0.35"/>
    <row r="70" s="1" customFormat="1" x14ac:dyDescent="0.35"/>
    <row r="71" s="1" customFormat="1" x14ac:dyDescent="0.35"/>
    <row r="72" s="1" customFormat="1" x14ac:dyDescent="0.35"/>
    <row r="73" s="1" customFormat="1" x14ac:dyDescent="0.35"/>
    <row r="74" s="1" customFormat="1" x14ac:dyDescent="0.35"/>
    <row r="75" s="1" customFormat="1" x14ac:dyDescent="0.35"/>
    <row r="76" s="1" customFormat="1" x14ac:dyDescent="0.35"/>
    <row r="77" s="1" customFormat="1" x14ac:dyDescent="0.35"/>
    <row r="78" s="1" customFormat="1" x14ac:dyDescent="0.35"/>
    <row r="79" s="1" customFormat="1" x14ac:dyDescent="0.35"/>
    <row r="80" s="1" customFormat="1" x14ac:dyDescent="0.35"/>
    <row r="81" s="1" customFormat="1" x14ac:dyDescent="0.35"/>
    <row r="82" s="1" customFormat="1" x14ac:dyDescent="0.35"/>
    <row r="83" s="1" customFormat="1" x14ac:dyDescent="0.3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AF2BC-AA4E-44BE-AFB1-529562DF504F}">
  <sheetPr codeName="Sheet2"/>
  <dimension ref="A1:T248"/>
  <sheetViews>
    <sheetView workbookViewId="0">
      <selection sqref="A1:T1"/>
    </sheetView>
  </sheetViews>
  <sheetFormatPr defaultRowHeight="10" x14ac:dyDescent="0.2"/>
  <cols>
    <col min="1" max="1" width="8.7265625" style="2"/>
    <col min="2" max="2" width="7.36328125" style="2" bestFit="1" customWidth="1"/>
    <col min="3" max="3" width="9.36328125" style="2" bestFit="1" customWidth="1"/>
    <col min="4" max="4" width="11.08984375" style="2" bestFit="1" customWidth="1"/>
    <col min="5" max="5" width="9.81640625" style="2" bestFit="1" customWidth="1"/>
    <col min="6" max="6" width="10.54296875" style="2" bestFit="1" customWidth="1"/>
    <col min="7" max="7" width="9.81640625" style="2" bestFit="1" customWidth="1"/>
    <col min="8" max="8" width="10.54296875" style="2" bestFit="1" customWidth="1"/>
    <col min="9" max="10" width="9.81640625" style="2" bestFit="1" customWidth="1"/>
    <col min="11" max="11" width="10.54296875" style="2" bestFit="1" customWidth="1"/>
    <col min="12" max="12" width="11.08984375" style="2" bestFit="1" customWidth="1"/>
    <col min="13" max="13" width="9.81640625" style="2" bestFit="1" customWidth="1"/>
    <col min="14" max="14" width="8.1796875" style="2" bestFit="1" customWidth="1"/>
    <col min="15" max="15" width="9.81640625" style="2" bestFit="1" customWidth="1"/>
    <col min="16" max="16" width="11.08984375" style="2" bestFit="1" customWidth="1"/>
    <col min="17" max="17" width="10.54296875" style="2" bestFit="1" customWidth="1"/>
    <col min="18" max="18" width="8.54296875" style="2" bestFit="1" customWidth="1"/>
    <col min="19" max="19" width="10.54296875" style="2" bestFit="1" customWidth="1"/>
    <col min="20" max="20" width="11.453125" style="2" bestFit="1" customWidth="1"/>
    <col min="21" max="16384" width="8.7265625" style="2"/>
  </cols>
  <sheetData>
    <row r="1" spans="1:20" ht="15.5" x14ac:dyDescent="0.35">
      <c r="A1" s="29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</row>
    <row r="2" spans="1:20" ht="15.5" x14ac:dyDescent="0.35">
      <c r="A2" s="29" t="s">
        <v>1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</row>
    <row r="3" spans="1:20" ht="18" x14ac:dyDescent="0.4">
      <c r="A3" s="30" t="s">
        <v>2</v>
      </c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</row>
    <row r="4" spans="1:20" ht="18" x14ac:dyDescent="0.4">
      <c r="A4" s="30" t="s">
        <v>337</v>
      </c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</row>
    <row r="5" spans="1:20" ht="18" x14ac:dyDescent="0.4">
      <c r="A5" s="30" t="s">
        <v>3</v>
      </c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</row>
    <row r="6" spans="1:20" ht="18" x14ac:dyDescent="0.4">
      <c r="A6" s="30" t="s">
        <v>3</v>
      </c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</row>
    <row r="7" spans="1:20" x14ac:dyDescent="0.2">
      <c r="A7" s="3" t="s">
        <v>257</v>
      </c>
      <c r="B7" s="28" t="s">
        <v>4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</row>
    <row r="8" spans="1:20" x14ac:dyDescent="0.2">
      <c r="A8" s="3" t="s">
        <v>5</v>
      </c>
      <c r="B8" s="27" t="s">
        <v>6</v>
      </c>
      <c r="C8" s="26" t="s">
        <v>7</v>
      </c>
      <c r="D8" s="28" t="s">
        <v>8</v>
      </c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6" t="s">
        <v>9</v>
      </c>
      <c r="R8" s="26" t="s">
        <v>10</v>
      </c>
      <c r="S8" s="26" t="s">
        <v>11</v>
      </c>
      <c r="T8" s="26" t="s">
        <v>12</v>
      </c>
    </row>
    <row r="9" spans="1:20" x14ac:dyDescent="0.2">
      <c r="A9" s="3" t="s">
        <v>5</v>
      </c>
      <c r="B9" s="27"/>
      <c r="C9" s="27" t="s">
        <v>6</v>
      </c>
      <c r="D9" s="27" t="s">
        <v>6</v>
      </c>
      <c r="E9" s="26" t="s">
        <v>13</v>
      </c>
      <c r="F9" s="28" t="s">
        <v>0</v>
      </c>
      <c r="G9" s="28"/>
      <c r="H9" s="28"/>
      <c r="I9" s="28"/>
      <c r="J9" s="28"/>
      <c r="K9" s="28"/>
      <c r="L9" s="28"/>
      <c r="M9" s="28" t="s">
        <v>14</v>
      </c>
      <c r="N9" s="28"/>
      <c r="O9" s="28"/>
      <c r="P9" s="26" t="s">
        <v>12</v>
      </c>
      <c r="Q9" s="27" t="s">
        <v>6</v>
      </c>
      <c r="R9" s="27" t="s">
        <v>6</v>
      </c>
      <c r="S9" s="27" t="s">
        <v>6</v>
      </c>
      <c r="T9" s="27" t="s">
        <v>6</v>
      </c>
    </row>
    <row r="10" spans="1:20" x14ac:dyDescent="0.2">
      <c r="A10" s="3" t="s">
        <v>5</v>
      </c>
      <c r="B10" s="27"/>
      <c r="C10" s="27"/>
      <c r="D10" s="27"/>
      <c r="E10" s="27" t="s">
        <v>6</v>
      </c>
      <c r="F10" s="27" t="s">
        <v>6</v>
      </c>
      <c r="G10" s="26" t="s">
        <v>15</v>
      </c>
      <c r="H10" s="26" t="s">
        <v>16</v>
      </c>
      <c r="I10" s="26" t="s">
        <v>275</v>
      </c>
      <c r="J10" s="26" t="s">
        <v>250</v>
      </c>
      <c r="K10" s="26" t="s">
        <v>17</v>
      </c>
      <c r="L10" s="26" t="s">
        <v>12</v>
      </c>
      <c r="M10" s="27" t="s">
        <v>6</v>
      </c>
      <c r="N10" s="26" t="s">
        <v>18</v>
      </c>
      <c r="O10" s="26" t="s">
        <v>12</v>
      </c>
      <c r="P10" s="27" t="s">
        <v>6</v>
      </c>
      <c r="Q10" s="27"/>
      <c r="R10" s="27"/>
      <c r="S10" s="27"/>
      <c r="T10" s="27"/>
    </row>
    <row r="11" spans="1:20" x14ac:dyDescent="0.2">
      <c r="A11" s="3" t="s">
        <v>5</v>
      </c>
      <c r="B11" s="27"/>
      <c r="C11" s="27"/>
      <c r="D11" s="27"/>
      <c r="E11" s="27"/>
      <c r="F11" s="27"/>
      <c r="G11" s="26" t="s">
        <v>6</v>
      </c>
      <c r="H11" s="26" t="s">
        <v>6</v>
      </c>
      <c r="I11" s="26" t="s">
        <v>6</v>
      </c>
      <c r="J11" s="26" t="s">
        <v>6</v>
      </c>
      <c r="K11" s="26" t="s">
        <v>6</v>
      </c>
      <c r="L11" s="26" t="s">
        <v>6</v>
      </c>
      <c r="M11" s="27"/>
      <c r="N11" s="26" t="s">
        <v>6</v>
      </c>
      <c r="O11" s="26" t="s">
        <v>6</v>
      </c>
      <c r="P11" s="27"/>
      <c r="Q11" s="27"/>
      <c r="R11" s="27"/>
      <c r="S11" s="27"/>
      <c r="T11" s="27"/>
    </row>
    <row r="12" spans="1:20" ht="10.5" x14ac:dyDescent="0.2">
      <c r="A12" s="4" t="s">
        <v>19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 ht="10.5" x14ac:dyDescent="0.25">
      <c r="A13" s="6" t="s">
        <v>20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 ht="10.5" x14ac:dyDescent="0.25">
      <c r="A14" s="7" t="s">
        <v>21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 x14ac:dyDescent="0.2">
      <c r="A15" s="8" t="s">
        <v>22</v>
      </c>
      <c r="B15" s="9">
        <v>0</v>
      </c>
      <c r="C15" s="9">
        <v>0</v>
      </c>
      <c r="D15" s="9">
        <v>0</v>
      </c>
      <c r="E15" s="9">
        <v>0</v>
      </c>
      <c r="F15" s="9">
        <v>13856.5412646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f t="shared" ref="L15:L36" si="0">SUM(F15:K15)</f>
        <v>13856.5412646</v>
      </c>
      <c r="M15" s="9">
        <v>0</v>
      </c>
      <c r="N15" s="9">
        <v>0</v>
      </c>
      <c r="O15" s="9">
        <f t="shared" ref="O15:O36" si="1">SUM(M15:N15)</f>
        <v>0</v>
      </c>
      <c r="P15" s="9">
        <f t="shared" ref="P15:P36" si="2">SUM(D15:E15,L15,O15)</f>
        <v>13856.5412646</v>
      </c>
      <c r="Q15" s="9">
        <v>0</v>
      </c>
      <c r="R15" s="9">
        <v>0</v>
      </c>
      <c r="S15" s="9">
        <v>0</v>
      </c>
      <c r="T15" s="9">
        <f t="shared" ref="T15:T36" si="3">SUM(B15:C15,P15:S15)</f>
        <v>13856.5412646</v>
      </c>
    </row>
    <row r="16" spans="1:20" x14ac:dyDescent="0.2">
      <c r="A16" s="8" t="s">
        <v>23</v>
      </c>
      <c r="B16" s="9">
        <v>0</v>
      </c>
      <c r="C16" s="9">
        <v>0</v>
      </c>
      <c r="D16" s="9">
        <v>0</v>
      </c>
      <c r="E16" s="9">
        <v>0</v>
      </c>
      <c r="F16" s="9">
        <v>-46545.469994699997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f t="shared" si="0"/>
        <v>-46545.469994699997</v>
      </c>
      <c r="M16" s="9">
        <v>0</v>
      </c>
      <c r="N16" s="9">
        <v>0</v>
      </c>
      <c r="O16" s="9">
        <f t="shared" si="1"/>
        <v>0</v>
      </c>
      <c r="P16" s="9">
        <f t="shared" si="2"/>
        <v>-46545.469994699997</v>
      </c>
      <c r="Q16" s="9">
        <v>0</v>
      </c>
      <c r="R16" s="9">
        <v>0</v>
      </c>
      <c r="S16" s="9">
        <v>0</v>
      </c>
      <c r="T16" s="9">
        <f t="shared" si="3"/>
        <v>-46545.469994699997</v>
      </c>
    </row>
    <row r="17" spans="1:20" x14ac:dyDescent="0.2">
      <c r="A17" s="8" t="s">
        <v>24</v>
      </c>
      <c r="B17" s="9">
        <v>0</v>
      </c>
      <c r="C17" s="9">
        <v>0</v>
      </c>
      <c r="D17" s="9">
        <v>0</v>
      </c>
      <c r="E17" s="9">
        <v>0</v>
      </c>
      <c r="F17" s="9">
        <v>587.61806220000005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f t="shared" si="0"/>
        <v>587.61806220000005</v>
      </c>
      <c r="M17" s="9">
        <v>0</v>
      </c>
      <c r="N17" s="9">
        <v>0</v>
      </c>
      <c r="O17" s="9">
        <f t="shared" si="1"/>
        <v>0</v>
      </c>
      <c r="P17" s="9">
        <f t="shared" si="2"/>
        <v>587.61806220000005</v>
      </c>
      <c r="Q17" s="9">
        <v>0</v>
      </c>
      <c r="R17" s="9">
        <v>0</v>
      </c>
      <c r="S17" s="9">
        <v>0</v>
      </c>
      <c r="T17" s="9">
        <f t="shared" si="3"/>
        <v>587.61806220000005</v>
      </c>
    </row>
    <row r="18" spans="1:20" x14ac:dyDescent="0.2">
      <c r="A18" s="8" t="s">
        <v>25</v>
      </c>
      <c r="B18" s="9">
        <v>0</v>
      </c>
      <c r="C18" s="9">
        <v>0</v>
      </c>
      <c r="D18" s="9">
        <v>0</v>
      </c>
      <c r="E18" s="9">
        <v>0</v>
      </c>
      <c r="F18" s="9">
        <v>-434258.21899079997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f t="shared" si="0"/>
        <v>-434258.21899079997</v>
      </c>
      <c r="M18" s="9">
        <v>0</v>
      </c>
      <c r="N18" s="9">
        <v>0</v>
      </c>
      <c r="O18" s="9">
        <f t="shared" si="1"/>
        <v>0</v>
      </c>
      <c r="P18" s="9">
        <f t="shared" si="2"/>
        <v>-434258.21899079997</v>
      </c>
      <c r="Q18" s="9">
        <v>0</v>
      </c>
      <c r="R18" s="9">
        <v>0</v>
      </c>
      <c r="S18" s="9">
        <v>0</v>
      </c>
      <c r="T18" s="9">
        <f t="shared" si="3"/>
        <v>-434258.21899079997</v>
      </c>
    </row>
    <row r="19" spans="1:20" x14ac:dyDescent="0.2">
      <c r="A19" s="8" t="s">
        <v>321</v>
      </c>
      <c r="B19" s="9">
        <v>0</v>
      </c>
      <c r="C19" s="9">
        <v>0</v>
      </c>
      <c r="D19" s="9">
        <v>0</v>
      </c>
      <c r="E19" s="9">
        <v>0</v>
      </c>
      <c r="F19" s="9">
        <v>9600.4950000000008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f t="shared" si="0"/>
        <v>9600.4950000000008</v>
      </c>
      <c r="M19" s="9">
        <v>0</v>
      </c>
      <c r="N19" s="9">
        <v>0</v>
      </c>
      <c r="O19" s="9">
        <f t="shared" si="1"/>
        <v>0</v>
      </c>
      <c r="P19" s="9">
        <f t="shared" si="2"/>
        <v>9600.4950000000008</v>
      </c>
      <c r="Q19" s="9">
        <v>0</v>
      </c>
      <c r="R19" s="9">
        <v>0</v>
      </c>
      <c r="S19" s="9">
        <v>0</v>
      </c>
      <c r="T19" s="9">
        <f t="shared" si="3"/>
        <v>9600.4950000000008</v>
      </c>
    </row>
    <row r="20" spans="1:20" x14ac:dyDescent="0.2">
      <c r="A20" s="8" t="s">
        <v>26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-14368.0556382</v>
      </c>
      <c r="H20" s="9">
        <v>0</v>
      </c>
      <c r="I20" s="9">
        <v>0</v>
      </c>
      <c r="J20" s="9">
        <v>0</v>
      </c>
      <c r="K20" s="9">
        <v>0</v>
      </c>
      <c r="L20" s="9">
        <f t="shared" si="0"/>
        <v>-14368.0556382</v>
      </c>
      <c r="M20" s="9">
        <v>0</v>
      </c>
      <c r="N20" s="9">
        <v>0</v>
      </c>
      <c r="O20" s="9">
        <f t="shared" si="1"/>
        <v>0</v>
      </c>
      <c r="P20" s="9">
        <f t="shared" si="2"/>
        <v>-14368.0556382</v>
      </c>
      <c r="Q20" s="9">
        <v>0</v>
      </c>
      <c r="R20" s="9">
        <v>0</v>
      </c>
      <c r="S20" s="9">
        <v>0</v>
      </c>
      <c r="T20" s="9">
        <f t="shared" si="3"/>
        <v>-14368.0556382</v>
      </c>
    </row>
    <row r="21" spans="1:20" x14ac:dyDescent="0.2">
      <c r="A21" s="8" t="s">
        <v>27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3026.7209490658811</v>
      </c>
      <c r="L21" s="9">
        <f t="shared" si="0"/>
        <v>3026.7209490658811</v>
      </c>
      <c r="M21" s="9">
        <v>0</v>
      </c>
      <c r="N21" s="9">
        <v>0</v>
      </c>
      <c r="O21" s="9">
        <f t="shared" si="1"/>
        <v>0</v>
      </c>
      <c r="P21" s="9">
        <f t="shared" si="2"/>
        <v>3026.7209490658811</v>
      </c>
      <c r="Q21" s="9">
        <v>0</v>
      </c>
      <c r="R21" s="9">
        <v>0</v>
      </c>
      <c r="S21" s="9">
        <v>0</v>
      </c>
      <c r="T21" s="9">
        <f t="shared" si="3"/>
        <v>3026.7209490658811</v>
      </c>
    </row>
    <row r="22" spans="1:20" x14ac:dyDescent="0.2">
      <c r="A22" s="8" t="s">
        <v>28</v>
      </c>
      <c r="B22" s="9">
        <v>0</v>
      </c>
      <c r="C22" s="9">
        <v>0</v>
      </c>
      <c r="D22" s="9">
        <v>882.16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f t="shared" si="0"/>
        <v>0</v>
      </c>
      <c r="M22" s="9">
        <v>0</v>
      </c>
      <c r="N22" s="9">
        <v>0</v>
      </c>
      <c r="O22" s="9">
        <f t="shared" si="1"/>
        <v>0</v>
      </c>
      <c r="P22" s="9">
        <f t="shared" si="2"/>
        <v>882.16</v>
      </c>
      <c r="Q22" s="9">
        <v>0</v>
      </c>
      <c r="R22" s="9">
        <v>0</v>
      </c>
      <c r="S22" s="9">
        <v>0</v>
      </c>
      <c r="T22" s="9">
        <f t="shared" si="3"/>
        <v>882.16</v>
      </c>
    </row>
    <row r="23" spans="1:20" x14ac:dyDescent="0.2">
      <c r="A23" s="8" t="s">
        <v>276</v>
      </c>
      <c r="B23" s="9">
        <v>0</v>
      </c>
      <c r="C23" s="9">
        <v>0</v>
      </c>
      <c r="D23" s="9">
        <v>22494.880000000001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f t="shared" si="0"/>
        <v>0</v>
      </c>
      <c r="M23" s="9">
        <v>0</v>
      </c>
      <c r="N23" s="9">
        <v>0</v>
      </c>
      <c r="O23" s="9">
        <f t="shared" si="1"/>
        <v>0</v>
      </c>
      <c r="P23" s="9">
        <f t="shared" si="2"/>
        <v>22494.880000000001</v>
      </c>
      <c r="Q23" s="9">
        <v>0</v>
      </c>
      <c r="R23" s="9">
        <v>0</v>
      </c>
      <c r="S23" s="9">
        <v>0</v>
      </c>
      <c r="T23" s="9">
        <f t="shared" si="3"/>
        <v>22494.880000000001</v>
      </c>
    </row>
    <row r="24" spans="1:20" x14ac:dyDescent="0.2">
      <c r="A24" s="8" t="s">
        <v>277</v>
      </c>
      <c r="B24" s="9">
        <v>0</v>
      </c>
      <c r="C24" s="9">
        <v>0</v>
      </c>
      <c r="D24" s="9">
        <v>580215.36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f t="shared" si="0"/>
        <v>0</v>
      </c>
      <c r="M24" s="9">
        <v>0</v>
      </c>
      <c r="N24" s="9">
        <v>0</v>
      </c>
      <c r="O24" s="9">
        <f t="shared" si="1"/>
        <v>0</v>
      </c>
      <c r="P24" s="9">
        <f t="shared" si="2"/>
        <v>580215.36</v>
      </c>
      <c r="Q24" s="9">
        <v>0</v>
      </c>
      <c r="R24" s="9">
        <v>0</v>
      </c>
      <c r="S24" s="9">
        <v>0</v>
      </c>
      <c r="T24" s="9">
        <f t="shared" si="3"/>
        <v>580215.36</v>
      </c>
    </row>
    <row r="25" spans="1:20" x14ac:dyDescent="0.2">
      <c r="A25" s="8" t="s">
        <v>29</v>
      </c>
      <c r="B25" s="9">
        <v>0</v>
      </c>
      <c r="C25" s="9">
        <v>0</v>
      </c>
      <c r="D25" s="9">
        <v>0</v>
      </c>
      <c r="E25" s="9">
        <v>0</v>
      </c>
      <c r="F25" s="9">
        <v>0</v>
      </c>
      <c r="G25" s="9">
        <v>0</v>
      </c>
      <c r="H25" s="9">
        <v>0</v>
      </c>
      <c r="I25" s="9">
        <v>0</v>
      </c>
      <c r="J25" s="9">
        <v>1022.7689691</v>
      </c>
      <c r="K25" s="9">
        <v>0</v>
      </c>
      <c r="L25" s="9">
        <f t="shared" si="0"/>
        <v>1022.7689691</v>
      </c>
      <c r="M25" s="9">
        <v>0</v>
      </c>
      <c r="N25" s="9">
        <v>0</v>
      </c>
      <c r="O25" s="9">
        <f t="shared" si="1"/>
        <v>0</v>
      </c>
      <c r="P25" s="9">
        <f t="shared" si="2"/>
        <v>1022.7689691</v>
      </c>
      <c r="Q25" s="9">
        <v>0</v>
      </c>
      <c r="R25" s="9">
        <v>0</v>
      </c>
      <c r="S25" s="9">
        <v>0</v>
      </c>
      <c r="T25" s="9">
        <f t="shared" si="3"/>
        <v>1022.7689691</v>
      </c>
    </row>
    <row r="26" spans="1:20" x14ac:dyDescent="0.2">
      <c r="A26" s="8" t="s">
        <v>30</v>
      </c>
      <c r="B26" s="9">
        <v>0</v>
      </c>
      <c r="C26" s="9">
        <v>3495.61</v>
      </c>
      <c r="D26" s="9">
        <v>0</v>
      </c>
      <c r="E26" s="9">
        <v>0</v>
      </c>
      <c r="F26" s="9">
        <v>0</v>
      </c>
      <c r="G26" s="9">
        <v>0</v>
      </c>
      <c r="H26" s="9">
        <v>0</v>
      </c>
      <c r="I26" s="9">
        <v>0</v>
      </c>
      <c r="J26" s="9">
        <v>0</v>
      </c>
      <c r="K26" s="9">
        <v>0</v>
      </c>
      <c r="L26" s="9">
        <f t="shared" si="0"/>
        <v>0</v>
      </c>
      <c r="M26" s="9">
        <v>0</v>
      </c>
      <c r="N26" s="9">
        <v>0</v>
      </c>
      <c r="O26" s="9">
        <f t="shared" si="1"/>
        <v>0</v>
      </c>
      <c r="P26" s="9">
        <f t="shared" si="2"/>
        <v>0</v>
      </c>
      <c r="Q26" s="9">
        <v>0</v>
      </c>
      <c r="R26" s="9">
        <v>0</v>
      </c>
      <c r="S26" s="9">
        <v>0</v>
      </c>
      <c r="T26" s="9">
        <f t="shared" si="3"/>
        <v>3495.61</v>
      </c>
    </row>
    <row r="27" spans="1:20" x14ac:dyDescent="0.2">
      <c r="A27" s="8" t="s">
        <v>31</v>
      </c>
      <c r="B27" s="9">
        <v>0</v>
      </c>
      <c r="C27" s="9">
        <v>0</v>
      </c>
      <c r="D27" s="9">
        <v>0</v>
      </c>
      <c r="E27" s="9">
        <v>0</v>
      </c>
      <c r="F27" s="9">
        <v>0</v>
      </c>
      <c r="G27" s="9">
        <v>0</v>
      </c>
      <c r="H27" s="9">
        <v>0</v>
      </c>
      <c r="I27" s="9">
        <v>0</v>
      </c>
      <c r="J27" s="9">
        <v>0</v>
      </c>
      <c r="K27" s="9">
        <v>0</v>
      </c>
      <c r="L27" s="9">
        <f t="shared" si="0"/>
        <v>0</v>
      </c>
      <c r="M27" s="9">
        <v>0</v>
      </c>
      <c r="N27" s="9">
        <v>0</v>
      </c>
      <c r="O27" s="9">
        <f t="shared" si="1"/>
        <v>0</v>
      </c>
      <c r="P27" s="9">
        <f t="shared" si="2"/>
        <v>0</v>
      </c>
      <c r="Q27" s="9">
        <v>2452.9829460000001</v>
      </c>
      <c r="R27" s="9">
        <v>0</v>
      </c>
      <c r="S27" s="9">
        <v>0</v>
      </c>
      <c r="T27" s="9">
        <f t="shared" si="3"/>
        <v>2452.9829460000001</v>
      </c>
    </row>
    <row r="28" spans="1:20" x14ac:dyDescent="0.2">
      <c r="A28" s="8" t="s">
        <v>32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0.15812580000000001</v>
      </c>
      <c r="K28" s="9">
        <v>0</v>
      </c>
      <c r="L28" s="9">
        <f t="shared" si="0"/>
        <v>0.15812580000000001</v>
      </c>
      <c r="M28" s="9">
        <v>0</v>
      </c>
      <c r="N28" s="9">
        <v>0</v>
      </c>
      <c r="O28" s="9">
        <f t="shared" si="1"/>
        <v>0</v>
      </c>
      <c r="P28" s="9">
        <f t="shared" si="2"/>
        <v>0.15812580000000001</v>
      </c>
      <c r="Q28" s="9">
        <v>0</v>
      </c>
      <c r="R28" s="9">
        <v>0</v>
      </c>
      <c r="S28" s="9">
        <v>0</v>
      </c>
      <c r="T28" s="9">
        <f t="shared" si="3"/>
        <v>0.15812580000000001</v>
      </c>
    </row>
    <row r="29" spans="1:20" x14ac:dyDescent="0.2">
      <c r="A29" s="8" t="s">
        <v>33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f t="shared" si="0"/>
        <v>0</v>
      </c>
      <c r="M29" s="9">
        <v>0</v>
      </c>
      <c r="N29" s="9">
        <v>0</v>
      </c>
      <c r="O29" s="9">
        <f t="shared" si="1"/>
        <v>0</v>
      </c>
      <c r="P29" s="9">
        <f t="shared" si="2"/>
        <v>0</v>
      </c>
      <c r="Q29" s="9">
        <v>0</v>
      </c>
      <c r="R29" s="9">
        <v>1402.2811844099999</v>
      </c>
      <c r="S29" s="9">
        <v>0</v>
      </c>
      <c r="T29" s="9">
        <f t="shared" si="3"/>
        <v>1402.2811844099999</v>
      </c>
    </row>
    <row r="30" spans="1:20" x14ac:dyDescent="0.2">
      <c r="A30" s="8" t="s">
        <v>34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2845.5030613647946</v>
      </c>
      <c r="I30" s="9">
        <v>0</v>
      </c>
      <c r="J30" s="9">
        <v>0</v>
      </c>
      <c r="K30" s="9">
        <v>0</v>
      </c>
      <c r="L30" s="9">
        <f t="shared" si="0"/>
        <v>2845.5030613647946</v>
      </c>
      <c r="M30" s="9">
        <v>0</v>
      </c>
      <c r="N30" s="9">
        <v>0</v>
      </c>
      <c r="O30" s="9">
        <f t="shared" si="1"/>
        <v>0</v>
      </c>
      <c r="P30" s="9">
        <f t="shared" si="2"/>
        <v>2845.5030613647946</v>
      </c>
      <c r="Q30" s="9">
        <v>0</v>
      </c>
      <c r="R30" s="9">
        <v>0</v>
      </c>
      <c r="S30" s="9">
        <v>0</v>
      </c>
      <c r="T30" s="9">
        <f t="shared" si="3"/>
        <v>2845.5030613647946</v>
      </c>
    </row>
    <row r="31" spans="1:20" x14ac:dyDescent="0.2">
      <c r="A31" s="8" t="s">
        <v>35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f t="shared" si="0"/>
        <v>0</v>
      </c>
      <c r="M31" s="9">
        <v>0</v>
      </c>
      <c r="N31" s="9">
        <v>0</v>
      </c>
      <c r="O31" s="9">
        <f t="shared" si="1"/>
        <v>0</v>
      </c>
      <c r="P31" s="9">
        <f t="shared" si="2"/>
        <v>0</v>
      </c>
      <c r="Q31" s="9">
        <v>0</v>
      </c>
      <c r="R31" s="9">
        <v>0</v>
      </c>
      <c r="S31" s="9">
        <v>1.23553863</v>
      </c>
      <c r="T31" s="9">
        <f t="shared" si="3"/>
        <v>1.23553863</v>
      </c>
    </row>
    <row r="32" spans="1:20" x14ac:dyDescent="0.2">
      <c r="A32" s="8" t="s">
        <v>36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f t="shared" si="0"/>
        <v>0</v>
      </c>
      <c r="M32" s="9">
        <v>0</v>
      </c>
      <c r="N32" s="9">
        <v>0</v>
      </c>
      <c r="O32" s="9">
        <f t="shared" si="1"/>
        <v>0</v>
      </c>
      <c r="P32" s="9">
        <f t="shared" si="2"/>
        <v>0</v>
      </c>
      <c r="Q32" s="9">
        <v>0</v>
      </c>
      <c r="R32" s="9">
        <v>0</v>
      </c>
      <c r="S32" s="9">
        <v>2445.4940406000001</v>
      </c>
      <c r="T32" s="9">
        <f t="shared" si="3"/>
        <v>2445.4940406000001</v>
      </c>
    </row>
    <row r="33" spans="1:20" x14ac:dyDescent="0.2">
      <c r="A33" s="8" t="s">
        <v>37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788.69465656485329</v>
      </c>
      <c r="I33" s="9">
        <v>0</v>
      </c>
      <c r="J33" s="9">
        <v>0</v>
      </c>
      <c r="K33" s="9">
        <v>0</v>
      </c>
      <c r="L33" s="9">
        <f t="shared" si="0"/>
        <v>788.69465656485329</v>
      </c>
      <c r="M33" s="9">
        <v>0</v>
      </c>
      <c r="N33" s="9">
        <v>0</v>
      </c>
      <c r="O33" s="9">
        <f t="shared" si="1"/>
        <v>0</v>
      </c>
      <c r="P33" s="9">
        <f t="shared" si="2"/>
        <v>788.69465656485329</v>
      </c>
      <c r="Q33" s="9">
        <v>0</v>
      </c>
      <c r="R33" s="9">
        <v>0</v>
      </c>
      <c r="S33" s="9">
        <v>0</v>
      </c>
      <c r="T33" s="9">
        <f t="shared" si="3"/>
        <v>788.69465656485329</v>
      </c>
    </row>
    <row r="34" spans="1:20" x14ac:dyDescent="0.2">
      <c r="A34" s="8" t="s">
        <v>278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15996.953746921157</v>
      </c>
      <c r="J34" s="9">
        <v>0</v>
      </c>
      <c r="K34" s="9">
        <v>0</v>
      </c>
      <c r="L34" s="9">
        <f t="shared" si="0"/>
        <v>15996.953746921157</v>
      </c>
      <c r="M34" s="9">
        <v>0</v>
      </c>
      <c r="N34" s="9">
        <v>0</v>
      </c>
      <c r="O34" s="9">
        <f t="shared" si="1"/>
        <v>0</v>
      </c>
      <c r="P34" s="9">
        <f t="shared" si="2"/>
        <v>15996.953746921157</v>
      </c>
      <c r="Q34" s="9">
        <v>0</v>
      </c>
      <c r="R34" s="9">
        <v>0</v>
      </c>
      <c r="S34" s="9">
        <v>0</v>
      </c>
      <c r="T34" s="9">
        <f t="shared" si="3"/>
        <v>15996.953746921157</v>
      </c>
    </row>
    <row r="35" spans="1:20" x14ac:dyDescent="0.2">
      <c r="A35" s="8" t="s">
        <v>279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5802.6301920479636</v>
      </c>
      <c r="J35" s="9">
        <v>0</v>
      </c>
      <c r="K35" s="9">
        <v>0</v>
      </c>
      <c r="L35" s="9">
        <f t="shared" si="0"/>
        <v>5802.6301920479636</v>
      </c>
      <c r="M35" s="9">
        <v>0</v>
      </c>
      <c r="N35" s="9">
        <v>0</v>
      </c>
      <c r="O35" s="9">
        <f t="shared" si="1"/>
        <v>0</v>
      </c>
      <c r="P35" s="9">
        <f t="shared" si="2"/>
        <v>5802.6301920479636</v>
      </c>
      <c r="Q35" s="9">
        <v>0</v>
      </c>
      <c r="R35" s="9">
        <v>0</v>
      </c>
      <c r="S35" s="9">
        <v>0</v>
      </c>
      <c r="T35" s="9">
        <f t="shared" si="3"/>
        <v>5802.6301920479636</v>
      </c>
    </row>
    <row r="36" spans="1:20" x14ac:dyDescent="0.2">
      <c r="A36" s="8" t="s">
        <v>322</v>
      </c>
      <c r="B36" s="9">
        <v>0</v>
      </c>
      <c r="C36" s="9">
        <v>0</v>
      </c>
      <c r="D36" s="9">
        <v>0</v>
      </c>
      <c r="E36" s="9">
        <v>0</v>
      </c>
      <c r="F36" s="9">
        <v>0</v>
      </c>
      <c r="G36" s="9">
        <v>0</v>
      </c>
      <c r="H36" s="9">
        <v>-528.85947944220118</v>
      </c>
      <c r="I36" s="9">
        <v>0</v>
      </c>
      <c r="J36" s="9">
        <v>0</v>
      </c>
      <c r="K36" s="9">
        <v>0</v>
      </c>
      <c r="L36" s="9">
        <f t="shared" si="0"/>
        <v>-528.85947944220118</v>
      </c>
      <c r="M36" s="9">
        <v>0</v>
      </c>
      <c r="N36" s="9">
        <v>0</v>
      </c>
      <c r="O36" s="9">
        <f t="shared" si="1"/>
        <v>0</v>
      </c>
      <c r="P36" s="9">
        <f t="shared" si="2"/>
        <v>-528.85947944220118</v>
      </c>
      <c r="Q36" s="9">
        <v>0</v>
      </c>
      <c r="R36" s="9">
        <v>0</v>
      </c>
      <c r="S36" s="9">
        <v>0</v>
      </c>
      <c r="T36" s="9">
        <f t="shared" si="3"/>
        <v>-528.85947944220118</v>
      </c>
    </row>
    <row r="37" spans="1:20" ht="10.5" x14ac:dyDescent="0.25">
      <c r="A37" s="10" t="s">
        <v>38</v>
      </c>
      <c r="B37" s="11">
        <f t="shared" ref="B37:T37" si="4">SUM(B15:B36)</f>
        <v>0</v>
      </c>
      <c r="C37" s="11">
        <f t="shared" si="4"/>
        <v>3495.61</v>
      </c>
      <c r="D37" s="11">
        <f t="shared" si="4"/>
        <v>603592.4</v>
      </c>
      <c r="E37" s="11">
        <f t="shared" si="4"/>
        <v>0</v>
      </c>
      <c r="F37" s="11">
        <f t="shared" si="4"/>
        <v>-456759.03465869999</v>
      </c>
      <c r="G37" s="11">
        <f t="shared" si="4"/>
        <v>-14368.0556382</v>
      </c>
      <c r="H37" s="11">
        <f t="shared" si="4"/>
        <v>3105.3382384874467</v>
      </c>
      <c r="I37" s="11">
        <f t="shared" si="4"/>
        <v>21799.583938969121</v>
      </c>
      <c r="J37" s="11">
        <f t="shared" si="4"/>
        <v>1022.9270949</v>
      </c>
      <c r="K37" s="11">
        <f t="shared" si="4"/>
        <v>3026.7209490658811</v>
      </c>
      <c r="L37" s="11">
        <f t="shared" si="4"/>
        <v>-442172.52007547749</v>
      </c>
      <c r="M37" s="11">
        <f t="shared" si="4"/>
        <v>0</v>
      </c>
      <c r="N37" s="11">
        <f t="shared" si="4"/>
        <v>0</v>
      </c>
      <c r="O37" s="11">
        <f t="shared" si="4"/>
        <v>0</v>
      </c>
      <c r="P37" s="11">
        <f t="shared" si="4"/>
        <v>161419.87992452236</v>
      </c>
      <c r="Q37" s="11">
        <f t="shared" si="4"/>
        <v>2452.9829460000001</v>
      </c>
      <c r="R37" s="11">
        <f t="shared" si="4"/>
        <v>1402.2811844099999</v>
      </c>
      <c r="S37" s="11">
        <f t="shared" si="4"/>
        <v>2446.7295792300001</v>
      </c>
      <c r="T37" s="11">
        <f t="shared" si="4"/>
        <v>171217.48363416234</v>
      </c>
    </row>
    <row r="38" spans="1:20" ht="10.5" x14ac:dyDescent="0.25">
      <c r="A38" s="12" t="s">
        <v>39</v>
      </c>
      <c r="B38" s="11">
        <f t="shared" ref="B38:T38" si="5">SUM(B37)</f>
        <v>0</v>
      </c>
      <c r="C38" s="11">
        <f t="shared" si="5"/>
        <v>3495.61</v>
      </c>
      <c r="D38" s="11">
        <f t="shared" si="5"/>
        <v>603592.4</v>
      </c>
      <c r="E38" s="11">
        <f t="shared" si="5"/>
        <v>0</v>
      </c>
      <c r="F38" s="11">
        <f t="shared" si="5"/>
        <v>-456759.03465869999</v>
      </c>
      <c r="G38" s="11">
        <f t="shared" si="5"/>
        <v>-14368.0556382</v>
      </c>
      <c r="H38" s="11">
        <f t="shared" si="5"/>
        <v>3105.3382384874467</v>
      </c>
      <c r="I38" s="11">
        <f t="shared" si="5"/>
        <v>21799.583938969121</v>
      </c>
      <c r="J38" s="11">
        <f t="shared" si="5"/>
        <v>1022.9270949</v>
      </c>
      <c r="K38" s="11">
        <f t="shared" si="5"/>
        <v>3026.7209490658811</v>
      </c>
      <c r="L38" s="11">
        <f t="shared" si="5"/>
        <v>-442172.52007547749</v>
      </c>
      <c r="M38" s="11">
        <f t="shared" si="5"/>
        <v>0</v>
      </c>
      <c r="N38" s="11">
        <f t="shared" si="5"/>
        <v>0</v>
      </c>
      <c r="O38" s="11">
        <f t="shared" si="5"/>
        <v>0</v>
      </c>
      <c r="P38" s="11">
        <f t="shared" si="5"/>
        <v>161419.87992452236</v>
      </c>
      <c r="Q38" s="11">
        <f t="shared" si="5"/>
        <v>2452.9829460000001</v>
      </c>
      <c r="R38" s="11">
        <f t="shared" si="5"/>
        <v>1402.2811844099999</v>
      </c>
      <c r="S38" s="11">
        <f t="shared" si="5"/>
        <v>2446.7295792300001</v>
      </c>
      <c r="T38" s="11">
        <f t="shared" si="5"/>
        <v>171217.48363416234</v>
      </c>
    </row>
    <row r="39" spans="1:20" ht="10.5" x14ac:dyDescent="0.25">
      <c r="A39" s="6" t="s">
        <v>40</v>
      </c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</row>
    <row r="40" spans="1:20" ht="10.5" x14ac:dyDescent="0.25">
      <c r="A40" s="7" t="s">
        <v>41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</row>
    <row r="41" spans="1:20" x14ac:dyDescent="0.2">
      <c r="A41" s="8" t="s">
        <v>42</v>
      </c>
      <c r="B41" s="9">
        <v>0</v>
      </c>
      <c r="C41" s="9">
        <v>0</v>
      </c>
      <c r="D41" s="9">
        <v>500</v>
      </c>
      <c r="E41" s="9">
        <v>3839.4677264699999</v>
      </c>
      <c r="F41" s="9">
        <v>2063778.0541868999</v>
      </c>
      <c r="G41" s="9">
        <v>0</v>
      </c>
      <c r="H41" s="9">
        <v>106800.23858882117</v>
      </c>
      <c r="I41" s="9">
        <v>0</v>
      </c>
      <c r="J41" s="9">
        <v>0</v>
      </c>
      <c r="K41" s="9">
        <v>0</v>
      </c>
      <c r="L41" s="9">
        <f>SUM(F41:K41)</f>
        <v>2170578.2927757213</v>
      </c>
      <c r="M41" s="9">
        <v>0</v>
      </c>
      <c r="N41" s="9">
        <v>0</v>
      </c>
      <c r="O41" s="9">
        <f>SUM(M41:N41)</f>
        <v>0</v>
      </c>
      <c r="P41" s="9">
        <f>SUM(D41:E41,L41,O41)</f>
        <v>2174917.7605021913</v>
      </c>
      <c r="Q41" s="9">
        <v>2.6994332999999999</v>
      </c>
      <c r="R41" s="9">
        <v>0</v>
      </c>
      <c r="S41" s="9">
        <v>0</v>
      </c>
      <c r="T41" s="9">
        <f>SUM(B41:C41,P41:S41)</f>
        <v>2174920.4599354914</v>
      </c>
    </row>
    <row r="42" spans="1:20" x14ac:dyDescent="0.2">
      <c r="A42" s="8" t="s">
        <v>43</v>
      </c>
      <c r="B42" s="9">
        <v>0</v>
      </c>
      <c r="C42" s="9">
        <v>0</v>
      </c>
      <c r="D42" s="9">
        <v>-124833.9</v>
      </c>
      <c r="E42" s="9">
        <v>-19764.128828010002</v>
      </c>
      <c r="F42" s="9">
        <v>-30768.8410248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f>SUM(F42:K42)</f>
        <v>-30768.8410248</v>
      </c>
      <c r="M42" s="9">
        <v>0</v>
      </c>
      <c r="N42" s="9">
        <v>0</v>
      </c>
      <c r="O42" s="9">
        <f>SUM(M42:N42)</f>
        <v>0</v>
      </c>
      <c r="P42" s="9">
        <f>SUM(D42:E42,L42,O42)</f>
        <v>-175366.86985280999</v>
      </c>
      <c r="Q42" s="9">
        <v>0</v>
      </c>
      <c r="R42" s="9">
        <v>0</v>
      </c>
      <c r="S42" s="9">
        <v>0</v>
      </c>
      <c r="T42" s="9">
        <f>SUM(B42:C42,P42:S42)</f>
        <v>-175366.86985280999</v>
      </c>
    </row>
    <row r="43" spans="1:20" x14ac:dyDescent="0.2">
      <c r="A43" s="8" t="s">
        <v>251</v>
      </c>
      <c r="B43" s="9">
        <v>0</v>
      </c>
      <c r="C43" s="9">
        <v>0</v>
      </c>
      <c r="D43" s="9">
        <v>0</v>
      </c>
      <c r="E43" s="9">
        <v>0</v>
      </c>
      <c r="F43" s="9">
        <v>-6835.5524400000004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f>SUM(F43:K43)</f>
        <v>-6835.5524400000004</v>
      </c>
      <c r="M43" s="9">
        <v>0</v>
      </c>
      <c r="N43" s="9">
        <v>0</v>
      </c>
      <c r="O43" s="9">
        <f>SUM(M43:N43)</f>
        <v>0</v>
      </c>
      <c r="P43" s="9">
        <f>SUM(D43:E43,L43,O43)</f>
        <v>-6835.5524400000004</v>
      </c>
      <c r="Q43" s="9">
        <v>0</v>
      </c>
      <c r="R43" s="9">
        <v>0</v>
      </c>
      <c r="S43" s="9">
        <v>0</v>
      </c>
      <c r="T43" s="9">
        <f>SUM(B43:C43,P43:S43)</f>
        <v>-6835.5524400000004</v>
      </c>
    </row>
    <row r="44" spans="1:20" ht="10.5" x14ac:dyDescent="0.25">
      <c r="A44" s="10" t="s">
        <v>44</v>
      </c>
      <c r="B44" s="11">
        <f t="shared" ref="B44:T44" si="6">SUM(B41:B43)</f>
        <v>0</v>
      </c>
      <c r="C44" s="11">
        <f t="shared" si="6"/>
        <v>0</v>
      </c>
      <c r="D44" s="11">
        <f t="shared" si="6"/>
        <v>-124333.9</v>
      </c>
      <c r="E44" s="11">
        <f t="shared" si="6"/>
        <v>-15924.661101540001</v>
      </c>
      <c r="F44" s="11">
        <f t="shared" si="6"/>
        <v>2026173.6607220999</v>
      </c>
      <c r="G44" s="11">
        <f t="shared" si="6"/>
        <v>0</v>
      </c>
      <c r="H44" s="11">
        <f t="shared" si="6"/>
        <v>106800.23858882117</v>
      </c>
      <c r="I44" s="11">
        <f t="shared" si="6"/>
        <v>0</v>
      </c>
      <c r="J44" s="11">
        <f t="shared" si="6"/>
        <v>0</v>
      </c>
      <c r="K44" s="11">
        <f t="shared" si="6"/>
        <v>0</v>
      </c>
      <c r="L44" s="11">
        <f t="shared" si="6"/>
        <v>2132973.8993109209</v>
      </c>
      <c r="M44" s="11">
        <f t="shared" si="6"/>
        <v>0</v>
      </c>
      <c r="N44" s="11">
        <f t="shared" si="6"/>
        <v>0</v>
      </c>
      <c r="O44" s="11">
        <f t="shared" si="6"/>
        <v>0</v>
      </c>
      <c r="P44" s="11">
        <f t="shared" si="6"/>
        <v>1992715.3382093813</v>
      </c>
      <c r="Q44" s="11">
        <f t="shared" si="6"/>
        <v>2.6994332999999999</v>
      </c>
      <c r="R44" s="11">
        <f t="shared" si="6"/>
        <v>0</v>
      </c>
      <c r="S44" s="11">
        <f t="shared" si="6"/>
        <v>0</v>
      </c>
      <c r="T44" s="11">
        <f t="shared" si="6"/>
        <v>1992718.0376426815</v>
      </c>
    </row>
    <row r="45" spans="1:20" ht="10.5" x14ac:dyDescent="0.25">
      <c r="A45" s="7" t="s">
        <v>45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</row>
    <row r="46" spans="1:20" x14ac:dyDescent="0.2">
      <c r="A46" s="8" t="s">
        <v>46</v>
      </c>
      <c r="B46" s="9">
        <v>0</v>
      </c>
      <c r="C46" s="9">
        <v>0</v>
      </c>
      <c r="D46" s="9">
        <v>0</v>
      </c>
      <c r="E46" s="9">
        <v>0</v>
      </c>
      <c r="F46" s="9">
        <v>0</v>
      </c>
      <c r="G46" s="9">
        <v>0</v>
      </c>
      <c r="H46" s="9">
        <v>0</v>
      </c>
      <c r="I46" s="9">
        <v>0</v>
      </c>
      <c r="J46" s="9">
        <v>0</v>
      </c>
      <c r="K46" s="9">
        <v>0</v>
      </c>
      <c r="L46" s="9">
        <f>SUM(F46:K46)</f>
        <v>0</v>
      </c>
      <c r="M46" s="9">
        <v>0</v>
      </c>
      <c r="N46" s="9">
        <v>0</v>
      </c>
      <c r="O46" s="9">
        <f>SUM(M46:N46)</f>
        <v>0</v>
      </c>
      <c r="P46" s="9">
        <f>SUM(D46:E46,L46,O46)</f>
        <v>0</v>
      </c>
      <c r="Q46" s="9">
        <v>0</v>
      </c>
      <c r="R46" s="9">
        <v>0</v>
      </c>
      <c r="S46" s="9">
        <v>5243.2064014500002</v>
      </c>
      <c r="T46" s="9">
        <f>SUM(B46:C46,P46:S46)</f>
        <v>5243.2064014500002</v>
      </c>
    </row>
    <row r="47" spans="1:20" ht="10.5" x14ac:dyDescent="0.25">
      <c r="A47" s="10" t="s">
        <v>47</v>
      </c>
      <c r="B47" s="11">
        <f t="shared" ref="B47:T47" si="7">SUM(B46)</f>
        <v>0</v>
      </c>
      <c r="C47" s="11">
        <f t="shared" si="7"/>
        <v>0</v>
      </c>
      <c r="D47" s="11">
        <f t="shared" si="7"/>
        <v>0</v>
      </c>
      <c r="E47" s="11">
        <f t="shared" si="7"/>
        <v>0</v>
      </c>
      <c r="F47" s="11">
        <f t="shared" si="7"/>
        <v>0</v>
      </c>
      <c r="G47" s="11">
        <f t="shared" si="7"/>
        <v>0</v>
      </c>
      <c r="H47" s="11">
        <f t="shared" si="7"/>
        <v>0</v>
      </c>
      <c r="I47" s="11">
        <f t="shared" si="7"/>
        <v>0</v>
      </c>
      <c r="J47" s="11">
        <f t="shared" si="7"/>
        <v>0</v>
      </c>
      <c r="K47" s="11">
        <f t="shared" si="7"/>
        <v>0</v>
      </c>
      <c r="L47" s="11">
        <f t="shared" si="7"/>
        <v>0</v>
      </c>
      <c r="M47" s="11">
        <f t="shared" si="7"/>
        <v>0</v>
      </c>
      <c r="N47" s="11">
        <f t="shared" si="7"/>
        <v>0</v>
      </c>
      <c r="O47" s="11">
        <f t="shared" si="7"/>
        <v>0</v>
      </c>
      <c r="P47" s="11">
        <f t="shared" si="7"/>
        <v>0</v>
      </c>
      <c r="Q47" s="11">
        <f t="shared" si="7"/>
        <v>0</v>
      </c>
      <c r="R47" s="11">
        <f t="shared" si="7"/>
        <v>0</v>
      </c>
      <c r="S47" s="11">
        <f t="shared" si="7"/>
        <v>5243.2064014500002</v>
      </c>
      <c r="T47" s="11">
        <f t="shared" si="7"/>
        <v>5243.2064014500002</v>
      </c>
    </row>
    <row r="48" spans="1:20" ht="10.5" x14ac:dyDescent="0.25">
      <c r="A48" s="12" t="s">
        <v>48</v>
      </c>
      <c r="B48" s="11">
        <f t="shared" ref="B48:T48" si="8">SUM(B44,B47)</f>
        <v>0</v>
      </c>
      <c r="C48" s="11">
        <f t="shared" si="8"/>
        <v>0</v>
      </c>
      <c r="D48" s="11">
        <f t="shared" si="8"/>
        <v>-124333.9</v>
      </c>
      <c r="E48" s="11">
        <f t="shared" si="8"/>
        <v>-15924.661101540001</v>
      </c>
      <c r="F48" s="11">
        <f t="shared" si="8"/>
        <v>2026173.6607220999</v>
      </c>
      <c r="G48" s="11">
        <f t="shared" si="8"/>
        <v>0</v>
      </c>
      <c r="H48" s="11">
        <f t="shared" si="8"/>
        <v>106800.23858882117</v>
      </c>
      <c r="I48" s="11">
        <f t="shared" si="8"/>
        <v>0</v>
      </c>
      <c r="J48" s="11">
        <f t="shared" si="8"/>
        <v>0</v>
      </c>
      <c r="K48" s="11">
        <f t="shared" si="8"/>
        <v>0</v>
      </c>
      <c r="L48" s="11">
        <f t="shared" si="8"/>
        <v>2132973.8993109209</v>
      </c>
      <c r="M48" s="11">
        <f t="shared" si="8"/>
        <v>0</v>
      </c>
      <c r="N48" s="11">
        <f t="shared" si="8"/>
        <v>0</v>
      </c>
      <c r="O48" s="11">
        <f t="shared" si="8"/>
        <v>0</v>
      </c>
      <c r="P48" s="11">
        <f t="shared" si="8"/>
        <v>1992715.3382093813</v>
      </c>
      <c r="Q48" s="11">
        <f t="shared" si="8"/>
        <v>2.6994332999999999</v>
      </c>
      <c r="R48" s="11">
        <f t="shared" si="8"/>
        <v>0</v>
      </c>
      <c r="S48" s="11">
        <f t="shared" si="8"/>
        <v>5243.2064014500002</v>
      </c>
      <c r="T48" s="11">
        <f t="shared" si="8"/>
        <v>1997961.2440441316</v>
      </c>
    </row>
    <row r="49" spans="1:20" ht="10.5" x14ac:dyDescent="0.25">
      <c r="A49" s="6" t="s">
        <v>49</v>
      </c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</row>
    <row r="50" spans="1:20" ht="10.5" x14ac:dyDescent="0.25">
      <c r="A50" s="7" t="s">
        <v>50</v>
      </c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</row>
    <row r="51" spans="1:20" ht="10.5" x14ac:dyDescent="0.25">
      <c r="A51" s="13" t="s">
        <v>51</v>
      </c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</row>
    <row r="52" spans="1:20" x14ac:dyDescent="0.2">
      <c r="A52" s="14" t="s">
        <v>51</v>
      </c>
      <c r="B52" s="9">
        <v>0</v>
      </c>
      <c r="C52" s="9">
        <v>25000</v>
      </c>
      <c r="D52" s="9">
        <v>0</v>
      </c>
      <c r="E52" s="9">
        <v>560.16088299</v>
      </c>
      <c r="F52" s="9">
        <v>183302.56728660001</v>
      </c>
      <c r="G52" s="9">
        <v>0</v>
      </c>
      <c r="H52" s="9">
        <v>21277.252976187028</v>
      </c>
      <c r="I52" s="9">
        <v>0</v>
      </c>
      <c r="J52" s="9">
        <v>0</v>
      </c>
      <c r="K52" s="9">
        <v>34199.411433689878</v>
      </c>
      <c r="L52" s="9">
        <f>SUM(F52:K52)</f>
        <v>238779.23169647693</v>
      </c>
      <c r="M52" s="9">
        <v>0</v>
      </c>
      <c r="N52" s="9">
        <v>0</v>
      </c>
      <c r="O52" s="9">
        <f>SUM(M52:N52)</f>
        <v>0</v>
      </c>
      <c r="P52" s="9">
        <f>SUM(D52:E52,L52,O52)</f>
        <v>239339.39257946692</v>
      </c>
      <c r="Q52" s="9">
        <v>0.22589400000000001</v>
      </c>
      <c r="R52" s="9">
        <v>51420.732110099998</v>
      </c>
      <c r="S52" s="9">
        <v>0</v>
      </c>
      <c r="T52" s="9">
        <f>SUM(B52:C52,P52:S52)</f>
        <v>315760.35058356688</v>
      </c>
    </row>
    <row r="53" spans="1:20" x14ac:dyDescent="0.2">
      <c r="A53" s="14" t="s">
        <v>319</v>
      </c>
      <c r="B53" s="9">
        <v>0</v>
      </c>
      <c r="C53" s="9">
        <v>0</v>
      </c>
      <c r="D53" s="9">
        <v>0</v>
      </c>
      <c r="E53" s="9">
        <v>0</v>
      </c>
      <c r="F53" s="9">
        <v>0</v>
      </c>
      <c r="G53" s="9">
        <v>0</v>
      </c>
      <c r="H53" s="9">
        <v>0</v>
      </c>
      <c r="I53" s="9">
        <v>379.31885550240003</v>
      </c>
      <c r="J53" s="9">
        <v>0</v>
      </c>
      <c r="K53" s="9">
        <v>0</v>
      </c>
      <c r="L53" s="9">
        <f>SUM(F53:K53)</f>
        <v>379.31885550240003</v>
      </c>
      <c r="M53" s="9">
        <v>0</v>
      </c>
      <c r="N53" s="9">
        <v>0</v>
      </c>
      <c r="O53" s="9">
        <f>SUM(M53:N53)</f>
        <v>0</v>
      </c>
      <c r="P53" s="9">
        <f>SUM(D53:E53,L53,O53)</f>
        <v>379.31885550240003</v>
      </c>
      <c r="Q53" s="9">
        <v>0</v>
      </c>
      <c r="R53" s="9">
        <v>0</v>
      </c>
      <c r="S53" s="9">
        <v>0</v>
      </c>
      <c r="T53" s="9">
        <f>SUM(B53:C53,P53:S53)</f>
        <v>379.31885550240003</v>
      </c>
    </row>
    <row r="54" spans="1:20" x14ac:dyDescent="0.2">
      <c r="A54" s="14" t="s">
        <v>280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51.725298477599999</v>
      </c>
      <c r="J54" s="9">
        <v>0</v>
      </c>
      <c r="K54" s="9">
        <v>0</v>
      </c>
      <c r="L54" s="9">
        <f>SUM(F54:K54)</f>
        <v>51.725298477599999</v>
      </c>
      <c r="M54" s="9">
        <v>0</v>
      </c>
      <c r="N54" s="9">
        <v>0</v>
      </c>
      <c r="O54" s="9">
        <f>SUM(M54:N54)</f>
        <v>0</v>
      </c>
      <c r="P54" s="9">
        <f>SUM(D54:E54,L54,O54)</f>
        <v>51.725298477599999</v>
      </c>
      <c r="Q54" s="9">
        <v>0</v>
      </c>
      <c r="R54" s="9">
        <v>0</v>
      </c>
      <c r="S54" s="9">
        <v>0</v>
      </c>
      <c r="T54" s="9">
        <f>SUM(B54:C54,P54:S54)</f>
        <v>51.725298477599999</v>
      </c>
    </row>
    <row r="55" spans="1:20" x14ac:dyDescent="0.2">
      <c r="A55" s="14" t="s">
        <v>281</v>
      </c>
      <c r="B55" s="9">
        <v>0</v>
      </c>
      <c r="C55" s="9">
        <v>0</v>
      </c>
      <c r="D55" s="9">
        <v>0</v>
      </c>
      <c r="E55" s="9">
        <v>0</v>
      </c>
      <c r="F55" s="9">
        <v>0</v>
      </c>
      <c r="G55" s="9">
        <v>0</v>
      </c>
      <c r="H55" s="9">
        <v>0</v>
      </c>
      <c r="I55" s="9">
        <v>2633.9384073101878</v>
      </c>
      <c r="J55" s="9">
        <v>0</v>
      </c>
      <c r="K55" s="9">
        <v>0</v>
      </c>
      <c r="L55" s="9">
        <f>SUM(F55:K55)</f>
        <v>2633.9384073101878</v>
      </c>
      <c r="M55" s="9">
        <v>0</v>
      </c>
      <c r="N55" s="9">
        <v>0</v>
      </c>
      <c r="O55" s="9">
        <f>SUM(M55:N55)</f>
        <v>0</v>
      </c>
      <c r="P55" s="9">
        <f>SUM(D55:E55,L55,O55)</f>
        <v>2633.9384073101878</v>
      </c>
      <c r="Q55" s="9">
        <v>0</v>
      </c>
      <c r="R55" s="9">
        <v>0</v>
      </c>
      <c r="S55" s="9">
        <v>0</v>
      </c>
      <c r="T55" s="9">
        <f>SUM(B55:C55,P55:S55)</f>
        <v>2633.9384073101878</v>
      </c>
    </row>
    <row r="56" spans="1:20" ht="10.5" x14ac:dyDescent="0.25">
      <c r="A56" s="15" t="s">
        <v>249</v>
      </c>
      <c r="B56" s="11">
        <f t="shared" ref="B56:T56" si="9">SUM(B52:B55)</f>
        <v>0</v>
      </c>
      <c r="C56" s="11">
        <f t="shared" si="9"/>
        <v>25000</v>
      </c>
      <c r="D56" s="11">
        <f t="shared" si="9"/>
        <v>0</v>
      </c>
      <c r="E56" s="11">
        <f t="shared" si="9"/>
        <v>560.16088299</v>
      </c>
      <c r="F56" s="11">
        <f t="shared" si="9"/>
        <v>183302.56728660001</v>
      </c>
      <c r="G56" s="11">
        <f t="shared" si="9"/>
        <v>0</v>
      </c>
      <c r="H56" s="11">
        <f t="shared" si="9"/>
        <v>21277.252976187028</v>
      </c>
      <c r="I56" s="11">
        <f t="shared" si="9"/>
        <v>3064.9825612901877</v>
      </c>
      <c r="J56" s="11">
        <f t="shared" si="9"/>
        <v>0</v>
      </c>
      <c r="K56" s="11">
        <f t="shared" si="9"/>
        <v>34199.411433689878</v>
      </c>
      <c r="L56" s="11">
        <f t="shared" si="9"/>
        <v>241844.21425776713</v>
      </c>
      <c r="M56" s="11">
        <f t="shared" si="9"/>
        <v>0</v>
      </c>
      <c r="N56" s="11">
        <f t="shared" si="9"/>
        <v>0</v>
      </c>
      <c r="O56" s="11">
        <f t="shared" si="9"/>
        <v>0</v>
      </c>
      <c r="P56" s="11">
        <f t="shared" si="9"/>
        <v>242404.37514075713</v>
      </c>
      <c r="Q56" s="11">
        <f t="shared" si="9"/>
        <v>0.22589400000000001</v>
      </c>
      <c r="R56" s="11">
        <f t="shared" si="9"/>
        <v>51420.732110099998</v>
      </c>
      <c r="S56" s="11">
        <f t="shared" si="9"/>
        <v>0</v>
      </c>
      <c r="T56" s="11">
        <f t="shared" si="9"/>
        <v>318825.33314485708</v>
      </c>
    </row>
    <row r="57" spans="1:20" ht="10.5" x14ac:dyDescent="0.25">
      <c r="A57" s="10" t="s">
        <v>52</v>
      </c>
      <c r="B57" s="11">
        <f t="shared" ref="B57:T57" si="10">SUM(B56)</f>
        <v>0</v>
      </c>
      <c r="C57" s="11">
        <f t="shared" si="10"/>
        <v>25000</v>
      </c>
      <c r="D57" s="11">
        <f t="shared" si="10"/>
        <v>0</v>
      </c>
      <c r="E57" s="11">
        <f t="shared" si="10"/>
        <v>560.16088299</v>
      </c>
      <c r="F57" s="11">
        <f t="shared" si="10"/>
        <v>183302.56728660001</v>
      </c>
      <c r="G57" s="11">
        <f t="shared" si="10"/>
        <v>0</v>
      </c>
      <c r="H57" s="11">
        <f t="shared" si="10"/>
        <v>21277.252976187028</v>
      </c>
      <c r="I57" s="11">
        <f t="shared" si="10"/>
        <v>3064.9825612901877</v>
      </c>
      <c r="J57" s="11">
        <f t="shared" si="10"/>
        <v>0</v>
      </c>
      <c r="K57" s="11">
        <f t="shared" si="10"/>
        <v>34199.411433689878</v>
      </c>
      <c r="L57" s="11">
        <f t="shared" si="10"/>
        <v>241844.21425776713</v>
      </c>
      <c r="M57" s="11">
        <f t="shared" si="10"/>
        <v>0</v>
      </c>
      <c r="N57" s="11">
        <f t="shared" si="10"/>
        <v>0</v>
      </c>
      <c r="O57" s="11">
        <f t="shared" si="10"/>
        <v>0</v>
      </c>
      <c r="P57" s="11">
        <f t="shared" si="10"/>
        <v>242404.37514075713</v>
      </c>
      <c r="Q57" s="11">
        <f t="shared" si="10"/>
        <v>0.22589400000000001</v>
      </c>
      <c r="R57" s="11">
        <f t="shared" si="10"/>
        <v>51420.732110099998</v>
      </c>
      <c r="S57" s="11">
        <f t="shared" si="10"/>
        <v>0</v>
      </c>
      <c r="T57" s="11">
        <f t="shared" si="10"/>
        <v>318825.33314485708</v>
      </c>
    </row>
    <row r="58" spans="1:20" ht="10.5" x14ac:dyDescent="0.25">
      <c r="A58" s="7" t="s">
        <v>323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</row>
    <row r="59" spans="1:20" x14ac:dyDescent="0.2">
      <c r="A59" s="8" t="s">
        <v>324</v>
      </c>
      <c r="B59" s="9">
        <v>0</v>
      </c>
      <c r="C59" s="9">
        <v>0</v>
      </c>
      <c r="D59" s="9">
        <v>0</v>
      </c>
      <c r="E59" s="9">
        <v>0</v>
      </c>
      <c r="F59" s="9">
        <v>0</v>
      </c>
      <c r="G59" s="9">
        <v>0</v>
      </c>
      <c r="H59" s="9">
        <v>0</v>
      </c>
      <c r="I59" s="9">
        <v>3448.3532318399998</v>
      </c>
      <c r="J59" s="9">
        <v>0</v>
      </c>
      <c r="K59" s="9">
        <v>0</v>
      </c>
      <c r="L59" s="9">
        <f>SUM(F59:K59)</f>
        <v>3448.3532318399998</v>
      </c>
      <c r="M59" s="9">
        <v>0</v>
      </c>
      <c r="N59" s="9">
        <v>0</v>
      </c>
      <c r="O59" s="9">
        <f>SUM(M59:N59)</f>
        <v>0</v>
      </c>
      <c r="P59" s="9">
        <f>SUM(D59:E59,L59,O59)</f>
        <v>3448.3532318399998</v>
      </c>
      <c r="Q59" s="9">
        <v>0</v>
      </c>
      <c r="R59" s="9">
        <v>0</v>
      </c>
      <c r="S59" s="9">
        <v>0</v>
      </c>
      <c r="T59" s="9">
        <f>SUM(B59:C59,P59:S59)</f>
        <v>3448.3532318399998</v>
      </c>
    </row>
    <row r="60" spans="1:20" ht="10.5" x14ac:dyDescent="0.25">
      <c r="A60" s="10" t="s">
        <v>325</v>
      </c>
      <c r="B60" s="11">
        <f t="shared" ref="B60:T60" si="11">SUM(B59)</f>
        <v>0</v>
      </c>
      <c r="C60" s="11">
        <f t="shared" si="11"/>
        <v>0</v>
      </c>
      <c r="D60" s="11">
        <f t="shared" si="11"/>
        <v>0</v>
      </c>
      <c r="E60" s="11">
        <f t="shared" si="11"/>
        <v>0</v>
      </c>
      <c r="F60" s="11">
        <f t="shared" si="11"/>
        <v>0</v>
      </c>
      <c r="G60" s="11">
        <f t="shared" si="11"/>
        <v>0</v>
      </c>
      <c r="H60" s="11">
        <f t="shared" si="11"/>
        <v>0</v>
      </c>
      <c r="I60" s="11">
        <f t="shared" si="11"/>
        <v>3448.3532318399998</v>
      </c>
      <c r="J60" s="11">
        <f t="shared" si="11"/>
        <v>0</v>
      </c>
      <c r="K60" s="11">
        <f t="shared" si="11"/>
        <v>0</v>
      </c>
      <c r="L60" s="11">
        <f t="shared" si="11"/>
        <v>3448.3532318399998</v>
      </c>
      <c r="M60" s="11">
        <f t="shared" si="11"/>
        <v>0</v>
      </c>
      <c r="N60" s="11">
        <f t="shared" si="11"/>
        <v>0</v>
      </c>
      <c r="O60" s="11">
        <f t="shared" si="11"/>
        <v>0</v>
      </c>
      <c r="P60" s="11">
        <f t="shared" si="11"/>
        <v>3448.3532318399998</v>
      </c>
      <c r="Q60" s="11">
        <f t="shared" si="11"/>
        <v>0</v>
      </c>
      <c r="R60" s="11">
        <f t="shared" si="11"/>
        <v>0</v>
      </c>
      <c r="S60" s="11">
        <f t="shared" si="11"/>
        <v>0</v>
      </c>
      <c r="T60" s="11">
        <f t="shared" si="11"/>
        <v>3448.3532318399998</v>
      </c>
    </row>
    <row r="61" spans="1:20" ht="10.5" x14ac:dyDescent="0.25">
      <c r="A61" s="7" t="s">
        <v>53</v>
      </c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</row>
    <row r="62" spans="1:20" x14ac:dyDescent="0.2">
      <c r="A62" s="8" t="s">
        <v>54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1945.6250219999999</v>
      </c>
      <c r="H62" s="9">
        <v>0</v>
      </c>
      <c r="I62" s="9">
        <v>0</v>
      </c>
      <c r="J62" s="9">
        <v>0</v>
      </c>
      <c r="K62" s="9">
        <v>0</v>
      </c>
      <c r="L62" s="9">
        <f t="shared" ref="L62:L71" si="12">SUM(F62:K62)</f>
        <v>1945.6250219999999</v>
      </c>
      <c r="M62" s="9">
        <v>0</v>
      </c>
      <c r="N62" s="9">
        <v>0</v>
      </c>
      <c r="O62" s="9">
        <f t="shared" ref="O62:O71" si="13">SUM(M62:N62)</f>
        <v>0</v>
      </c>
      <c r="P62" s="9">
        <f t="shared" ref="P62:P71" si="14">SUM(D62:E62,L62,O62)</f>
        <v>1945.6250219999999</v>
      </c>
      <c r="Q62" s="9">
        <v>0</v>
      </c>
      <c r="R62" s="9">
        <v>0</v>
      </c>
      <c r="S62" s="9">
        <v>0</v>
      </c>
      <c r="T62" s="9">
        <f t="shared" ref="T62:T71" si="15">SUM(B62:C62,P62:S62)</f>
        <v>1945.6250219999999</v>
      </c>
    </row>
    <row r="63" spans="1:20" x14ac:dyDescent="0.2">
      <c r="A63" s="8" t="s">
        <v>55</v>
      </c>
      <c r="B63" s="9">
        <v>0</v>
      </c>
      <c r="C63" s="9">
        <v>0</v>
      </c>
      <c r="D63" s="9">
        <v>765246.2</v>
      </c>
      <c r="E63" s="9">
        <v>129.5326896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f t="shared" si="12"/>
        <v>0</v>
      </c>
      <c r="M63" s="9">
        <v>0</v>
      </c>
      <c r="N63" s="9">
        <v>0</v>
      </c>
      <c r="O63" s="9">
        <f t="shared" si="13"/>
        <v>0</v>
      </c>
      <c r="P63" s="9">
        <f t="shared" si="14"/>
        <v>765375.73268959997</v>
      </c>
      <c r="Q63" s="9">
        <v>0</v>
      </c>
      <c r="R63" s="9">
        <v>0</v>
      </c>
      <c r="S63" s="9">
        <v>0</v>
      </c>
      <c r="T63" s="9">
        <f t="shared" si="15"/>
        <v>765375.73268959997</v>
      </c>
    </row>
    <row r="64" spans="1:20" x14ac:dyDescent="0.2">
      <c r="A64" s="8" t="s">
        <v>56</v>
      </c>
      <c r="B64" s="9">
        <v>0</v>
      </c>
      <c r="C64" s="9">
        <v>0</v>
      </c>
      <c r="D64" s="9">
        <v>1149050.52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f t="shared" si="12"/>
        <v>0</v>
      </c>
      <c r="M64" s="9">
        <v>114.07647</v>
      </c>
      <c r="N64" s="9">
        <v>0</v>
      </c>
      <c r="O64" s="9">
        <f t="shared" si="13"/>
        <v>114.07647</v>
      </c>
      <c r="P64" s="9">
        <f t="shared" si="14"/>
        <v>1149164.59647</v>
      </c>
      <c r="Q64" s="9">
        <v>0</v>
      </c>
      <c r="R64" s="9">
        <v>0</v>
      </c>
      <c r="S64" s="9">
        <v>0</v>
      </c>
      <c r="T64" s="9">
        <f t="shared" si="15"/>
        <v>1149164.59647</v>
      </c>
    </row>
    <row r="65" spans="1:20" x14ac:dyDescent="0.2">
      <c r="A65" s="8" t="s">
        <v>57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f t="shared" si="12"/>
        <v>0</v>
      </c>
      <c r="M65" s="9">
        <v>114.07647</v>
      </c>
      <c r="N65" s="9">
        <v>0</v>
      </c>
      <c r="O65" s="9">
        <f t="shared" si="13"/>
        <v>114.07647</v>
      </c>
      <c r="P65" s="9">
        <f t="shared" si="14"/>
        <v>114.07647</v>
      </c>
      <c r="Q65" s="9">
        <v>0</v>
      </c>
      <c r="R65" s="9">
        <v>0</v>
      </c>
      <c r="S65" s="9">
        <v>0</v>
      </c>
      <c r="T65" s="9">
        <f t="shared" si="15"/>
        <v>114.07647</v>
      </c>
    </row>
    <row r="66" spans="1:20" x14ac:dyDescent="0.2">
      <c r="A66" s="8" t="s">
        <v>58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-19447.53896778851</v>
      </c>
      <c r="I66" s="9">
        <v>0</v>
      </c>
      <c r="J66" s="9">
        <v>0</v>
      </c>
      <c r="K66" s="9">
        <v>0</v>
      </c>
      <c r="L66" s="9">
        <f t="shared" si="12"/>
        <v>-19447.53896778851</v>
      </c>
      <c r="M66" s="9">
        <v>0</v>
      </c>
      <c r="N66" s="9">
        <v>0</v>
      </c>
      <c r="O66" s="9">
        <f t="shared" si="13"/>
        <v>0</v>
      </c>
      <c r="P66" s="9">
        <f t="shared" si="14"/>
        <v>-19447.53896778851</v>
      </c>
      <c r="Q66" s="9">
        <v>0</v>
      </c>
      <c r="R66" s="9">
        <v>0</v>
      </c>
      <c r="S66" s="9">
        <v>0</v>
      </c>
      <c r="T66" s="9">
        <f t="shared" si="15"/>
        <v>-19447.53896778851</v>
      </c>
    </row>
    <row r="67" spans="1:20" x14ac:dyDescent="0.2">
      <c r="A67" s="8" t="s">
        <v>59</v>
      </c>
      <c r="B67" s="9">
        <v>0</v>
      </c>
      <c r="C67" s="9">
        <v>0</v>
      </c>
      <c r="D67" s="9">
        <v>0</v>
      </c>
      <c r="E67" s="9">
        <v>0</v>
      </c>
      <c r="F67" s="9">
        <v>1008.4585842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f t="shared" si="12"/>
        <v>1008.4585842</v>
      </c>
      <c r="M67" s="9">
        <v>0</v>
      </c>
      <c r="N67" s="9">
        <v>0</v>
      </c>
      <c r="O67" s="9">
        <f t="shared" si="13"/>
        <v>0</v>
      </c>
      <c r="P67" s="9">
        <f t="shared" si="14"/>
        <v>1008.4585842</v>
      </c>
      <c r="Q67" s="9">
        <v>0</v>
      </c>
      <c r="R67" s="9">
        <v>0</v>
      </c>
      <c r="S67" s="9">
        <v>0</v>
      </c>
      <c r="T67" s="9">
        <f t="shared" si="15"/>
        <v>1008.4585842</v>
      </c>
    </row>
    <row r="68" spans="1:20" x14ac:dyDescent="0.2">
      <c r="A68" s="8" t="s">
        <v>60</v>
      </c>
      <c r="B68" s="9">
        <v>0</v>
      </c>
      <c r="C68" s="9">
        <v>0</v>
      </c>
      <c r="D68" s="9">
        <v>920375.62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f t="shared" si="12"/>
        <v>0</v>
      </c>
      <c r="M68" s="9">
        <v>0</v>
      </c>
      <c r="N68" s="9">
        <v>0</v>
      </c>
      <c r="O68" s="9">
        <f t="shared" si="13"/>
        <v>0</v>
      </c>
      <c r="P68" s="9">
        <f t="shared" si="14"/>
        <v>920375.62</v>
      </c>
      <c r="Q68" s="9">
        <v>0</v>
      </c>
      <c r="R68" s="9">
        <v>0</v>
      </c>
      <c r="S68" s="9">
        <v>0</v>
      </c>
      <c r="T68" s="9">
        <f t="shared" si="15"/>
        <v>920375.62</v>
      </c>
    </row>
    <row r="69" spans="1:20" x14ac:dyDescent="0.2">
      <c r="A69" s="8" t="s">
        <v>282</v>
      </c>
      <c r="B69" s="9">
        <v>0</v>
      </c>
      <c r="C69" s="9">
        <v>0</v>
      </c>
      <c r="D69" s="9">
        <v>-8250.84</v>
      </c>
      <c r="E69" s="9">
        <v>0</v>
      </c>
      <c r="F69" s="9">
        <v>0</v>
      </c>
      <c r="G69" s="9">
        <v>0</v>
      </c>
      <c r="H69" s="9">
        <v>0</v>
      </c>
      <c r="I69" s="9">
        <v>0</v>
      </c>
      <c r="J69" s="9">
        <v>0</v>
      </c>
      <c r="K69" s="9">
        <v>0</v>
      </c>
      <c r="L69" s="9">
        <f t="shared" si="12"/>
        <v>0</v>
      </c>
      <c r="M69" s="9">
        <v>0</v>
      </c>
      <c r="N69" s="9">
        <v>0</v>
      </c>
      <c r="O69" s="9">
        <f t="shared" si="13"/>
        <v>0</v>
      </c>
      <c r="P69" s="9">
        <f t="shared" si="14"/>
        <v>-8250.84</v>
      </c>
      <c r="Q69" s="9">
        <v>0</v>
      </c>
      <c r="R69" s="9">
        <v>0</v>
      </c>
      <c r="S69" s="9">
        <v>0</v>
      </c>
      <c r="T69" s="9">
        <f t="shared" si="15"/>
        <v>-8250.84</v>
      </c>
    </row>
    <row r="70" spans="1:20" x14ac:dyDescent="0.2">
      <c r="A70" s="8" t="s">
        <v>252</v>
      </c>
      <c r="B70" s="9">
        <v>0</v>
      </c>
      <c r="C70" s="9">
        <v>0</v>
      </c>
      <c r="D70" s="9">
        <v>0</v>
      </c>
      <c r="E70" s="9">
        <v>0</v>
      </c>
      <c r="F70" s="9">
        <v>2.2589399999999999</v>
      </c>
      <c r="G70" s="9">
        <v>0</v>
      </c>
      <c r="H70" s="9">
        <v>0</v>
      </c>
      <c r="I70" s="9">
        <v>0</v>
      </c>
      <c r="J70" s="9">
        <v>0</v>
      </c>
      <c r="K70" s="9">
        <v>0</v>
      </c>
      <c r="L70" s="9">
        <f t="shared" si="12"/>
        <v>2.2589399999999999</v>
      </c>
      <c r="M70" s="9">
        <v>0</v>
      </c>
      <c r="N70" s="9">
        <v>0</v>
      </c>
      <c r="O70" s="9">
        <f t="shared" si="13"/>
        <v>0</v>
      </c>
      <c r="P70" s="9">
        <f t="shared" si="14"/>
        <v>2.2589399999999999</v>
      </c>
      <c r="Q70" s="9">
        <v>0</v>
      </c>
      <c r="R70" s="9">
        <v>0</v>
      </c>
      <c r="S70" s="9">
        <v>0</v>
      </c>
      <c r="T70" s="9">
        <f t="shared" si="15"/>
        <v>2.2589399999999999</v>
      </c>
    </row>
    <row r="71" spans="1:20" x14ac:dyDescent="0.2">
      <c r="A71" s="8" t="s">
        <v>283</v>
      </c>
      <c r="B71" s="9">
        <v>0</v>
      </c>
      <c r="C71" s="9">
        <v>0</v>
      </c>
      <c r="D71" s="9">
        <v>24500</v>
      </c>
      <c r="E71" s="9">
        <v>0</v>
      </c>
      <c r="F71" s="9">
        <v>0</v>
      </c>
      <c r="G71" s="9">
        <v>0</v>
      </c>
      <c r="H71" s="9">
        <v>0</v>
      </c>
      <c r="I71" s="9">
        <v>0</v>
      </c>
      <c r="J71" s="9">
        <v>0</v>
      </c>
      <c r="K71" s="9">
        <v>0</v>
      </c>
      <c r="L71" s="9">
        <f t="shared" si="12"/>
        <v>0</v>
      </c>
      <c r="M71" s="9">
        <v>0</v>
      </c>
      <c r="N71" s="9">
        <v>0</v>
      </c>
      <c r="O71" s="9">
        <f t="shared" si="13"/>
        <v>0</v>
      </c>
      <c r="P71" s="9">
        <f t="shared" si="14"/>
        <v>24500</v>
      </c>
      <c r="Q71" s="9">
        <v>0</v>
      </c>
      <c r="R71" s="9">
        <v>0</v>
      </c>
      <c r="S71" s="9">
        <v>0</v>
      </c>
      <c r="T71" s="9">
        <f t="shared" si="15"/>
        <v>24500</v>
      </c>
    </row>
    <row r="72" spans="1:20" ht="10.5" x14ac:dyDescent="0.25">
      <c r="A72" s="10" t="s">
        <v>61</v>
      </c>
      <c r="B72" s="11">
        <f t="shared" ref="B72:T72" si="16">SUM(B62:B71)</f>
        <v>0</v>
      </c>
      <c r="C72" s="11">
        <f t="shared" si="16"/>
        <v>0</v>
      </c>
      <c r="D72" s="11">
        <f t="shared" si="16"/>
        <v>2850921.5</v>
      </c>
      <c r="E72" s="11">
        <f t="shared" si="16"/>
        <v>129.5326896</v>
      </c>
      <c r="F72" s="11">
        <f t="shared" si="16"/>
        <v>1010.7175242000001</v>
      </c>
      <c r="G72" s="11">
        <f t="shared" si="16"/>
        <v>1945.6250219999999</v>
      </c>
      <c r="H72" s="11">
        <f t="shared" si="16"/>
        <v>-19447.53896778851</v>
      </c>
      <c r="I72" s="11">
        <f t="shared" si="16"/>
        <v>0</v>
      </c>
      <c r="J72" s="11">
        <f t="shared" si="16"/>
        <v>0</v>
      </c>
      <c r="K72" s="11">
        <f t="shared" si="16"/>
        <v>0</v>
      </c>
      <c r="L72" s="11">
        <f t="shared" si="16"/>
        <v>-16491.196421588509</v>
      </c>
      <c r="M72" s="11">
        <f t="shared" si="16"/>
        <v>228.15294</v>
      </c>
      <c r="N72" s="11">
        <f t="shared" si="16"/>
        <v>0</v>
      </c>
      <c r="O72" s="11">
        <f t="shared" si="16"/>
        <v>228.15294</v>
      </c>
      <c r="P72" s="11">
        <f t="shared" si="16"/>
        <v>2834787.9892080114</v>
      </c>
      <c r="Q72" s="11">
        <f t="shared" si="16"/>
        <v>0</v>
      </c>
      <c r="R72" s="11">
        <f t="shared" si="16"/>
        <v>0</v>
      </c>
      <c r="S72" s="11">
        <f t="shared" si="16"/>
        <v>0</v>
      </c>
      <c r="T72" s="11">
        <f t="shared" si="16"/>
        <v>2834787.9892080114</v>
      </c>
    </row>
    <row r="73" spans="1:20" ht="10.5" x14ac:dyDescent="0.25">
      <c r="A73" s="7" t="s">
        <v>62</v>
      </c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</row>
    <row r="74" spans="1:20" x14ac:dyDescent="0.2">
      <c r="A74" s="8" t="s">
        <v>63</v>
      </c>
      <c r="B74" s="9">
        <v>0</v>
      </c>
      <c r="C74" s="9">
        <v>96931.34</v>
      </c>
      <c r="D74" s="9">
        <v>0</v>
      </c>
      <c r="E74" s="9">
        <v>0</v>
      </c>
      <c r="F74" s="9">
        <v>868615.26660660002</v>
      </c>
      <c r="G74" s="9">
        <v>0</v>
      </c>
      <c r="H74" s="9">
        <v>110804.20815178029</v>
      </c>
      <c r="I74" s="9">
        <v>0</v>
      </c>
      <c r="J74" s="9">
        <v>-6383.8547976</v>
      </c>
      <c r="K74" s="9">
        <v>0</v>
      </c>
      <c r="L74" s="9">
        <f t="shared" ref="L74:L80" si="17">SUM(F74:K74)</f>
        <v>973035.61996078037</v>
      </c>
      <c r="M74" s="9">
        <v>0</v>
      </c>
      <c r="N74" s="9">
        <v>0</v>
      </c>
      <c r="O74" s="9">
        <f t="shared" ref="O74:O80" si="18">SUM(M74:N74)</f>
        <v>0</v>
      </c>
      <c r="P74" s="9">
        <f t="shared" ref="P74:P80" si="19">SUM(D74:E74,L74,O74)</f>
        <v>973035.61996078037</v>
      </c>
      <c r="Q74" s="9">
        <v>170245.28417279999</v>
      </c>
      <c r="R74" s="9">
        <v>0</v>
      </c>
      <c r="S74" s="9">
        <v>0</v>
      </c>
      <c r="T74" s="9">
        <f t="shared" ref="T74:T80" si="20">SUM(B74:C74,P74:S74)</f>
        <v>1240212.2441335802</v>
      </c>
    </row>
    <row r="75" spans="1:20" x14ac:dyDescent="0.2">
      <c r="A75" s="8" t="s">
        <v>284</v>
      </c>
      <c r="B75" s="9">
        <v>0</v>
      </c>
      <c r="C75" s="9">
        <v>0</v>
      </c>
      <c r="D75" s="9">
        <v>0</v>
      </c>
      <c r="E75" s="9">
        <v>0</v>
      </c>
      <c r="F75" s="9">
        <v>0</v>
      </c>
      <c r="G75" s="9">
        <v>0</v>
      </c>
      <c r="H75" s="9">
        <v>65304.290917003047</v>
      </c>
      <c r="I75" s="9">
        <v>0</v>
      </c>
      <c r="J75" s="9">
        <v>0</v>
      </c>
      <c r="K75" s="9">
        <v>0</v>
      </c>
      <c r="L75" s="9">
        <f t="shared" si="17"/>
        <v>65304.290917003047</v>
      </c>
      <c r="M75" s="9">
        <v>0</v>
      </c>
      <c r="N75" s="9">
        <v>0</v>
      </c>
      <c r="O75" s="9">
        <f t="shared" si="18"/>
        <v>0</v>
      </c>
      <c r="P75" s="9">
        <f t="shared" si="19"/>
        <v>65304.290917003047</v>
      </c>
      <c r="Q75" s="9">
        <v>0</v>
      </c>
      <c r="R75" s="9">
        <v>0</v>
      </c>
      <c r="S75" s="9">
        <v>0</v>
      </c>
      <c r="T75" s="9">
        <f t="shared" si="20"/>
        <v>65304.290917003047</v>
      </c>
    </row>
    <row r="76" spans="1:20" x14ac:dyDescent="0.2">
      <c r="A76" s="8" t="s">
        <v>64</v>
      </c>
      <c r="B76" s="9">
        <v>0</v>
      </c>
      <c r="C76" s="9">
        <v>0</v>
      </c>
      <c r="D76" s="9">
        <v>0</v>
      </c>
      <c r="E76" s="9">
        <v>0</v>
      </c>
      <c r="F76" s="9">
        <v>1526650.2601983</v>
      </c>
      <c r="G76" s="9">
        <v>0</v>
      </c>
      <c r="H76" s="9">
        <v>122741.59810018295</v>
      </c>
      <c r="I76" s="9">
        <v>145042.20254862565</v>
      </c>
      <c r="J76" s="9">
        <v>-10800.3874545</v>
      </c>
      <c r="K76" s="9">
        <v>0</v>
      </c>
      <c r="L76" s="9">
        <f t="shared" si="17"/>
        <v>1783633.6733926085</v>
      </c>
      <c r="M76" s="9">
        <v>0</v>
      </c>
      <c r="N76" s="9">
        <v>0</v>
      </c>
      <c r="O76" s="9">
        <f t="shared" si="18"/>
        <v>0</v>
      </c>
      <c r="P76" s="9">
        <f t="shared" si="19"/>
        <v>1783633.6733926085</v>
      </c>
      <c r="Q76" s="9">
        <v>0</v>
      </c>
      <c r="R76" s="9">
        <v>0</v>
      </c>
      <c r="S76" s="9">
        <v>0</v>
      </c>
      <c r="T76" s="9">
        <f t="shared" si="20"/>
        <v>1783633.6733926085</v>
      </c>
    </row>
    <row r="77" spans="1:20" x14ac:dyDescent="0.2">
      <c r="A77" s="8" t="s">
        <v>65</v>
      </c>
      <c r="B77" s="9">
        <v>0</v>
      </c>
      <c r="C77" s="9">
        <v>0</v>
      </c>
      <c r="D77" s="9">
        <v>0</v>
      </c>
      <c r="E77" s="9">
        <v>0</v>
      </c>
      <c r="F77" s="9">
        <v>611753.87605049997</v>
      </c>
      <c r="G77" s="9">
        <v>0</v>
      </c>
      <c r="H77" s="9">
        <v>0</v>
      </c>
      <c r="I77" s="9">
        <v>0</v>
      </c>
      <c r="J77" s="9">
        <v>0</v>
      </c>
      <c r="K77" s="9">
        <v>0</v>
      </c>
      <c r="L77" s="9">
        <f t="shared" si="17"/>
        <v>611753.87605049997</v>
      </c>
      <c r="M77" s="9">
        <v>0</v>
      </c>
      <c r="N77" s="9">
        <v>0</v>
      </c>
      <c r="O77" s="9">
        <f t="shared" si="18"/>
        <v>0</v>
      </c>
      <c r="P77" s="9">
        <f t="shared" si="19"/>
        <v>611753.87605049997</v>
      </c>
      <c r="Q77" s="9">
        <v>0</v>
      </c>
      <c r="R77" s="9">
        <v>0</v>
      </c>
      <c r="S77" s="9">
        <v>0</v>
      </c>
      <c r="T77" s="9">
        <f t="shared" si="20"/>
        <v>611753.87605049997</v>
      </c>
    </row>
    <row r="78" spans="1:20" x14ac:dyDescent="0.2">
      <c r="A78" s="8" t="s">
        <v>66</v>
      </c>
      <c r="B78" s="9">
        <v>0</v>
      </c>
      <c r="C78" s="9">
        <v>0</v>
      </c>
      <c r="D78" s="9">
        <v>0</v>
      </c>
      <c r="E78" s="9">
        <v>0</v>
      </c>
      <c r="F78" s="9">
        <v>245007.19629689999</v>
      </c>
      <c r="G78" s="9">
        <v>0</v>
      </c>
      <c r="H78" s="9">
        <v>0</v>
      </c>
      <c r="I78" s="9">
        <v>0</v>
      </c>
      <c r="J78" s="9">
        <v>0</v>
      </c>
      <c r="K78" s="9">
        <v>0</v>
      </c>
      <c r="L78" s="9">
        <f t="shared" si="17"/>
        <v>245007.19629689999</v>
      </c>
      <c r="M78" s="9">
        <v>0</v>
      </c>
      <c r="N78" s="9">
        <v>0</v>
      </c>
      <c r="O78" s="9">
        <f t="shared" si="18"/>
        <v>0</v>
      </c>
      <c r="P78" s="9">
        <f t="shared" si="19"/>
        <v>245007.19629689999</v>
      </c>
      <c r="Q78" s="9">
        <v>0</v>
      </c>
      <c r="R78" s="9">
        <v>0</v>
      </c>
      <c r="S78" s="9">
        <v>0</v>
      </c>
      <c r="T78" s="9">
        <f t="shared" si="20"/>
        <v>245007.19629689999</v>
      </c>
    </row>
    <row r="79" spans="1:20" x14ac:dyDescent="0.2">
      <c r="A79" s="8" t="s">
        <v>67</v>
      </c>
      <c r="B79" s="9">
        <v>0</v>
      </c>
      <c r="C79" s="9">
        <v>903.95</v>
      </c>
      <c r="D79" s="9">
        <v>0</v>
      </c>
      <c r="E79" s="9">
        <v>0</v>
      </c>
      <c r="F79" s="9">
        <v>64940.7638649</v>
      </c>
      <c r="G79" s="9">
        <v>0</v>
      </c>
      <c r="H79" s="9">
        <v>3281.31360377385</v>
      </c>
      <c r="I79" s="9">
        <v>0</v>
      </c>
      <c r="J79" s="9">
        <v>0</v>
      </c>
      <c r="K79" s="9">
        <v>0</v>
      </c>
      <c r="L79" s="9">
        <f t="shared" si="17"/>
        <v>68222.077468673844</v>
      </c>
      <c r="M79" s="9">
        <v>0</v>
      </c>
      <c r="N79" s="9">
        <v>0</v>
      </c>
      <c r="O79" s="9">
        <f t="shared" si="18"/>
        <v>0</v>
      </c>
      <c r="P79" s="9">
        <f t="shared" si="19"/>
        <v>68222.077468673844</v>
      </c>
      <c r="Q79" s="9">
        <v>0</v>
      </c>
      <c r="R79" s="9">
        <v>0</v>
      </c>
      <c r="S79" s="9">
        <v>0</v>
      </c>
      <c r="T79" s="9">
        <f t="shared" si="20"/>
        <v>69126.027468673841</v>
      </c>
    </row>
    <row r="80" spans="1:20" x14ac:dyDescent="0.2">
      <c r="A80" s="8" t="s">
        <v>253</v>
      </c>
      <c r="B80" s="9">
        <v>0</v>
      </c>
      <c r="C80" s="9">
        <v>0</v>
      </c>
      <c r="D80" s="9">
        <v>0</v>
      </c>
      <c r="E80" s="9">
        <v>0</v>
      </c>
      <c r="F80" s="9">
        <v>-43829.083350000001</v>
      </c>
      <c r="G80" s="9">
        <v>0</v>
      </c>
      <c r="H80" s="9">
        <v>0</v>
      </c>
      <c r="I80" s="9">
        <v>0</v>
      </c>
      <c r="J80" s="9">
        <v>0</v>
      </c>
      <c r="K80" s="9">
        <v>0</v>
      </c>
      <c r="L80" s="9">
        <f t="shared" si="17"/>
        <v>-43829.083350000001</v>
      </c>
      <c r="M80" s="9">
        <v>0</v>
      </c>
      <c r="N80" s="9">
        <v>0</v>
      </c>
      <c r="O80" s="9">
        <f t="shared" si="18"/>
        <v>0</v>
      </c>
      <c r="P80" s="9">
        <f t="shared" si="19"/>
        <v>-43829.083350000001</v>
      </c>
      <c r="Q80" s="9">
        <v>0</v>
      </c>
      <c r="R80" s="9">
        <v>0</v>
      </c>
      <c r="S80" s="9">
        <v>0</v>
      </c>
      <c r="T80" s="9">
        <f t="shared" si="20"/>
        <v>-43829.083350000001</v>
      </c>
    </row>
    <row r="81" spans="1:20" ht="10.5" x14ac:dyDescent="0.25">
      <c r="A81" s="10" t="s">
        <v>68</v>
      </c>
      <c r="B81" s="11">
        <f t="shared" ref="B81:T81" si="21">SUM(B74:B80)</f>
        <v>0</v>
      </c>
      <c r="C81" s="11">
        <f t="shared" si="21"/>
        <v>97835.29</v>
      </c>
      <c r="D81" s="11">
        <f t="shared" si="21"/>
        <v>0</v>
      </c>
      <c r="E81" s="11">
        <f t="shared" si="21"/>
        <v>0</v>
      </c>
      <c r="F81" s="11">
        <f t="shared" si="21"/>
        <v>3273138.2796672001</v>
      </c>
      <c r="G81" s="11">
        <f t="shared" si="21"/>
        <v>0</v>
      </c>
      <c r="H81" s="11">
        <f t="shared" si="21"/>
        <v>302131.41077274014</v>
      </c>
      <c r="I81" s="11">
        <f t="shared" si="21"/>
        <v>145042.20254862565</v>
      </c>
      <c r="J81" s="11">
        <f t="shared" si="21"/>
        <v>-17184.242252100001</v>
      </c>
      <c r="K81" s="11">
        <f t="shared" si="21"/>
        <v>0</v>
      </c>
      <c r="L81" s="11">
        <f t="shared" si="21"/>
        <v>3703127.6507364656</v>
      </c>
      <c r="M81" s="11">
        <f t="shared" si="21"/>
        <v>0</v>
      </c>
      <c r="N81" s="11">
        <f t="shared" si="21"/>
        <v>0</v>
      </c>
      <c r="O81" s="11">
        <f t="shared" si="21"/>
        <v>0</v>
      </c>
      <c r="P81" s="11">
        <f t="shared" si="21"/>
        <v>3703127.6507364656</v>
      </c>
      <c r="Q81" s="11">
        <f t="shared" si="21"/>
        <v>170245.28417279999</v>
      </c>
      <c r="R81" s="11">
        <f t="shared" si="21"/>
        <v>0</v>
      </c>
      <c r="S81" s="11">
        <f t="shared" si="21"/>
        <v>0</v>
      </c>
      <c r="T81" s="11">
        <f t="shared" si="21"/>
        <v>3971208.224909266</v>
      </c>
    </row>
    <row r="82" spans="1:20" ht="10.5" x14ac:dyDescent="0.25">
      <c r="A82" s="7" t="s">
        <v>69</v>
      </c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</row>
    <row r="83" spans="1:20" x14ac:dyDescent="0.2">
      <c r="A83" s="8" t="s">
        <v>70</v>
      </c>
      <c r="B83" s="9">
        <v>0</v>
      </c>
      <c r="C83" s="9">
        <v>0</v>
      </c>
      <c r="D83" s="9">
        <v>0</v>
      </c>
      <c r="E83" s="9">
        <v>0</v>
      </c>
      <c r="F83" s="9">
        <v>0</v>
      </c>
      <c r="G83" s="9">
        <v>0</v>
      </c>
      <c r="H83" s="9">
        <v>0</v>
      </c>
      <c r="I83" s="9">
        <v>0</v>
      </c>
      <c r="J83" s="9">
        <v>0</v>
      </c>
      <c r="K83" s="9">
        <v>0</v>
      </c>
      <c r="L83" s="9">
        <f>SUM(F83:K83)</f>
        <v>0</v>
      </c>
      <c r="M83" s="9">
        <v>0</v>
      </c>
      <c r="N83" s="9">
        <v>0</v>
      </c>
      <c r="O83" s="9">
        <f>SUM(M83:N83)</f>
        <v>0</v>
      </c>
      <c r="P83" s="9">
        <f>SUM(D83:E83,L83,O83)</f>
        <v>0</v>
      </c>
      <c r="Q83" s="9">
        <v>0</v>
      </c>
      <c r="R83" s="9">
        <v>3807.7973999999999</v>
      </c>
      <c r="S83" s="9">
        <v>0</v>
      </c>
      <c r="T83" s="9">
        <f>SUM(B83:C83,P83:S83)</f>
        <v>3807.7973999999999</v>
      </c>
    </row>
    <row r="84" spans="1:20" ht="10.5" x14ac:dyDescent="0.25">
      <c r="A84" s="10" t="s">
        <v>71</v>
      </c>
      <c r="B84" s="11">
        <f t="shared" ref="B84:T84" si="22">SUM(B83)</f>
        <v>0</v>
      </c>
      <c r="C84" s="11">
        <f t="shared" si="22"/>
        <v>0</v>
      </c>
      <c r="D84" s="11">
        <f t="shared" si="22"/>
        <v>0</v>
      </c>
      <c r="E84" s="11">
        <f t="shared" si="22"/>
        <v>0</v>
      </c>
      <c r="F84" s="11">
        <f t="shared" si="22"/>
        <v>0</v>
      </c>
      <c r="G84" s="11">
        <f t="shared" si="22"/>
        <v>0</v>
      </c>
      <c r="H84" s="11">
        <f t="shared" si="22"/>
        <v>0</v>
      </c>
      <c r="I84" s="11">
        <f t="shared" si="22"/>
        <v>0</v>
      </c>
      <c r="J84" s="11">
        <f t="shared" si="22"/>
        <v>0</v>
      </c>
      <c r="K84" s="11">
        <f t="shared" si="22"/>
        <v>0</v>
      </c>
      <c r="L84" s="11">
        <f t="shared" si="22"/>
        <v>0</v>
      </c>
      <c r="M84" s="11">
        <f t="shared" si="22"/>
        <v>0</v>
      </c>
      <c r="N84" s="11">
        <f t="shared" si="22"/>
        <v>0</v>
      </c>
      <c r="O84" s="11">
        <f t="shared" si="22"/>
        <v>0</v>
      </c>
      <c r="P84" s="11">
        <f t="shared" si="22"/>
        <v>0</v>
      </c>
      <c r="Q84" s="11">
        <f t="shared" si="22"/>
        <v>0</v>
      </c>
      <c r="R84" s="11">
        <f t="shared" si="22"/>
        <v>3807.7973999999999</v>
      </c>
      <c r="S84" s="11">
        <f t="shared" si="22"/>
        <v>0</v>
      </c>
      <c r="T84" s="11">
        <f t="shared" si="22"/>
        <v>3807.7973999999999</v>
      </c>
    </row>
    <row r="85" spans="1:20" x14ac:dyDescent="0.2">
      <c r="A85" s="16" t="s">
        <v>72</v>
      </c>
      <c r="B85" s="9">
        <v>0</v>
      </c>
      <c r="C85" s="9">
        <v>0</v>
      </c>
      <c r="D85" s="9">
        <v>0</v>
      </c>
      <c r="E85" s="9">
        <v>0</v>
      </c>
      <c r="F85" s="9">
        <v>30571.36449</v>
      </c>
      <c r="G85" s="9">
        <v>1423.2225576000001</v>
      </c>
      <c r="H85" s="9">
        <v>0</v>
      </c>
      <c r="I85" s="9">
        <v>0</v>
      </c>
      <c r="J85" s="9">
        <v>50.656729499999997</v>
      </c>
      <c r="K85" s="9">
        <v>0</v>
      </c>
      <c r="L85" s="9">
        <f>SUM(F85:K85)</f>
        <v>32045.243777099997</v>
      </c>
      <c r="M85" s="9">
        <v>0</v>
      </c>
      <c r="N85" s="9">
        <v>0</v>
      </c>
      <c r="O85" s="9">
        <f>SUM(M85:N85)</f>
        <v>0</v>
      </c>
      <c r="P85" s="9">
        <f>SUM(D85:E85,L85,O85)</f>
        <v>32045.243777099997</v>
      </c>
      <c r="Q85" s="9">
        <v>1124.8956465000001</v>
      </c>
      <c r="R85" s="9">
        <v>0</v>
      </c>
      <c r="S85" s="9">
        <v>0</v>
      </c>
      <c r="T85" s="9">
        <f>SUM(B85:C85,P85:S85)</f>
        <v>33170.139423599998</v>
      </c>
    </row>
    <row r="86" spans="1:20" x14ac:dyDescent="0.2">
      <c r="A86" s="16" t="s">
        <v>73</v>
      </c>
      <c r="B86" s="9">
        <v>0</v>
      </c>
      <c r="C86" s="9">
        <v>0</v>
      </c>
      <c r="D86" s="9">
        <v>0</v>
      </c>
      <c r="E86" s="9">
        <v>0</v>
      </c>
      <c r="F86" s="9">
        <v>0</v>
      </c>
      <c r="G86" s="9">
        <v>0</v>
      </c>
      <c r="H86" s="9">
        <v>29040.98567334898</v>
      </c>
      <c r="I86" s="9">
        <v>0</v>
      </c>
      <c r="J86" s="9">
        <v>0</v>
      </c>
      <c r="K86" s="9">
        <v>0</v>
      </c>
      <c r="L86" s="9">
        <f>SUM(F86:K86)</f>
        <v>29040.98567334898</v>
      </c>
      <c r="M86" s="9">
        <v>0</v>
      </c>
      <c r="N86" s="9">
        <v>0</v>
      </c>
      <c r="O86" s="9">
        <f>SUM(M86:N86)</f>
        <v>0</v>
      </c>
      <c r="P86" s="9">
        <f>SUM(D86:E86,L86,O86)</f>
        <v>29040.98567334898</v>
      </c>
      <c r="Q86" s="9">
        <v>0</v>
      </c>
      <c r="R86" s="9">
        <v>0</v>
      </c>
      <c r="S86" s="9">
        <v>0</v>
      </c>
      <c r="T86" s="9">
        <f>SUM(B86:C86,P86:S86)</f>
        <v>29040.98567334898</v>
      </c>
    </row>
    <row r="87" spans="1:20" x14ac:dyDescent="0.2">
      <c r="A87" s="16" t="s">
        <v>74</v>
      </c>
      <c r="B87" s="9">
        <v>0</v>
      </c>
      <c r="C87" s="9">
        <v>0</v>
      </c>
      <c r="D87" s="9">
        <v>0</v>
      </c>
      <c r="E87" s="9">
        <v>0</v>
      </c>
      <c r="F87" s="9">
        <v>-9952.4830308000001</v>
      </c>
      <c r="G87" s="9">
        <v>0</v>
      </c>
      <c r="H87" s="9">
        <v>10171.261792154011</v>
      </c>
      <c r="I87" s="9">
        <v>0</v>
      </c>
      <c r="J87" s="9">
        <v>0</v>
      </c>
      <c r="K87" s="9">
        <v>0</v>
      </c>
      <c r="L87" s="9">
        <f>SUM(F87:K87)</f>
        <v>218.77876135401129</v>
      </c>
      <c r="M87" s="9">
        <v>0</v>
      </c>
      <c r="N87" s="9">
        <v>0</v>
      </c>
      <c r="O87" s="9">
        <f>SUM(M87:N87)</f>
        <v>0</v>
      </c>
      <c r="P87" s="9">
        <f>SUM(D87:E87,L87,O87)</f>
        <v>218.77876135401129</v>
      </c>
      <c r="Q87" s="9">
        <v>0</v>
      </c>
      <c r="R87" s="9">
        <v>0</v>
      </c>
      <c r="S87" s="9">
        <v>0</v>
      </c>
      <c r="T87" s="9">
        <f>SUM(B87:C87,P87:S87)</f>
        <v>218.77876135401129</v>
      </c>
    </row>
    <row r="88" spans="1:20" ht="10.5" x14ac:dyDescent="0.25">
      <c r="A88" s="12" t="s">
        <v>75</v>
      </c>
      <c r="B88" s="11">
        <f t="shared" ref="B88:T88" si="23">SUM(B57,B60,B72,B81,B84:B87)</f>
        <v>0</v>
      </c>
      <c r="C88" s="11">
        <f t="shared" si="23"/>
        <v>122835.29</v>
      </c>
      <c r="D88" s="11">
        <f t="shared" si="23"/>
        <v>2850921.5</v>
      </c>
      <c r="E88" s="11">
        <f t="shared" si="23"/>
        <v>689.69357259000003</v>
      </c>
      <c r="F88" s="11">
        <f t="shared" si="23"/>
        <v>3478070.4459372004</v>
      </c>
      <c r="G88" s="11">
        <f t="shared" si="23"/>
        <v>3368.8475796000002</v>
      </c>
      <c r="H88" s="11">
        <f t="shared" si="23"/>
        <v>343173.37224664167</v>
      </c>
      <c r="I88" s="11">
        <f t="shared" si="23"/>
        <v>151555.53834175583</v>
      </c>
      <c r="J88" s="11">
        <f t="shared" si="23"/>
        <v>-17133.585522600002</v>
      </c>
      <c r="K88" s="11">
        <f t="shared" si="23"/>
        <v>34199.411433689878</v>
      </c>
      <c r="L88" s="11">
        <f t="shared" si="23"/>
        <v>3993234.0300162868</v>
      </c>
      <c r="M88" s="11">
        <f t="shared" si="23"/>
        <v>228.15294</v>
      </c>
      <c r="N88" s="11">
        <f t="shared" si="23"/>
        <v>0</v>
      </c>
      <c r="O88" s="11">
        <f t="shared" si="23"/>
        <v>228.15294</v>
      </c>
      <c r="P88" s="11">
        <f t="shared" si="23"/>
        <v>6845073.3765288778</v>
      </c>
      <c r="Q88" s="11">
        <f t="shared" si="23"/>
        <v>171370.40571329999</v>
      </c>
      <c r="R88" s="11">
        <f t="shared" si="23"/>
        <v>55228.529510100001</v>
      </c>
      <c r="S88" s="11">
        <f t="shared" si="23"/>
        <v>0</v>
      </c>
      <c r="T88" s="11">
        <f t="shared" si="23"/>
        <v>7194507.6017522775</v>
      </c>
    </row>
    <row r="89" spans="1:20" ht="10.5" x14ac:dyDescent="0.2">
      <c r="A89" s="17" t="s">
        <v>76</v>
      </c>
      <c r="B89" s="18">
        <f t="shared" ref="B89:T89" si="24">B38+B48+0+B88</f>
        <v>0</v>
      </c>
      <c r="C89" s="18">
        <f t="shared" si="24"/>
        <v>126330.9</v>
      </c>
      <c r="D89" s="18">
        <f t="shared" si="24"/>
        <v>3330180</v>
      </c>
      <c r="E89" s="18">
        <f t="shared" si="24"/>
        <v>-15234.967528950001</v>
      </c>
      <c r="F89" s="18">
        <f t="shared" si="24"/>
        <v>5047485.0720006004</v>
      </c>
      <c r="G89" s="18">
        <f t="shared" si="24"/>
        <v>-10999.208058599999</v>
      </c>
      <c r="H89" s="18">
        <f t="shared" si="24"/>
        <v>453078.94907395029</v>
      </c>
      <c r="I89" s="18">
        <f t="shared" si="24"/>
        <v>173355.12228072496</v>
      </c>
      <c r="J89" s="18">
        <f t="shared" si="24"/>
        <v>-16110.658427700002</v>
      </c>
      <c r="K89" s="18">
        <f t="shared" si="24"/>
        <v>37226.132382755757</v>
      </c>
      <c r="L89" s="18">
        <f t="shared" si="24"/>
        <v>5684035.40925173</v>
      </c>
      <c r="M89" s="18">
        <f t="shared" si="24"/>
        <v>228.15294</v>
      </c>
      <c r="N89" s="18">
        <f t="shared" si="24"/>
        <v>0</v>
      </c>
      <c r="O89" s="18">
        <f t="shared" si="24"/>
        <v>228.15294</v>
      </c>
      <c r="P89" s="18">
        <f t="shared" si="24"/>
        <v>8999208.5946627818</v>
      </c>
      <c r="Q89" s="18">
        <f t="shared" si="24"/>
        <v>173826.0880926</v>
      </c>
      <c r="R89" s="18">
        <f t="shared" si="24"/>
        <v>56630.810694510001</v>
      </c>
      <c r="S89" s="18">
        <f t="shared" si="24"/>
        <v>7689.9359806800003</v>
      </c>
      <c r="T89" s="18">
        <f t="shared" si="24"/>
        <v>9363686.3294305708</v>
      </c>
    </row>
    <row r="90" spans="1:20" ht="10.5" x14ac:dyDescent="0.2">
      <c r="A90" s="4" t="s">
        <v>77</v>
      </c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</row>
    <row r="91" spans="1:20" ht="10.5" x14ac:dyDescent="0.25">
      <c r="A91" s="6" t="s">
        <v>78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</row>
    <row r="92" spans="1:20" x14ac:dyDescent="0.2">
      <c r="A92" s="16" t="s">
        <v>79</v>
      </c>
      <c r="B92" s="9">
        <v>0</v>
      </c>
      <c r="C92" s="9">
        <v>0</v>
      </c>
      <c r="D92" s="9">
        <v>0</v>
      </c>
      <c r="E92" s="9">
        <v>3837.0466866000002</v>
      </c>
      <c r="F92" s="9">
        <v>13070.531796900001</v>
      </c>
      <c r="G92" s="9">
        <v>0</v>
      </c>
      <c r="H92" s="9">
        <v>0</v>
      </c>
      <c r="I92" s="9">
        <v>0</v>
      </c>
      <c r="J92" s="9">
        <v>0</v>
      </c>
      <c r="K92" s="9">
        <v>430.13899021625281</v>
      </c>
      <c r="L92" s="9">
        <f>SUM(F92:K92)</f>
        <v>13500.670787116254</v>
      </c>
      <c r="M92" s="9">
        <v>0</v>
      </c>
      <c r="N92" s="9">
        <v>0</v>
      </c>
      <c r="O92" s="9">
        <f>SUM(M92:N92)</f>
        <v>0</v>
      </c>
      <c r="P92" s="9">
        <f>SUM(D92:E92,L92,O92)</f>
        <v>17337.717473716253</v>
      </c>
      <c r="Q92" s="9">
        <v>0</v>
      </c>
      <c r="R92" s="9">
        <v>0</v>
      </c>
      <c r="S92" s="9">
        <v>0</v>
      </c>
      <c r="T92" s="9">
        <f>SUM(B92:C92,P92:S92)</f>
        <v>17337.717473716253</v>
      </c>
    </row>
    <row r="93" spans="1:20" x14ac:dyDescent="0.2">
      <c r="A93" s="16" t="s">
        <v>80</v>
      </c>
      <c r="B93" s="9">
        <v>0</v>
      </c>
      <c r="C93" s="9">
        <v>0</v>
      </c>
      <c r="D93" s="9">
        <v>0</v>
      </c>
      <c r="E93" s="9">
        <v>-2732.8048849500001</v>
      </c>
      <c r="F93" s="9">
        <v>-2027.1049877999999</v>
      </c>
      <c r="G93" s="9">
        <v>0</v>
      </c>
      <c r="H93" s="9">
        <v>0</v>
      </c>
      <c r="I93" s="9">
        <v>0</v>
      </c>
      <c r="J93" s="9">
        <v>0</v>
      </c>
      <c r="K93" s="9">
        <v>0</v>
      </c>
      <c r="L93" s="9">
        <f>SUM(F93:K93)</f>
        <v>-2027.1049877999999</v>
      </c>
      <c r="M93" s="9">
        <v>0</v>
      </c>
      <c r="N93" s="9">
        <v>0</v>
      </c>
      <c r="O93" s="9">
        <f>SUM(M93:N93)</f>
        <v>0</v>
      </c>
      <c r="P93" s="9">
        <f>SUM(D93:E93,L93,O93)</f>
        <v>-4759.9098727500004</v>
      </c>
      <c r="Q93" s="9">
        <v>0</v>
      </c>
      <c r="R93" s="9">
        <v>0</v>
      </c>
      <c r="S93" s="9">
        <v>0</v>
      </c>
      <c r="T93" s="9">
        <f>SUM(B93:C93,P93:S93)</f>
        <v>-4759.9098727500004</v>
      </c>
    </row>
    <row r="94" spans="1:20" ht="10.5" x14ac:dyDescent="0.25">
      <c r="A94" s="12" t="s">
        <v>81</v>
      </c>
      <c r="B94" s="11">
        <f t="shared" ref="B94:T94" si="25">SUM(B92:B93)</f>
        <v>0</v>
      </c>
      <c r="C94" s="11">
        <f t="shared" si="25"/>
        <v>0</v>
      </c>
      <c r="D94" s="11">
        <f t="shared" si="25"/>
        <v>0</v>
      </c>
      <c r="E94" s="11">
        <f t="shared" si="25"/>
        <v>1104.2418016500001</v>
      </c>
      <c r="F94" s="11">
        <f t="shared" si="25"/>
        <v>11043.426809100001</v>
      </c>
      <c r="G94" s="11">
        <f t="shared" si="25"/>
        <v>0</v>
      </c>
      <c r="H94" s="11">
        <f t="shared" si="25"/>
        <v>0</v>
      </c>
      <c r="I94" s="11">
        <f t="shared" si="25"/>
        <v>0</v>
      </c>
      <c r="J94" s="11">
        <f t="shared" si="25"/>
        <v>0</v>
      </c>
      <c r="K94" s="11">
        <f t="shared" si="25"/>
        <v>430.13899021625281</v>
      </c>
      <c r="L94" s="11">
        <f t="shared" si="25"/>
        <v>11473.565799316255</v>
      </c>
      <c r="M94" s="11">
        <f t="shared" si="25"/>
        <v>0</v>
      </c>
      <c r="N94" s="11">
        <f t="shared" si="25"/>
        <v>0</v>
      </c>
      <c r="O94" s="11">
        <f t="shared" si="25"/>
        <v>0</v>
      </c>
      <c r="P94" s="11">
        <f t="shared" si="25"/>
        <v>12577.807600966253</v>
      </c>
      <c r="Q94" s="11">
        <f t="shared" si="25"/>
        <v>0</v>
      </c>
      <c r="R94" s="11">
        <f t="shared" si="25"/>
        <v>0</v>
      </c>
      <c r="S94" s="11">
        <f t="shared" si="25"/>
        <v>0</v>
      </c>
      <c r="T94" s="11">
        <f t="shared" si="25"/>
        <v>12577.807600966253</v>
      </c>
    </row>
    <row r="95" spans="1:20" ht="10.5" x14ac:dyDescent="0.25">
      <c r="A95" s="6" t="s">
        <v>82</v>
      </c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</row>
    <row r="96" spans="1:20" x14ac:dyDescent="0.2">
      <c r="A96" s="16" t="s">
        <v>83</v>
      </c>
      <c r="B96" s="9">
        <v>0</v>
      </c>
      <c r="C96" s="9">
        <v>0</v>
      </c>
      <c r="D96" s="9">
        <v>0</v>
      </c>
      <c r="E96" s="9">
        <v>0</v>
      </c>
      <c r="F96" s="9">
        <v>19418.503332600001</v>
      </c>
      <c r="G96" s="9">
        <v>0</v>
      </c>
      <c r="H96" s="9">
        <v>0</v>
      </c>
      <c r="I96" s="9">
        <v>2199.4372792152685</v>
      </c>
      <c r="J96" s="9">
        <v>0</v>
      </c>
      <c r="K96" s="9">
        <v>8381.5071510960224</v>
      </c>
      <c r="L96" s="9">
        <f>SUM(F96:K96)</f>
        <v>29999.447762911292</v>
      </c>
      <c r="M96" s="9">
        <v>0</v>
      </c>
      <c r="N96" s="9">
        <v>0</v>
      </c>
      <c r="O96" s="9">
        <f>SUM(M96:N96)</f>
        <v>0</v>
      </c>
      <c r="P96" s="9">
        <f>SUM(D96:E96,L96,O96)</f>
        <v>29999.447762911292</v>
      </c>
      <c r="Q96" s="9">
        <v>0</v>
      </c>
      <c r="R96" s="9">
        <v>0</v>
      </c>
      <c r="S96" s="9">
        <v>0</v>
      </c>
      <c r="T96" s="9">
        <f>SUM(B96:C96,P96:S96)</f>
        <v>29999.447762911292</v>
      </c>
    </row>
    <row r="97" spans="1:20" x14ac:dyDescent="0.2">
      <c r="A97" s="16" t="s">
        <v>254</v>
      </c>
      <c r="B97" s="9">
        <v>0</v>
      </c>
      <c r="C97" s="9">
        <v>0</v>
      </c>
      <c r="D97" s="9">
        <v>0</v>
      </c>
      <c r="E97" s="9">
        <v>0</v>
      </c>
      <c r="F97" s="9">
        <v>-1651.4997393000001</v>
      </c>
      <c r="G97" s="9">
        <v>0</v>
      </c>
      <c r="H97" s="9">
        <v>0</v>
      </c>
      <c r="I97" s="9">
        <v>-2199.4372792152685</v>
      </c>
      <c r="J97" s="9">
        <v>0</v>
      </c>
      <c r="K97" s="9">
        <v>0</v>
      </c>
      <c r="L97" s="9">
        <f>SUM(F97:K97)</f>
        <v>-3850.9370185152684</v>
      </c>
      <c r="M97" s="9">
        <v>0</v>
      </c>
      <c r="N97" s="9">
        <v>0</v>
      </c>
      <c r="O97" s="9">
        <f>SUM(M97:N97)</f>
        <v>0</v>
      </c>
      <c r="P97" s="9">
        <f>SUM(D97:E97,L97,O97)</f>
        <v>-3850.9370185152684</v>
      </c>
      <c r="Q97" s="9">
        <v>0</v>
      </c>
      <c r="R97" s="9">
        <v>0</v>
      </c>
      <c r="S97" s="9">
        <v>0</v>
      </c>
      <c r="T97" s="9">
        <f>SUM(B97:C97,P97:S97)</f>
        <v>-3850.9370185152684</v>
      </c>
    </row>
    <row r="98" spans="1:20" ht="10.5" x14ac:dyDescent="0.25">
      <c r="A98" s="12" t="s">
        <v>84</v>
      </c>
      <c r="B98" s="11">
        <f t="shared" ref="B98:T98" si="26">SUM(B96:B97)</f>
        <v>0</v>
      </c>
      <c r="C98" s="11">
        <f t="shared" si="26"/>
        <v>0</v>
      </c>
      <c r="D98" s="11">
        <f t="shared" si="26"/>
        <v>0</v>
      </c>
      <c r="E98" s="11">
        <f t="shared" si="26"/>
        <v>0</v>
      </c>
      <c r="F98" s="11">
        <f t="shared" si="26"/>
        <v>17767.0035933</v>
      </c>
      <c r="G98" s="11">
        <f t="shared" si="26"/>
        <v>0</v>
      </c>
      <c r="H98" s="11">
        <f t="shared" si="26"/>
        <v>0</v>
      </c>
      <c r="I98" s="11">
        <f t="shared" si="26"/>
        <v>0</v>
      </c>
      <c r="J98" s="11">
        <f t="shared" si="26"/>
        <v>0</v>
      </c>
      <c r="K98" s="11">
        <f t="shared" si="26"/>
        <v>8381.5071510960224</v>
      </c>
      <c r="L98" s="11">
        <f t="shared" si="26"/>
        <v>26148.510744396022</v>
      </c>
      <c r="M98" s="11">
        <f t="shared" si="26"/>
        <v>0</v>
      </c>
      <c r="N98" s="11">
        <f t="shared" si="26"/>
        <v>0</v>
      </c>
      <c r="O98" s="11">
        <f t="shared" si="26"/>
        <v>0</v>
      </c>
      <c r="P98" s="11">
        <f t="shared" si="26"/>
        <v>26148.510744396022</v>
      </c>
      <c r="Q98" s="11">
        <f t="shared" si="26"/>
        <v>0</v>
      </c>
      <c r="R98" s="11">
        <f t="shared" si="26"/>
        <v>0</v>
      </c>
      <c r="S98" s="11">
        <f t="shared" si="26"/>
        <v>0</v>
      </c>
      <c r="T98" s="11">
        <f t="shared" si="26"/>
        <v>26148.510744396022</v>
      </c>
    </row>
    <row r="99" spans="1:20" ht="10.5" x14ac:dyDescent="0.25">
      <c r="A99" s="6" t="s">
        <v>85</v>
      </c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</row>
    <row r="100" spans="1:20" x14ac:dyDescent="0.2">
      <c r="A100" s="16" t="s">
        <v>86</v>
      </c>
      <c r="B100" s="9">
        <v>0</v>
      </c>
      <c r="C100" s="9">
        <v>0</v>
      </c>
      <c r="D100" s="9">
        <v>0</v>
      </c>
      <c r="E100" s="9">
        <v>10400.724414030001</v>
      </c>
      <c r="F100" s="9">
        <v>-821.26022639999996</v>
      </c>
      <c r="G100" s="9">
        <v>0</v>
      </c>
      <c r="H100" s="9">
        <v>1754.61642539175</v>
      </c>
      <c r="I100" s="9">
        <v>0</v>
      </c>
      <c r="J100" s="9">
        <v>0</v>
      </c>
      <c r="K100" s="9">
        <v>6107.1492413463338</v>
      </c>
      <c r="L100" s="9">
        <f>SUM(F100:K100)</f>
        <v>7040.5054403380836</v>
      </c>
      <c r="M100" s="9">
        <v>0</v>
      </c>
      <c r="N100" s="9">
        <v>0</v>
      </c>
      <c r="O100" s="9">
        <f>SUM(M100:N100)</f>
        <v>0</v>
      </c>
      <c r="P100" s="9">
        <f>SUM(D100:E100,L100,O100)</f>
        <v>17441.229854368084</v>
      </c>
      <c r="Q100" s="9">
        <v>0</v>
      </c>
      <c r="R100" s="9">
        <v>0</v>
      </c>
      <c r="S100" s="9">
        <v>0</v>
      </c>
      <c r="T100" s="9">
        <f>SUM(B100:C100,P100:S100)</f>
        <v>17441.229854368084</v>
      </c>
    </row>
    <row r="101" spans="1:20" x14ac:dyDescent="0.2">
      <c r="A101" s="16" t="s">
        <v>255</v>
      </c>
      <c r="B101" s="9">
        <v>0</v>
      </c>
      <c r="C101" s="9">
        <v>0</v>
      </c>
      <c r="D101" s="9">
        <v>0</v>
      </c>
      <c r="E101" s="9">
        <v>0</v>
      </c>
      <c r="F101" s="9">
        <v>-1746.1041465000001</v>
      </c>
      <c r="G101" s="9">
        <v>0</v>
      </c>
      <c r="H101" s="9">
        <v>0</v>
      </c>
      <c r="I101" s="9">
        <v>0</v>
      </c>
      <c r="J101" s="9">
        <v>0</v>
      </c>
      <c r="K101" s="9">
        <v>0</v>
      </c>
      <c r="L101" s="9">
        <f>SUM(F101:K101)</f>
        <v>-1746.1041465000001</v>
      </c>
      <c r="M101" s="9">
        <v>0</v>
      </c>
      <c r="N101" s="9">
        <v>0</v>
      </c>
      <c r="O101" s="9">
        <f>SUM(M101:N101)</f>
        <v>0</v>
      </c>
      <c r="P101" s="9">
        <f>SUM(D101:E101,L101,O101)</f>
        <v>-1746.1041465000001</v>
      </c>
      <c r="Q101" s="9">
        <v>0</v>
      </c>
      <c r="R101" s="9">
        <v>0</v>
      </c>
      <c r="S101" s="9">
        <v>0</v>
      </c>
      <c r="T101" s="9">
        <f>SUM(B101:C101,P101:S101)</f>
        <v>-1746.1041465000001</v>
      </c>
    </row>
    <row r="102" spans="1:20" ht="10.5" x14ac:dyDescent="0.25">
      <c r="A102" s="12" t="s">
        <v>87</v>
      </c>
      <c r="B102" s="11">
        <f t="shared" ref="B102:T102" si="27">SUM(B100:B101)</f>
        <v>0</v>
      </c>
      <c r="C102" s="11">
        <f t="shared" si="27"/>
        <v>0</v>
      </c>
      <c r="D102" s="11">
        <f t="shared" si="27"/>
        <v>0</v>
      </c>
      <c r="E102" s="11">
        <f t="shared" si="27"/>
        <v>10400.724414030001</v>
      </c>
      <c r="F102" s="11">
        <f t="shared" si="27"/>
        <v>-2567.3643729</v>
      </c>
      <c r="G102" s="11">
        <f t="shared" si="27"/>
        <v>0</v>
      </c>
      <c r="H102" s="11">
        <f t="shared" si="27"/>
        <v>1754.61642539175</v>
      </c>
      <c r="I102" s="11">
        <f t="shared" si="27"/>
        <v>0</v>
      </c>
      <c r="J102" s="11">
        <f t="shared" si="27"/>
        <v>0</v>
      </c>
      <c r="K102" s="11">
        <f t="shared" si="27"/>
        <v>6107.1492413463338</v>
      </c>
      <c r="L102" s="11">
        <f t="shared" si="27"/>
        <v>5294.4012938380838</v>
      </c>
      <c r="M102" s="11">
        <f t="shared" si="27"/>
        <v>0</v>
      </c>
      <c r="N102" s="11">
        <f t="shared" si="27"/>
        <v>0</v>
      </c>
      <c r="O102" s="11">
        <f t="shared" si="27"/>
        <v>0</v>
      </c>
      <c r="P102" s="11">
        <f t="shared" si="27"/>
        <v>15695.125707868085</v>
      </c>
      <c r="Q102" s="11">
        <f t="shared" si="27"/>
        <v>0</v>
      </c>
      <c r="R102" s="11">
        <f t="shared" si="27"/>
        <v>0</v>
      </c>
      <c r="S102" s="11">
        <f t="shared" si="27"/>
        <v>0</v>
      </c>
      <c r="T102" s="11">
        <f t="shared" si="27"/>
        <v>15695.125707868085</v>
      </c>
    </row>
    <row r="103" spans="1:20" ht="10.5" x14ac:dyDescent="0.25">
      <c r="A103" s="6" t="s">
        <v>88</v>
      </c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</row>
    <row r="104" spans="1:20" x14ac:dyDescent="0.2">
      <c r="A104" s="16" t="s">
        <v>89</v>
      </c>
      <c r="B104" s="9">
        <v>0</v>
      </c>
      <c r="C104" s="9">
        <v>0</v>
      </c>
      <c r="D104" s="9">
        <v>0</v>
      </c>
      <c r="E104" s="9">
        <v>0</v>
      </c>
      <c r="F104" s="9">
        <v>0</v>
      </c>
      <c r="G104" s="9">
        <v>0</v>
      </c>
      <c r="H104" s="9">
        <v>0</v>
      </c>
      <c r="I104" s="9">
        <v>0</v>
      </c>
      <c r="J104" s="9">
        <v>0</v>
      </c>
      <c r="K104" s="9">
        <v>0</v>
      </c>
      <c r="L104" s="9">
        <f>SUM(F104:K104)</f>
        <v>0</v>
      </c>
      <c r="M104" s="9">
        <v>0</v>
      </c>
      <c r="N104" s="9">
        <v>0</v>
      </c>
      <c r="O104" s="9">
        <f>SUM(M104:N104)</f>
        <v>0</v>
      </c>
      <c r="P104" s="9">
        <f>SUM(D104:E104,L104,O104)</f>
        <v>0</v>
      </c>
      <c r="Q104" s="9">
        <v>12744.035904</v>
      </c>
      <c r="R104" s="9">
        <v>0</v>
      </c>
      <c r="S104" s="9">
        <v>0</v>
      </c>
      <c r="T104" s="9">
        <f>SUM(B104:C104,P104:S104)</f>
        <v>12744.035904</v>
      </c>
    </row>
    <row r="105" spans="1:20" ht="10.5" x14ac:dyDescent="0.25">
      <c r="A105" s="12" t="s">
        <v>90</v>
      </c>
      <c r="B105" s="11">
        <f t="shared" ref="B105:T105" si="28">SUM(B104)</f>
        <v>0</v>
      </c>
      <c r="C105" s="11">
        <f t="shared" si="28"/>
        <v>0</v>
      </c>
      <c r="D105" s="11">
        <f t="shared" si="28"/>
        <v>0</v>
      </c>
      <c r="E105" s="11">
        <f t="shared" si="28"/>
        <v>0</v>
      </c>
      <c r="F105" s="11">
        <f t="shared" si="28"/>
        <v>0</v>
      </c>
      <c r="G105" s="11">
        <f t="shared" si="28"/>
        <v>0</v>
      </c>
      <c r="H105" s="11">
        <f t="shared" si="28"/>
        <v>0</v>
      </c>
      <c r="I105" s="11">
        <f t="shared" si="28"/>
        <v>0</v>
      </c>
      <c r="J105" s="11">
        <f t="shared" si="28"/>
        <v>0</v>
      </c>
      <c r="K105" s="11">
        <f t="shared" si="28"/>
        <v>0</v>
      </c>
      <c r="L105" s="11">
        <f t="shared" si="28"/>
        <v>0</v>
      </c>
      <c r="M105" s="11">
        <f t="shared" si="28"/>
        <v>0</v>
      </c>
      <c r="N105" s="11">
        <f t="shared" si="28"/>
        <v>0</v>
      </c>
      <c r="O105" s="11">
        <f t="shared" si="28"/>
        <v>0</v>
      </c>
      <c r="P105" s="11">
        <f t="shared" si="28"/>
        <v>0</v>
      </c>
      <c r="Q105" s="11">
        <f t="shared" si="28"/>
        <v>12744.035904</v>
      </c>
      <c r="R105" s="11">
        <f t="shared" si="28"/>
        <v>0</v>
      </c>
      <c r="S105" s="11">
        <f t="shared" si="28"/>
        <v>0</v>
      </c>
      <c r="T105" s="11">
        <f t="shared" si="28"/>
        <v>12744.035904</v>
      </c>
    </row>
    <row r="106" spans="1:20" ht="10.5" x14ac:dyDescent="0.25">
      <c r="A106" s="6" t="s">
        <v>91</v>
      </c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</row>
    <row r="107" spans="1:20" x14ac:dyDescent="0.2">
      <c r="A107" s="16" t="s">
        <v>92</v>
      </c>
      <c r="B107" s="9">
        <v>0</v>
      </c>
      <c r="C107" s="9">
        <v>0</v>
      </c>
      <c r="D107" s="9">
        <v>0</v>
      </c>
      <c r="E107" s="9">
        <v>2839.7193912600001</v>
      </c>
      <c r="F107" s="9">
        <v>0</v>
      </c>
      <c r="G107" s="9">
        <v>0</v>
      </c>
      <c r="H107" s="9">
        <v>14324.276071594135</v>
      </c>
      <c r="I107" s="9">
        <v>0</v>
      </c>
      <c r="J107" s="9">
        <v>0</v>
      </c>
      <c r="K107" s="9">
        <v>0</v>
      </c>
      <c r="L107" s="9">
        <f>SUM(F107:K107)</f>
        <v>14324.276071594135</v>
      </c>
      <c r="M107" s="9">
        <v>0</v>
      </c>
      <c r="N107" s="9">
        <v>0</v>
      </c>
      <c r="O107" s="9">
        <f>SUM(M107:N107)</f>
        <v>0</v>
      </c>
      <c r="P107" s="9">
        <f>SUM(D107:E107,L107,O107)</f>
        <v>17163.995462854135</v>
      </c>
      <c r="Q107" s="9">
        <v>0</v>
      </c>
      <c r="R107" s="9">
        <v>0</v>
      </c>
      <c r="S107" s="9">
        <v>192370.36629663</v>
      </c>
      <c r="T107" s="9">
        <f>SUM(B107:C107,P107:S107)</f>
        <v>209534.36175948413</v>
      </c>
    </row>
    <row r="108" spans="1:20" x14ac:dyDescent="0.2">
      <c r="A108" s="16" t="s">
        <v>93</v>
      </c>
      <c r="B108" s="9">
        <v>0</v>
      </c>
      <c r="C108" s="9">
        <v>0</v>
      </c>
      <c r="D108" s="9">
        <v>0</v>
      </c>
      <c r="E108" s="9">
        <v>-567.94362164999995</v>
      </c>
      <c r="F108" s="9">
        <v>0</v>
      </c>
      <c r="G108" s="9">
        <v>0</v>
      </c>
      <c r="H108" s="9">
        <v>0</v>
      </c>
      <c r="I108" s="9">
        <v>0</v>
      </c>
      <c r="J108" s="9">
        <v>0</v>
      </c>
      <c r="K108" s="9">
        <v>0</v>
      </c>
      <c r="L108" s="9">
        <f>SUM(F108:K108)</f>
        <v>0</v>
      </c>
      <c r="M108" s="9">
        <v>0</v>
      </c>
      <c r="N108" s="9">
        <v>0</v>
      </c>
      <c r="O108" s="9">
        <f>SUM(M108:N108)</f>
        <v>0</v>
      </c>
      <c r="P108" s="9">
        <f>SUM(D108:E108,L108,O108)</f>
        <v>-567.94362164999995</v>
      </c>
      <c r="Q108" s="9">
        <v>0</v>
      </c>
      <c r="R108" s="9">
        <v>0</v>
      </c>
      <c r="S108" s="9">
        <v>-156945.66473043</v>
      </c>
      <c r="T108" s="9">
        <f>SUM(B108:C108,P108:S108)</f>
        <v>-157513.60835207999</v>
      </c>
    </row>
    <row r="109" spans="1:20" ht="10.5" x14ac:dyDescent="0.25">
      <c r="A109" s="12" t="s">
        <v>94</v>
      </c>
      <c r="B109" s="11">
        <f t="shared" ref="B109:T109" si="29">SUM(B107:B108)</f>
        <v>0</v>
      </c>
      <c r="C109" s="11">
        <f t="shared" si="29"/>
        <v>0</v>
      </c>
      <c r="D109" s="11">
        <f t="shared" si="29"/>
        <v>0</v>
      </c>
      <c r="E109" s="11">
        <f t="shared" si="29"/>
        <v>2271.7757696100002</v>
      </c>
      <c r="F109" s="11">
        <f t="shared" si="29"/>
        <v>0</v>
      </c>
      <c r="G109" s="11">
        <f t="shared" si="29"/>
        <v>0</v>
      </c>
      <c r="H109" s="11">
        <f t="shared" si="29"/>
        <v>14324.276071594135</v>
      </c>
      <c r="I109" s="11">
        <f t="shared" si="29"/>
        <v>0</v>
      </c>
      <c r="J109" s="11">
        <f t="shared" si="29"/>
        <v>0</v>
      </c>
      <c r="K109" s="11">
        <f t="shared" si="29"/>
        <v>0</v>
      </c>
      <c r="L109" s="11">
        <f t="shared" si="29"/>
        <v>14324.276071594135</v>
      </c>
      <c r="M109" s="11">
        <f t="shared" si="29"/>
        <v>0</v>
      </c>
      <c r="N109" s="11">
        <f t="shared" si="29"/>
        <v>0</v>
      </c>
      <c r="O109" s="11">
        <f t="shared" si="29"/>
        <v>0</v>
      </c>
      <c r="P109" s="11">
        <f t="shared" si="29"/>
        <v>16596.051841204135</v>
      </c>
      <c r="Q109" s="11">
        <f t="shared" si="29"/>
        <v>0</v>
      </c>
      <c r="R109" s="11">
        <f t="shared" si="29"/>
        <v>0</v>
      </c>
      <c r="S109" s="11">
        <f t="shared" si="29"/>
        <v>35424.701566200005</v>
      </c>
      <c r="T109" s="11">
        <f t="shared" si="29"/>
        <v>52020.753407404147</v>
      </c>
    </row>
    <row r="110" spans="1:20" ht="10.5" x14ac:dyDescent="0.25">
      <c r="A110" s="6" t="s">
        <v>95</v>
      </c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</row>
    <row r="111" spans="1:20" x14ac:dyDescent="0.2">
      <c r="A111" s="16" t="s">
        <v>96</v>
      </c>
      <c r="B111" s="9">
        <v>0</v>
      </c>
      <c r="C111" s="9">
        <v>3200</v>
      </c>
      <c r="D111" s="9">
        <v>0</v>
      </c>
      <c r="E111" s="9">
        <v>0</v>
      </c>
      <c r="F111" s="9">
        <v>39635.813027999997</v>
      </c>
      <c r="G111" s="9">
        <v>0</v>
      </c>
      <c r="H111" s="9">
        <v>0</v>
      </c>
      <c r="I111" s="9">
        <v>0</v>
      </c>
      <c r="J111" s="9">
        <v>0</v>
      </c>
      <c r="K111" s="9">
        <v>0</v>
      </c>
      <c r="L111" s="9">
        <f>SUM(F111:K111)</f>
        <v>39635.813027999997</v>
      </c>
      <c r="M111" s="9">
        <v>0</v>
      </c>
      <c r="N111" s="9">
        <v>0</v>
      </c>
      <c r="O111" s="9">
        <f>SUM(M111:N111)</f>
        <v>0</v>
      </c>
      <c r="P111" s="9">
        <f>SUM(D111:E111,L111,O111)</f>
        <v>39635.813027999997</v>
      </c>
      <c r="Q111" s="9">
        <v>0</v>
      </c>
      <c r="R111" s="9">
        <v>0</v>
      </c>
      <c r="S111" s="9">
        <v>0</v>
      </c>
      <c r="T111" s="9">
        <f>SUM(B111:C111,P111:S111)</f>
        <v>42835.813027999997</v>
      </c>
    </row>
    <row r="112" spans="1:20" x14ac:dyDescent="0.2">
      <c r="A112" s="16" t="s">
        <v>256</v>
      </c>
      <c r="B112" s="9">
        <v>0</v>
      </c>
      <c r="C112" s="9">
        <v>0</v>
      </c>
      <c r="D112" s="9">
        <v>0</v>
      </c>
      <c r="E112" s="9">
        <v>0</v>
      </c>
      <c r="F112" s="9">
        <v>-5197.0754897999996</v>
      </c>
      <c r="G112" s="9">
        <v>0</v>
      </c>
      <c r="H112" s="9">
        <v>0</v>
      </c>
      <c r="I112" s="9">
        <v>0</v>
      </c>
      <c r="J112" s="9">
        <v>0</v>
      </c>
      <c r="K112" s="9">
        <v>0</v>
      </c>
      <c r="L112" s="9">
        <f>SUM(F112:K112)</f>
        <v>-5197.0754897999996</v>
      </c>
      <c r="M112" s="9">
        <v>0</v>
      </c>
      <c r="N112" s="9">
        <v>0</v>
      </c>
      <c r="O112" s="9">
        <f>SUM(M112:N112)</f>
        <v>0</v>
      </c>
      <c r="P112" s="9">
        <f>SUM(D112:E112,L112,O112)</f>
        <v>-5197.0754897999996</v>
      </c>
      <c r="Q112" s="9">
        <v>0</v>
      </c>
      <c r="R112" s="9">
        <v>0</v>
      </c>
      <c r="S112" s="9">
        <v>0</v>
      </c>
      <c r="T112" s="9">
        <f>SUM(B112:C112,P112:S112)</f>
        <v>-5197.0754897999996</v>
      </c>
    </row>
    <row r="113" spans="1:20" ht="10.5" x14ac:dyDescent="0.25">
      <c r="A113" s="12" t="s">
        <v>97</v>
      </c>
      <c r="B113" s="11">
        <f t="shared" ref="B113:T113" si="30">SUM(B111:B112)</f>
        <v>0</v>
      </c>
      <c r="C113" s="11">
        <f t="shared" si="30"/>
        <v>3200</v>
      </c>
      <c r="D113" s="11">
        <f t="shared" si="30"/>
        <v>0</v>
      </c>
      <c r="E113" s="11">
        <f t="shared" si="30"/>
        <v>0</v>
      </c>
      <c r="F113" s="11">
        <f t="shared" si="30"/>
        <v>34438.737538199995</v>
      </c>
      <c r="G113" s="11">
        <f t="shared" si="30"/>
        <v>0</v>
      </c>
      <c r="H113" s="11">
        <f t="shared" si="30"/>
        <v>0</v>
      </c>
      <c r="I113" s="11">
        <f t="shared" si="30"/>
        <v>0</v>
      </c>
      <c r="J113" s="11">
        <f t="shared" si="30"/>
        <v>0</v>
      </c>
      <c r="K113" s="11">
        <f t="shared" si="30"/>
        <v>0</v>
      </c>
      <c r="L113" s="11">
        <f t="shared" si="30"/>
        <v>34438.737538199995</v>
      </c>
      <c r="M113" s="11">
        <f t="shared" si="30"/>
        <v>0</v>
      </c>
      <c r="N113" s="11">
        <f t="shared" si="30"/>
        <v>0</v>
      </c>
      <c r="O113" s="11">
        <f t="shared" si="30"/>
        <v>0</v>
      </c>
      <c r="P113" s="11">
        <f t="shared" si="30"/>
        <v>34438.737538199995</v>
      </c>
      <c r="Q113" s="11">
        <f t="shared" si="30"/>
        <v>0</v>
      </c>
      <c r="R113" s="11">
        <f t="shared" si="30"/>
        <v>0</v>
      </c>
      <c r="S113" s="11">
        <f t="shared" si="30"/>
        <v>0</v>
      </c>
      <c r="T113" s="11">
        <f t="shared" si="30"/>
        <v>37638.737538199995</v>
      </c>
    </row>
    <row r="114" spans="1:20" ht="10.5" x14ac:dyDescent="0.2">
      <c r="A114" s="19" t="s">
        <v>98</v>
      </c>
      <c r="B114" s="11">
        <f t="shared" ref="B114:T114" si="31">SUM(B94,B98,B102,B105,B109,B113)</f>
        <v>0</v>
      </c>
      <c r="C114" s="11">
        <f t="shared" si="31"/>
        <v>3200</v>
      </c>
      <c r="D114" s="11">
        <f t="shared" si="31"/>
        <v>0</v>
      </c>
      <c r="E114" s="11">
        <f t="shared" si="31"/>
        <v>13776.74198529</v>
      </c>
      <c r="F114" s="11">
        <f t="shared" si="31"/>
        <v>60681.803567700001</v>
      </c>
      <c r="G114" s="11">
        <f t="shared" si="31"/>
        <v>0</v>
      </c>
      <c r="H114" s="11">
        <f t="shared" si="31"/>
        <v>16078.892496985885</v>
      </c>
      <c r="I114" s="11">
        <f t="shared" si="31"/>
        <v>0</v>
      </c>
      <c r="J114" s="11">
        <f t="shared" si="31"/>
        <v>0</v>
      </c>
      <c r="K114" s="11">
        <f t="shared" si="31"/>
        <v>14918.795382658609</v>
      </c>
      <c r="L114" s="11">
        <f t="shared" si="31"/>
        <v>91679.491447344481</v>
      </c>
      <c r="M114" s="11">
        <f t="shared" si="31"/>
        <v>0</v>
      </c>
      <c r="N114" s="11">
        <f t="shared" si="31"/>
        <v>0</v>
      </c>
      <c r="O114" s="11">
        <f t="shared" si="31"/>
        <v>0</v>
      </c>
      <c r="P114" s="11">
        <f t="shared" si="31"/>
        <v>105456.2334326345</v>
      </c>
      <c r="Q114" s="11">
        <f t="shared" si="31"/>
        <v>12744.035904</v>
      </c>
      <c r="R114" s="11">
        <f t="shared" si="31"/>
        <v>0</v>
      </c>
      <c r="S114" s="11">
        <f t="shared" si="31"/>
        <v>35424.701566200005</v>
      </c>
      <c r="T114" s="11">
        <f t="shared" si="31"/>
        <v>156824.9709028345</v>
      </c>
    </row>
    <row r="115" spans="1:20" ht="10.5" x14ac:dyDescent="0.2">
      <c r="A115" s="4" t="s">
        <v>99</v>
      </c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</row>
    <row r="116" spans="1:20" ht="10.5" x14ac:dyDescent="0.25">
      <c r="A116" s="6" t="s">
        <v>100</v>
      </c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</row>
    <row r="117" spans="1:20" ht="10.5" x14ac:dyDescent="0.25">
      <c r="A117" s="7" t="s">
        <v>101</v>
      </c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</row>
    <row r="118" spans="1:20" ht="10.5" x14ac:dyDescent="0.25">
      <c r="A118" s="13" t="s">
        <v>102</v>
      </c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</row>
    <row r="119" spans="1:20" x14ac:dyDescent="0.2">
      <c r="A119" s="14" t="s">
        <v>102</v>
      </c>
      <c r="B119" s="9">
        <v>0</v>
      </c>
      <c r="C119" s="9">
        <v>4357.09</v>
      </c>
      <c r="D119" s="9">
        <v>-32364.05</v>
      </c>
      <c r="E119" s="9">
        <v>-3582.3768996600002</v>
      </c>
      <c r="F119" s="9">
        <v>1120580.3030604001</v>
      </c>
      <c r="G119" s="9">
        <v>3192.1532928000001</v>
      </c>
      <c r="H119" s="9">
        <v>34019.277457381919</v>
      </c>
      <c r="I119" s="9">
        <v>12996.17952280783</v>
      </c>
      <c r="J119" s="9">
        <v>13364.1714075</v>
      </c>
      <c r="K119" s="9">
        <v>62377.717432226666</v>
      </c>
      <c r="L119" s="9">
        <f>SUM(F119:K119)</f>
        <v>1246529.8021731167</v>
      </c>
      <c r="M119" s="9">
        <v>0</v>
      </c>
      <c r="N119" s="9">
        <v>0</v>
      </c>
      <c r="O119" s="9">
        <f>SUM(M119:N119)</f>
        <v>0</v>
      </c>
      <c r="P119" s="9">
        <f>SUM(D119:E119,L119,O119)</f>
        <v>1210583.3752734568</v>
      </c>
      <c r="Q119" s="9">
        <v>180273.3852201</v>
      </c>
      <c r="R119" s="9">
        <v>1266.6433500000001</v>
      </c>
      <c r="S119" s="9">
        <v>2454.1800183</v>
      </c>
      <c r="T119" s="9">
        <f>SUM(B119:C119,P119:S119)</f>
        <v>1398934.6738618568</v>
      </c>
    </row>
    <row r="120" spans="1:20" x14ac:dyDescent="0.2">
      <c r="A120" s="14" t="s">
        <v>103</v>
      </c>
      <c r="B120" s="9">
        <v>0</v>
      </c>
      <c r="C120" s="9">
        <v>0</v>
      </c>
      <c r="D120" s="9">
        <v>0</v>
      </c>
      <c r="E120" s="9">
        <v>0</v>
      </c>
      <c r="F120" s="9">
        <v>-4480.0653444</v>
      </c>
      <c r="G120" s="9">
        <v>0</v>
      </c>
      <c r="H120" s="9">
        <v>-1104.3374893124396</v>
      </c>
      <c r="I120" s="9">
        <v>0</v>
      </c>
      <c r="J120" s="9">
        <v>0</v>
      </c>
      <c r="K120" s="9">
        <v>0</v>
      </c>
      <c r="L120" s="9">
        <f>SUM(F120:K120)</f>
        <v>-5584.40283371244</v>
      </c>
      <c r="M120" s="9">
        <v>0</v>
      </c>
      <c r="N120" s="9">
        <v>0</v>
      </c>
      <c r="O120" s="9">
        <f>SUM(M120:N120)</f>
        <v>0</v>
      </c>
      <c r="P120" s="9">
        <f>SUM(D120:E120,L120,O120)</f>
        <v>-5584.40283371244</v>
      </c>
      <c r="Q120" s="9">
        <v>0</v>
      </c>
      <c r="R120" s="9">
        <v>0</v>
      </c>
      <c r="S120" s="9">
        <v>0</v>
      </c>
      <c r="T120" s="9">
        <f>SUM(B120:C120,P120:S120)</f>
        <v>-5584.40283371244</v>
      </c>
    </row>
    <row r="121" spans="1:20" ht="10.5" x14ac:dyDescent="0.25">
      <c r="A121" s="15" t="s">
        <v>104</v>
      </c>
      <c r="B121" s="11">
        <f t="shared" ref="B121:T121" si="32">SUM(B119:B120)</f>
        <v>0</v>
      </c>
      <c r="C121" s="11">
        <f t="shared" si="32"/>
        <v>4357.09</v>
      </c>
      <c r="D121" s="11">
        <f t="shared" si="32"/>
        <v>-32364.05</v>
      </c>
      <c r="E121" s="11">
        <f t="shared" si="32"/>
        <v>-3582.3768996600002</v>
      </c>
      <c r="F121" s="11">
        <f t="shared" si="32"/>
        <v>1116100.2377160001</v>
      </c>
      <c r="G121" s="11">
        <f t="shared" si="32"/>
        <v>3192.1532928000001</v>
      </c>
      <c r="H121" s="11">
        <f t="shared" si="32"/>
        <v>32914.939968069477</v>
      </c>
      <c r="I121" s="11">
        <f t="shared" si="32"/>
        <v>12996.17952280783</v>
      </c>
      <c r="J121" s="11">
        <f t="shared" si="32"/>
        <v>13364.1714075</v>
      </c>
      <c r="K121" s="11">
        <f t="shared" si="32"/>
        <v>62377.717432226666</v>
      </c>
      <c r="L121" s="11">
        <f t="shared" si="32"/>
        <v>1240945.3993394042</v>
      </c>
      <c r="M121" s="11">
        <f t="shared" si="32"/>
        <v>0</v>
      </c>
      <c r="N121" s="11">
        <f t="shared" si="32"/>
        <v>0</v>
      </c>
      <c r="O121" s="11">
        <f t="shared" si="32"/>
        <v>0</v>
      </c>
      <c r="P121" s="11">
        <f t="shared" si="32"/>
        <v>1204998.9724397443</v>
      </c>
      <c r="Q121" s="11">
        <f t="shared" si="32"/>
        <v>180273.3852201</v>
      </c>
      <c r="R121" s="11">
        <f t="shared" si="32"/>
        <v>1266.6433500000001</v>
      </c>
      <c r="S121" s="11">
        <f t="shared" si="32"/>
        <v>2454.1800183</v>
      </c>
      <c r="T121" s="11">
        <f t="shared" si="32"/>
        <v>1393350.2710281443</v>
      </c>
    </row>
    <row r="122" spans="1:20" x14ac:dyDescent="0.2">
      <c r="A122" s="8" t="s">
        <v>248</v>
      </c>
      <c r="B122" s="9">
        <v>0</v>
      </c>
      <c r="C122" s="9">
        <v>0</v>
      </c>
      <c r="D122" s="9">
        <v>0</v>
      </c>
      <c r="E122" s="9">
        <v>0</v>
      </c>
      <c r="F122" s="9">
        <v>6801.6796347</v>
      </c>
      <c r="G122" s="9">
        <v>0</v>
      </c>
      <c r="H122" s="9">
        <v>0</v>
      </c>
      <c r="I122" s="9">
        <v>6867.5506371047932</v>
      </c>
      <c r="J122" s="9">
        <v>0</v>
      </c>
      <c r="K122" s="9">
        <v>0</v>
      </c>
      <c r="L122" s="9">
        <f>SUM(F122:K122)</f>
        <v>13669.230271804794</v>
      </c>
      <c r="M122" s="9">
        <v>0</v>
      </c>
      <c r="N122" s="9">
        <v>0</v>
      </c>
      <c r="O122" s="9">
        <f>SUM(M122:N122)</f>
        <v>0</v>
      </c>
      <c r="P122" s="9">
        <f>SUM(D122:E122,L122,O122)</f>
        <v>13669.230271804794</v>
      </c>
      <c r="Q122" s="9">
        <v>0</v>
      </c>
      <c r="R122" s="9">
        <v>0</v>
      </c>
      <c r="S122" s="9">
        <v>0</v>
      </c>
      <c r="T122" s="9">
        <f>SUM(B122:C122,P122:S122)</f>
        <v>13669.230271804794</v>
      </c>
    </row>
    <row r="123" spans="1:20" ht="10.5" x14ac:dyDescent="0.25">
      <c r="A123" s="10" t="s">
        <v>105</v>
      </c>
      <c r="B123" s="11">
        <f t="shared" ref="B123:T123" si="33">SUM(B121:B122)</f>
        <v>0</v>
      </c>
      <c r="C123" s="11">
        <f t="shared" si="33"/>
        <v>4357.09</v>
      </c>
      <c r="D123" s="11">
        <f t="shared" si="33"/>
        <v>-32364.05</v>
      </c>
      <c r="E123" s="11">
        <f t="shared" si="33"/>
        <v>-3582.3768996600002</v>
      </c>
      <c r="F123" s="11">
        <f t="shared" si="33"/>
        <v>1122901.9173507001</v>
      </c>
      <c r="G123" s="11">
        <f t="shared" si="33"/>
        <v>3192.1532928000001</v>
      </c>
      <c r="H123" s="11">
        <f t="shared" si="33"/>
        <v>32914.939968069477</v>
      </c>
      <c r="I123" s="11">
        <f t="shared" si="33"/>
        <v>19863.730159912622</v>
      </c>
      <c r="J123" s="11">
        <f t="shared" si="33"/>
        <v>13364.1714075</v>
      </c>
      <c r="K123" s="11">
        <f t="shared" si="33"/>
        <v>62377.717432226666</v>
      </c>
      <c r="L123" s="11">
        <f t="shared" si="33"/>
        <v>1254614.629611209</v>
      </c>
      <c r="M123" s="11">
        <f t="shared" si="33"/>
        <v>0</v>
      </c>
      <c r="N123" s="11">
        <f t="shared" si="33"/>
        <v>0</v>
      </c>
      <c r="O123" s="11">
        <f t="shared" si="33"/>
        <v>0</v>
      </c>
      <c r="P123" s="11">
        <f t="shared" si="33"/>
        <v>1218668.2027115491</v>
      </c>
      <c r="Q123" s="11">
        <f t="shared" si="33"/>
        <v>180273.3852201</v>
      </c>
      <c r="R123" s="11">
        <f t="shared" si="33"/>
        <v>1266.6433500000001</v>
      </c>
      <c r="S123" s="11">
        <f t="shared" si="33"/>
        <v>2454.1800183</v>
      </c>
      <c r="T123" s="11">
        <f t="shared" si="33"/>
        <v>1407019.5012999491</v>
      </c>
    </row>
    <row r="124" spans="1:20" ht="10.5" x14ac:dyDescent="0.25">
      <c r="A124" s="7" t="s">
        <v>106</v>
      </c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</row>
    <row r="125" spans="1:20" x14ac:dyDescent="0.2">
      <c r="A125" s="8" t="s">
        <v>107</v>
      </c>
      <c r="B125" s="9">
        <v>0</v>
      </c>
      <c r="C125" s="9">
        <v>0</v>
      </c>
      <c r="D125" s="9">
        <v>5272.75</v>
      </c>
      <c r="E125" s="9">
        <v>0</v>
      </c>
      <c r="F125" s="9">
        <v>0</v>
      </c>
      <c r="G125" s="9">
        <v>0</v>
      </c>
      <c r="H125" s="9">
        <v>0</v>
      </c>
      <c r="I125" s="9">
        <v>0</v>
      </c>
      <c r="J125" s="9">
        <v>0</v>
      </c>
      <c r="K125" s="9">
        <v>0</v>
      </c>
      <c r="L125" s="9">
        <f>SUM(F125:K125)</f>
        <v>0</v>
      </c>
      <c r="M125" s="9">
        <v>0</v>
      </c>
      <c r="N125" s="9">
        <v>0</v>
      </c>
      <c r="O125" s="9">
        <f>SUM(M125:N125)</f>
        <v>0</v>
      </c>
      <c r="P125" s="9">
        <f>SUM(D125:E125,L125,O125)</f>
        <v>5272.75</v>
      </c>
      <c r="Q125" s="9">
        <v>0</v>
      </c>
      <c r="R125" s="9">
        <v>0</v>
      </c>
      <c r="S125" s="9">
        <v>0</v>
      </c>
      <c r="T125" s="9">
        <f>SUM(B125:C125,P125:S125)</f>
        <v>5272.75</v>
      </c>
    </row>
    <row r="126" spans="1:20" ht="10.5" x14ac:dyDescent="0.25">
      <c r="A126" s="10" t="s">
        <v>108</v>
      </c>
      <c r="B126" s="11">
        <f t="shared" ref="B126:T126" si="34">SUM(B125)</f>
        <v>0</v>
      </c>
      <c r="C126" s="11">
        <f t="shared" si="34"/>
        <v>0</v>
      </c>
      <c r="D126" s="11">
        <f t="shared" si="34"/>
        <v>5272.75</v>
      </c>
      <c r="E126" s="11">
        <f t="shared" si="34"/>
        <v>0</v>
      </c>
      <c r="F126" s="11">
        <f t="shared" si="34"/>
        <v>0</v>
      </c>
      <c r="G126" s="11">
        <f t="shared" si="34"/>
        <v>0</v>
      </c>
      <c r="H126" s="11">
        <f t="shared" si="34"/>
        <v>0</v>
      </c>
      <c r="I126" s="11">
        <f t="shared" si="34"/>
        <v>0</v>
      </c>
      <c r="J126" s="11">
        <f t="shared" si="34"/>
        <v>0</v>
      </c>
      <c r="K126" s="11">
        <f t="shared" si="34"/>
        <v>0</v>
      </c>
      <c r="L126" s="11">
        <f t="shared" si="34"/>
        <v>0</v>
      </c>
      <c r="M126" s="11">
        <f t="shared" si="34"/>
        <v>0</v>
      </c>
      <c r="N126" s="11">
        <f t="shared" si="34"/>
        <v>0</v>
      </c>
      <c r="O126" s="11">
        <f t="shared" si="34"/>
        <v>0</v>
      </c>
      <c r="P126" s="11">
        <f t="shared" si="34"/>
        <v>5272.75</v>
      </c>
      <c r="Q126" s="11">
        <f t="shared" si="34"/>
        <v>0</v>
      </c>
      <c r="R126" s="11">
        <f t="shared" si="34"/>
        <v>0</v>
      </c>
      <c r="S126" s="11">
        <f t="shared" si="34"/>
        <v>0</v>
      </c>
      <c r="T126" s="11">
        <f t="shared" si="34"/>
        <v>5272.75</v>
      </c>
    </row>
    <row r="127" spans="1:20" ht="10.5" x14ac:dyDescent="0.25">
      <c r="A127" s="12" t="s">
        <v>109</v>
      </c>
      <c r="B127" s="11">
        <f t="shared" ref="B127:T127" si="35">SUM(B123,B126)</f>
        <v>0</v>
      </c>
      <c r="C127" s="11">
        <f t="shared" si="35"/>
        <v>4357.09</v>
      </c>
      <c r="D127" s="11">
        <f t="shared" si="35"/>
        <v>-27091.3</v>
      </c>
      <c r="E127" s="11">
        <f t="shared" si="35"/>
        <v>-3582.3768996600002</v>
      </c>
      <c r="F127" s="11">
        <f t="shared" si="35"/>
        <v>1122901.9173507001</v>
      </c>
      <c r="G127" s="11">
        <f t="shared" si="35"/>
        <v>3192.1532928000001</v>
      </c>
      <c r="H127" s="11">
        <f t="shared" si="35"/>
        <v>32914.939968069477</v>
      </c>
      <c r="I127" s="11">
        <f t="shared" si="35"/>
        <v>19863.730159912622</v>
      </c>
      <c r="J127" s="11">
        <f t="shared" si="35"/>
        <v>13364.1714075</v>
      </c>
      <c r="K127" s="11">
        <f t="shared" si="35"/>
        <v>62377.717432226666</v>
      </c>
      <c r="L127" s="11">
        <f t="shared" si="35"/>
        <v>1254614.629611209</v>
      </c>
      <c r="M127" s="11">
        <f t="shared" si="35"/>
        <v>0</v>
      </c>
      <c r="N127" s="11">
        <f t="shared" si="35"/>
        <v>0</v>
      </c>
      <c r="O127" s="11">
        <f t="shared" si="35"/>
        <v>0</v>
      </c>
      <c r="P127" s="11">
        <f t="shared" si="35"/>
        <v>1223940.9527115491</v>
      </c>
      <c r="Q127" s="11">
        <f t="shared" si="35"/>
        <v>180273.3852201</v>
      </c>
      <c r="R127" s="11">
        <f t="shared" si="35"/>
        <v>1266.6433500000001</v>
      </c>
      <c r="S127" s="11">
        <f t="shared" si="35"/>
        <v>2454.1800183</v>
      </c>
      <c r="T127" s="11">
        <f t="shared" si="35"/>
        <v>1412292.2512999491</v>
      </c>
    </row>
    <row r="128" spans="1:20" ht="10.5" x14ac:dyDescent="0.25">
      <c r="A128" s="6" t="s">
        <v>110</v>
      </c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</row>
    <row r="129" spans="1:20" ht="10.5" x14ac:dyDescent="0.25">
      <c r="A129" s="7" t="s">
        <v>111</v>
      </c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</row>
    <row r="130" spans="1:20" x14ac:dyDescent="0.2">
      <c r="A130" s="8" t="s">
        <v>112</v>
      </c>
      <c r="B130" s="9">
        <v>0</v>
      </c>
      <c r="C130" s="9">
        <v>0</v>
      </c>
      <c r="D130" s="9">
        <v>0</v>
      </c>
      <c r="E130" s="9">
        <v>0</v>
      </c>
      <c r="F130" s="9">
        <v>-1305.1929425999999</v>
      </c>
      <c r="G130" s="9">
        <v>0</v>
      </c>
      <c r="H130" s="9">
        <v>0</v>
      </c>
      <c r="I130" s="9">
        <v>0</v>
      </c>
      <c r="J130" s="9">
        <v>0</v>
      </c>
      <c r="K130" s="9">
        <v>0</v>
      </c>
      <c r="L130" s="9">
        <f t="shared" ref="L130:L148" si="36">SUM(F130:K130)</f>
        <v>-1305.1929425999999</v>
      </c>
      <c r="M130" s="9">
        <v>0</v>
      </c>
      <c r="N130" s="9">
        <v>0</v>
      </c>
      <c r="O130" s="9">
        <f t="shared" ref="O130:O148" si="37">SUM(M130:N130)</f>
        <v>0</v>
      </c>
      <c r="P130" s="9">
        <f t="shared" ref="P130:P148" si="38">SUM(D130:E130,L130,O130)</f>
        <v>-1305.1929425999999</v>
      </c>
      <c r="Q130" s="9">
        <v>0</v>
      </c>
      <c r="R130" s="9">
        <v>0</v>
      </c>
      <c r="S130" s="9">
        <v>0</v>
      </c>
      <c r="T130" s="9">
        <f t="shared" ref="T130:T148" si="39">SUM(B130:C130,P130:S130)</f>
        <v>-1305.1929425999999</v>
      </c>
    </row>
    <row r="131" spans="1:20" x14ac:dyDescent="0.2">
      <c r="A131" s="8" t="s">
        <v>113</v>
      </c>
      <c r="B131" s="9">
        <v>0</v>
      </c>
      <c r="C131" s="9">
        <v>0</v>
      </c>
      <c r="D131" s="9">
        <v>0</v>
      </c>
      <c r="E131" s="9">
        <v>0</v>
      </c>
      <c r="F131" s="9">
        <v>480.58948500000002</v>
      </c>
      <c r="G131" s="9">
        <v>0</v>
      </c>
      <c r="H131" s="9">
        <v>0</v>
      </c>
      <c r="I131" s="9">
        <v>0</v>
      </c>
      <c r="J131" s="9">
        <v>0</v>
      </c>
      <c r="K131" s="9">
        <v>0</v>
      </c>
      <c r="L131" s="9">
        <f t="shared" si="36"/>
        <v>480.58948500000002</v>
      </c>
      <c r="M131" s="9">
        <v>0</v>
      </c>
      <c r="N131" s="9">
        <v>0</v>
      </c>
      <c r="O131" s="9">
        <f t="shared" si="37"/>
        <v>0</v>
      </c>
      <c r="P131" s="9">
        <f t="shared" si="38"/>
        <v>480.58948500000002</v>
      </c>
      <c r="Q131" s="9">
        <v>0</v>
      </c>
      <c r="R131" s="9">
        <v>0</v>
      </c>
      <c r="S131" s="9">
        <v>0</v>
      </c>
      <c r="T131" s="9">
        <f t="shared" si="39"/>
        <v>480.58948500000002</v>
      </c>
    </row>
    <row r="132" spans="1:20" x14ac:dyDescent="0.2">
      <c r="A132" s="8" t="s">
        <v>114</v>
      </c>
      <c r="B132" s="9">
        <v>0</v>
      </c>
      <c r="C132" s="9">
        <v>0</v>
      </c>
      <c r="D132" s="9">
        <v>0</v>
      </c>
      <c r="E132" s="9">
        <v>0</v>
      </c>
      <c r="F132" s="9">
        <v>515.02702529999999</v>
      </c>
      <c r="G132" s="9">
        <v>0</v>
      </c>
      <c r="H132" s="9">
        <v>0</v>
      </c>
      <c r="I132" s="9">
        <v>0</v>
      </c>
      <c r="J132" s="9">
        <v>0</v>
      </c>
      <c r="K132" s="9">
        <v>0</v>
      </c>
      <c r="L132" s="9">
        <f t="shared" si="36"/>
        <v>515.02702529999999</v>
      </c>
      <c r="M132" s="9">
        <v>0</v>
      </c>
      <c r="N132" s="9">
        <v>0</v>
      </c>
      <c r="O132" s="9">
        <f t="shared" si="37"/>
        <v>0</v>
      </c>
      <c r="P132" s="9">
        <f t="shared" si="38"/>
        <v>515.02702529999999</v>
      </c>
      <c r="Q132" s="9">
        <v>0</v>
      </c>
      <c r="R132" s="9">
        <v>0</v>
      </c>
      <c r="S132" s="9">
        <v>0</v>
      </c>
      <c r="T132" s="9">
        <f t="shared" si="39"/>
        <v>515.02702529999999</v>
      </c>
    </row>
    <row r="133" spans="1:20" x14ac:dyDescent="0.2">
      <c r="A133" s="8" t="s">
        <v>115</v>
      </c>
      <c r="B133" s="9">
        <v>0</v>
      </c>
      <c r="C133" s="9">
        <v>0</v>
      </c>
      <c r="D133" s="9">
        <v>0</v>
      </c>
      <c r="E133" s="9">
        <v>0</v>
      </c>
      <c r="F133" s="9">
        <v>1918.4725632</v>
      </c>
      <c r="G133" s="9">
        <v>0</v>
      </c>
      <c r="H133" s="9">
        <v>0</v>
      </c>
      <c r="I133" s="9">
        <v>0</v>
      </c>
      <c r="J133" s="9">
        <v>0</v>
      </c>
      <c r="K133" s="9">
        <v>0</v>
      </c>
      <c r="L133" s="9">
        <f t="shared" si="36"/>
        <v>1918.4725632</v>
      </c>
      <c r="M133" s="9">
        <v>0</v>
      </c>
      <c r="N133" s="9">
        <v>0</v>
      </c>
      <c r="O133" s="9">
        <f t="shared" si="37"/>
        <v>0</v>
      </c>
      <c r="P133" s="9">
        <f t="shared" si="38"/>
        <v>1918.4725632</v>
      </c>
      <c r="Q133" s="9">
        <v>0</v>
      </c>
      <c r="R133" s="9">
        <v>0</v>
      </c>
      <c r="S133" s="9">
        <v>0</v>
      </c>
      <c r="T133" s="9">
        <f t="shared" si="39"/>
        <v>1918.4725632</v>
      </c>
    </row>
    <row r="134" spans="1:20" x14ac:dyDescent="0.2">
      <c r="A134" s="8" t="s">
        <v>116</v>
      </c>
      <c r="B134" s="9">
        <v>0</v>
      </c>
      <c r="C134" s="9">
        <v>0</v>
      </c>
      <c r="D134" s="9">
        <v>0</v>
      </c>
      <c r="E134" s="9">
        <v>0</v>
      </c>
      <c r="F134" s="9">
        <v>0</v>
      </c>
      <c r="G134" s="9">
        <v>-510.91575449999999</v>
      </c>
      <c r="H134" s="9">
        <v>0</v>
      </c>
      <c r="I134" s="9">
        <v>0</v>
      </c>
      <c r="J134" s="9">
        <v>0</v>
      </c>
      <c r="K134" s="9">
        <v>0</v>
      </c>
      <c r="L134" s="9">
        <f t="shared" si="36"/>
        <v>-510.91575449999999</v>
      </c>
      <c r="M134" s="9">
        <v>0</v>
      </c>
      <c r="N134" s="9">
        <v>0</v>
      </c>
      <c r="O134" s="9">
        <f t="shared" si="37"/>
        <v>0</v>
      </c>
      <c r="P134" s="9">
        <f t="shared" si="38"/>
        <v>-510.91575449999999</v>
      </c>
      <c r="Q134" s="9">
        <v>0</v>
      </c>
      <c r="R134" s="9">
        <v>0</v>
      </c>
      <c r="S134" s="9">
        <v>0</v>
      </c>
      <c r="T134" s="9">
        <f t="shared" si="39"/>
        <v>-510.91575449999999</v>
      </c>
    </row>
    <row r="135" spans="1:20" x14ac:dyDescent="0.2">
      <c r="A135" s="8" t="s">
        <v>117</v>
      </c>
      <c r="B135" s="9">
        <v>0</v>
      </c>
      <c r="C135" s="9">
        <v>0</v>
      </c>
      <c r="D135" s="9">
        <v>0</v>
      </c>
      <c r="E135" s="9">
        <v>0</v>
      </c>
      <c r="F135" s="9">
        <v>0</v>
      </c>
      <c r="G135" s="9">
        <v>434.733003</v>
      </c>
      <c r="H135" s="9">
        <v>0</v>
      </c>
      <c r="I135" s="9">
        <v>0</v>
      </c>
      <c r="J135" s="9">
        <v>0</v>
      </c>
      <c r="K135" s="9">
        <v>0</v>
      </c>
      <c r="L135" s="9">
        <f t="shared" si="36"/>
        <v>434.733003</v>
      </c>
      <c r="M135" s="9">
        <v>0</v>
      </c>
      <c r="N135" s="9">
        <v>0</v>
      </c>
      <c r="O135" s="9">
        <f t="shared" si="37"/>
        <v>0</v>
      </c>
      <c r="P135" s="9">
        <f t="shared" si="38"/>
        <v>434.733003</v>
      </c>
      <c r="Q135" s="9">
        <v>0</v>
      </c>
      <c r="R135" s="9">
        <v>0</v>
      </c>
      <c r="S135" s="9">
        <v>0</v>
      </c>
      <c r="T135" s="9">
        <f t="shared" si="39"/>
        <v>434.733003</v>
      </c>
    </row>
    <row r="136" spans="1:20" x14ac:dyDescent="0.2">
      <c r="A136" s="8" t="s">
        <v>118</v>
      </c>
      <c r="B136" s="9">
        <v>0</v>
      </c>
      <c r="C136" s="9">
        <v>0</v>
      </c>
      <c r="D136" s="9">
        <v>0</v>
      </c>
      <c r="E136" s="9">
        <v>0</v>
      </c>
      <c r="F136" s="9">
        <v>0</v>
      </c>
      <c r="G136" s="9">
        <v>-12.367696499999999</v>
      </c>
      <c r="H136" s="9">
        <v>0</v>
      </c>
      <c r="I136" s="9">
        <v>0</v>
      </c>
      <c r="J136" s="9">
        <v>0</v>
      </c>
      <c r="K136" s="9">
        <v>0</v>
      </c>
      <c r="L136" s="9">
        <f t="shared" si="36"/>
        <v>-12.367696499999999</v>
      </c>
      <c r="M136" s="9">
        <v>0</v>
      </c>
      <c r="N136" s="9">
        <v>0</v>
      </c>
      <c r="O136" s="9">
        <f t="shared" si="37"/>
        <v>0</v>
      </c>
      <c r="P136" s="9">
        <f t="shared" si="38"/>
        <v>-12.367696499999999</v>
      </c>
      <c r="Q136" s="9">
        <v>0</v>
      </c>
      <c r="R136" s="9">
        <v>0</v>
      </c>
      <c r="S136" s="9">
        <v>0</v>
      </c>
      <c r="T136" s="9">
        <f t="shared" si="39"/>
        <v>-12.367696499999999</v>
      </c>
    </row>
    <row r="137" spans="1:20" x14ac:dyDescent="0.2">
      <c r="A137" s="8" t="s">
        <v>119</v>
      </c>
      <c r="B137" s="9">
        <v>0</v>
      </c>
      <c r="C137" s="9">
        <v>0</v>
      </c>
      <c r="D137" s="9">
        <v>0</v>
      </c>
      <c r="E137" s="9">
        <v>0</v>
      </c>
      <c r="F137" s="9">
        <v>0</v>
      </c>
      <c r="G137" s="9">
        <v>-217.86346829999999</v>
      </c>
      <c r="H137" s="9">
        <v>0</v>
      </c>
      <c r="I137" s="9">
        <v>0</v>
      </c>
      <c r="J137" s="9">
        <v>0</v>
      </c>
      <c r="K137" s="9">
        <v>0</v>
      </c>
      <c r="L137" s="9">
        <f t="shared" si="36"/>
        <v>-217.86346829999999</v>
      </c>
      <c r="M137" s="9">
        <v>0</v>
      </c>
      <c r="N137" s="9">
        <v>0</v>
      </c>
      <c r="O137" s="9">
        <f t="shared" si="37"/>
        <v>0</v>
      </c>
      <c r="P137" s="9">
        <f t="shared" si="38"/>
        <v>-217.86346829999999</v>
      </c>
      <c r="Q137" s="9">
        <v>0</v>
      </c>
      <c r="R137" s="9">
        <v>0</v>
      </c>
      <c r="S137" s="9">
        <v>0</v>
      </c>
      <c r="T137" s="9">
        <f t="shared" si="39"/>
        <v>-217.86346829999999</v>
      </c>
    </row>
    <row r="138" spans="1:20" x14ac:dyDescent="0.2">
      <c r="A138" s="8" t="s">
        <v>120</v>
      </c>
      <c r="B138" s="9">
        <v>0</v>
      </c>
      <c r="C138" s="9">
        <v>0</v>
      </c>
      <c r="D138" s="9">
        <v>0</v>
      </c>
      <c r="E138" s="9">
        <v>0</v>
      </c>
      <c r="F138" s="9">
        <v>0</v>
      </c>
      <c r="G138" s="9">
        <v>1792.5592475999999</v>
      </c>
      <c r="H138" s="9">
        <v>0</v>
      </c>
      <c r="I138" s="9">
        <v>0</v>
      </c>
      <c r="J138" s="9">
        <v>0</v>
      </c>
      <c r="K138" s="9">
        <v>0</v>
      </c>
      <c r="L138" s="9">
        <f t="shared" si="36"/>
        <v>1792.5592475999999</v>
      </c>
      <c r="M138" s="9">
        <v>0</v>
      </c>
      <c r="N138" s="9">
        <v>0</v>
      </c>
      <c r="O138" s="9">
        <f t="shared" si="37"/>
        <v>0</v>
      </c>
      <c r="P138" s="9">
        <f t="shared" si="38"/>
        <v>1792.5592475999999</v>
      </c>
      <c r="Q138" s="9">
        <v>0</v>
      </c>
      <c r="R138" s="9">
        <v>0</v>
      </c>
      <c r="S138" s="9">
        <v>0</v>
      </c>
      <c r="T138" s="9">
        <f t="shared" si="39"/>
        <v>1792.5592475999999</v>
      </c>
    </row>
    <row r="139" spans="1:20" x14ac:dyDescent="0.2">
      <c r="A139" s="8" t="s">
        <v>121</v>
      </c>
      <c r="B139" s="9">
        <v>0</v>
      </c>
      <c r="C139" s="9">
        <v>0</v>
      </c>
      <c r="D139" s="9">
        <v>0</v>
      </c>
      <c r="E139" s="9">
        <v>0</v>
      </c>
      <c r="F139" s="9">
        <v>0</v>
      </c>
      <c r="G139" s="9">
        <v>0</v>
      </c>
      <c r="H139" s="9">
        <v>0</v>
      </c>
      <c r="I139" s="9">
        <v>0</v>
      </c>
      <c r="J139" s="9">
        <v>0</v>
      </c>
      <c r="K139" s="9">
        <v>54226.377462697565</v>
      </c>
      <c r="L139" s="9">
        <f t="shared" si="36"/>
        <v>54226.377462697565</v>
      </c>
      <c r="M139" s="9">
        <v>0</v>
      </c>
      <c r="N139" s="9">
        <v>0</v>
      </c>
      <c r="O139" s="9">
        <f t="shared" si="37"/>
        <v>0</v>
      </c>
      <c r="P139" s="9">
        <f t="shared" si="38"/>
        <v>54226.377462697565</v>
      </c>
      <c r="Q139" s="9">
        <v>0</v>
      </c>
      <c r="R139" s="9">
        <v>0</v>
      </c>
      <c r="S139" s="9">
        <v>0</v>
      </c>
      <c r="T139" s="9">
        <f t="shared" si="39"/>
        <v>54226.377462697565</v>
      </c>
    </row>
    <row r="140" spans="1:20" x14ac:dyDescent="0.2">
      <c r="A140" s="8" t="s">
        <v>122</v>
      </c>
      <c r="B140" s="9">
        <v>0</v>
      </c>
      <c r="C140" s="9">
        <v>0</v>
      </c>
      <c r="D140" s="9">
        <v>0</v>
      </c>
      <c r="E140" s="9">
        <v>0</v>
      </c>
      <c r="F140" s="9">
        <v>0</v>
      </c>
      <c r="G140" s="9">
        <v>0</v>
      </c>
      <c r="H140" s="9">
        <v>0</v>
      </c>
      <c r="I140" s="9">
        <v>0</v>
      </c>
      <c r="J140" s="9">
        <v>0</v>
      </c>
      <c r="K140" s="9">
        <v>21162.314051727484</v>
      </c>
      <c r="L140" s="9">
        <f t="shared" si="36"/>
        <v>21162.314051727484</v>
      </c>
      <c r="M140" s="9">
        <v>0</v>
      </c>
      <c r="N140" s="9">
        <v>0</v>
      </c>
      <c r="O140" s="9">
        <f t="shared" si="37"/>
        <v>0</v>
      </c>
      <c r="P140" s="9">
        <f t="shared" si="38"/>
        <v>21162.314051727484</v>
      </c>
      <c r="Q140" s="9">
        <v>0</v>
      </c>
      <c r="R140" s="9">
        <v>0</v>
      </c>
      <c r="S140" s="9">
        <v>0</v>
      </c>
      <c r="T140" s="9">
        <f t="shared" si="39"/>
        <v>21162.314051727484</v>
      </c>
    </row>
    <row r="141" spans="1:20" x14ac:dyDescent="0.2">
      <c r="A141" s="8" t="s">
        <v>123</v>
      </c>
      <c r="B141" s="9">
        <v>0</v>
      </c>
      <c r="C141" s="9">
        <v>0</v>
      </c>
      <c r="D141" s="9">
        <v>0</v>
      </c>
      <c r="E141" s="9">
        <v>0</v>
      </c>
      <c r="F141" s="9">
        <v>0</v>
      </c>
      <c r="G141" s="9">
        <v>0</v>
      </c>
      <c r="H141" s="9">
        <v>0</v>
      </c>
      <c r="I141" s="9">
        <v>0</v>
      </c>
      <c r="J141" s="9">
        <v>0</v>
      </c>
      <c r="K141" s="9">
        <v>-2256.5088225114623</v>
      </c>
      <c r="L141" s="9">
        <f t="shared" si="36"/>
        <v>-2256.5088225114623</v>
      </c>
      <c r="M141" s="9">
        <v>0</v>
      </c>
      <c r="N141" s="9">
        <v>0</v>
      </c>
      <c r="O141" s="9">
        <f t="shared" si="37"/>
        <v>0</v>
      </c>
      <c r="P141" s="9">
        <f t="shared" si="38"/>
        <v>-2256.5088225114623</v>
      </c>
      <c r="Q141" s="9">
        <v>0</v>
      </c>
      <c r="R141" s="9">
        <v>0</v>
      </c>
      <c r="S141" s="9">
        <v>0</v>
      </c>
      <c r="T141" s="9">
        <f t="shared" si="39"/>
        <v>-2256.5088225114623</v>
      </c>
    </row>
    <row r="142" spans="1:20" x14ac:dyDescent="0.2">
      <c r="A142" s="8" t="s">
        <v>285</v>
      </c>
      <c r="B142" s="9">
        <v>0</v>
      </c>
      <c r="C142" s="9">
        <v>0</v>
      </c>
      <c r="D142" s="9">
        <v>0</v>
      </c>
      <c r="E142" s="9">
        <v>0</v>
      </c>
      <c r="F142" s="9">
        <v>0</v>
      </c>
      <c r="G142" s="9">
        <v>0</v>
      </c>
      <c r="H142" s="9">
        <v>0</v>
      </c>
      <c r="I142" s="9">
        <v>0</v>
      </c>
      <c r="J142" s="9">
        <v>0</v>
      </c>
      <c r="K142" s="9">
        <v>3364.432883280605</v>
      </c>
      <c r="L142" s="9">
        <f t="shared" si="36"/>
        <v>3364.432883280605</v>
      </c>
      <c r="M142" s="9">
        <v>0</v>
      </c>
      <c r="N142" s="9">
        <v>0</v>
      </c>
      <c r="O142" s="9">
        <f t="shared" si="37"/>
        <v>0</v>
      </c>
      <c r="P142" s="9">
        <f t="shared" si="38"/>
        <v>3364.432883280605</v>
      </c>
      <c r="Q142" s="9">
        <v>0</v>
      </c>
      <c r="R142" s="9">
        <v>0</v>
      </c>
      <c r="S142" s="9">
        <v>0</v>
      </c>
      <c r="T142" s="9">
        <f t="shared" si="39"/>
        <v>3364.432883280605</v>
      </c>
    </row>
    <row r="143" spans="1:20" x14ac:dyDescent="0.2">
      <c r="A143" s="8" t="s">
        <v>286</v>
      </c>
      <c r="B143" s="9">
        <v>0</v>
      </c>
      <c r="C143" s="9">
        <v>0</v>
      </c>
      <c r="D143" s="9">
        <v>0</v>
      </c>
      <c r="E143" s="9">
        <v>0</v>
      </c>
      <c r="F143" s="9">
        <v>0</v>
      </c>
      <c r="G143" s="9">
        <v>0</v>
      </c>
      <c r="H143" s="9">
        <v>0</v>
      </c>
      <c r="I143" s="9">
        <v>0</v>
      </c>
      <c r="J143" s="9">
        <v>0</v>
      </c>
      <c r="K143" s="9">
        <v>4323.6912561165664</v>
      </c>
      <c r="L143" s="9">
        <f t="shared" si="36"/>
        <v>4323.6912561165664</v>
      </c>
      <c r="M143" s="9">
        <v>0</v>
      </c>
      <c r="N143" s="9">
        <v>0</v>
      </c>
      <c r="O143" s="9">
        <f t="shared" si="37"/>
        <v>0</v>
      </c>
      <c r="P143" s="9">
        <f t="shared" si="38"/>
        <v>4323.6912561165664</v>
      </c>
      <c r="Q143" s="9">
        <v>0</v>
      </c>
      <c r="R143" s="9">
        <v>0</v>
      </c>
      <c r="S143" s="9">
        <v>0</v>
      </c>
      <c r="T143" s="9">
        <f t="shared" si="39"/>
        <v>4323.6912561165664</v>
      </c>
    </row>
    <row r="144" spans="1:20" x14ac:dyDescent="0.2">
      <c r="A144" s="8" t="s">
        <v>287</v>
      </c>
      <c r="B144" s="9">
        <v>0</v>
      </c>
      <c r="C144" s="9">
        <v>0</v>
      </c>
      <c r="D144" s="9">
        <v>0</v>
      </c>
      <c r="E144" s="9">
        <v>0</v>
      </c>
      <c r="F144" s="9">
        <v>0</v>
      </c>
      <c r="G144" s="9">
        <v>0</v>
      </c>
      <c r="H144" s="9">
        <v>0</v>
      </c>
      <c r="I144" s="9">
        <v>0</v>
      </c>
      <c r="J144" s="9">
        <v>0</v>
      </c>
      <c r="K144" s="9">
        <v>2834.5030880676804</v>
      </c>
      <c r="L144" s="9">
        <f t="shared" si="36"/>
        <v>2834.5030880676804</v>
      </c>
      <c r="M144" s="9">
        <v>0</v>
      </c>
      <c r="N144" s="9">
        <v>0</v>
      </c>
      <c r="O144" s="9">
        <f t="shared" si="37"/>
        <v>0</v>
      </c>
      <c r="P144" s="9">
        <f t="shared" si="38"/>
        <v>2834.5030880676804</v>
      </c>
      <c r="Q144" s="9">
        <v>0</v>
      </c>
      <c r="R144" s="9">
        <v>0</v>
      </c>
      <c r="S144" s="9">
        <v>0</v>
      </c>
      <c r="T144" s="9">
        <f t="shared" si="39"/>
        <v>2834.5030880676804</v>
      </c>
    </row>
    <row r="145" spans="1:20" x14ac:dyDescent="0.2">
      <c r="A145" s="8" t="s">
        <v>288</v>
      </c>
      <c r="B145" s="9">
        <v>0</v>
      </c>
      <c r="C145" s="9">
        <v>0</v>
      </c>
      <c r="D145" s="9">
        <v>0</v>
      </c>
      <c r="E145" s="9">
        <v>0</v>
      </c>
      <c r="F145" s="9">
        <v>0</v>
      </c>
      <c r="G145" s="9">
        <v>0</v>
      </c>
      <c r="H145" s="9">
        <v>0</v>
      </c>
      <c r="I145" s="9">
        <v>0</v>
      </c>
      <c r="J145" s="9">
        <v>0</v>
      </c>
      <c r="K145" s="9">
        <v>36110.604450741637</v>
      </c>
      <c r="L145" s="9">
        <f t="shared" si="36"/>
        <v>36110.604450741637</v>
      </c>
      <c r="M145" s="9">
        <v>0</v>
      </c>
      <c r="N145" s="9">
        <v>0</v>
      </c>
      <c r="O145" s="9">
        <f t="shared" si="37"/>
        <v>0</v>
      </c>
      <c r="P145" s="9">
        <f t="shared" si="38"/>
        <v>36110.604450741637</v>
      </c>
      <c r="Q145" s="9">
        <v>0</v>
      </c>
      <c r="R145" s="9">
        <v>0</v>
      </c>
      <c r="S145" s="9">
        <v>0</v>
      </c>
      <c r="T145" s="9">
        <f t="shared" si="39"/>
        <v>36110.604450741637</v>
      </c>
    </row>
    <row r="146" spans="1:20" x14ac:dyDescent="0.2">
      <c r="A146" s="8" t="s">
        <v>124</v>
      </c>
      <c r="B146" s="9">
        <v>0</v>
      </c>
      <c r="C146" s="9">
        <v>0</v>
      </c>
      <c r="D146" s="9">
        <v>0</v>
      </c>
      <c r="E146" s="9">
        <v>0</v>
      </c>
      <c r="F146" s="9">
        <v>0</v>
      </c>
      <c r="G146" s="9">
        <v>0</v>
      </c>
      <c r="H146" s="9">
        <v>0</v>
      </c>
      <c r="I146" s="9">
        <v>0</v>
      </c>
      <c r="J146" s="9">
        <v>0</v>
      </c>
      <c r="K146" s="9">
        <v>0</v>
      </c>
      <c r="L146" s="9">
        <f t="shared" si="36"/>
        <v>0</v>
      </c>
      <c r="M146" s="9">
        <v>0</v>
      </c>
      <c r="N146" s="9">
        <v>0</v>
      </c>
      <c r="O146" s="9">
        <f t="shared" si="37"/>
        <v>0</v>
      </c>
      <c r="P146" s="9">
        <f t="shared" si="38"/>
        <v>0</v>
      </c>
      <c r="Q146" s="9">
        <v>107.43518640000001</v>
      </c>
      <c r="R146" s="9">
        <v>0</v>
      </c>
      <c r="S146" s="9">
        <v>0</v>
      </c>
      <c r="T146" s="9">
        <f t="shared" si="39"/>
        <v>107.43518640000001</v>
      </c>
    </row>
    <row r="147" spans="1:20" x14ac:dyDescent="0.2">
      <c r="A147" s="8" t="s">
        <v>125</v>
      </c>
      <c r="B147" s="9">
        <v>0</v>
      </c>
      <c r="C147" s="9">
        <v>0</v>
      </c>
      <c r="D147" s="9">
        <v>0</v>
      </c>
      <c r="E147" s="9">
        <v>-410.51444562</v>
      </c>
      <c r="F147" s="9">
        <v>0</v>
      </c>
      <c r="G147" s="9">
        <v>0</v>
      </c>
      <c r="H147" s="9">
        <v>0</v>
      </c>
      <c r="I147" s="9">
        <v>0</v>
      </c>
      <c r="J147" s="9">
        <v>0</v>
      </c>
      <c r="K147" s="9">
        <v>0</v>
      </c>
      <c r="L147" s="9">
        <f t="shared" si="36"/>
        <v>0</v>
      </c>
      <c r="M147" s="9">
        <v>0</v>
      </c>
      <c r="N147" s="9">
        <v>0</v>
      </c>
      <c r="O147" s="9">
        <f t="shared" si="37"/>
        <v>0</v>
      </c>
      <c r="P147" s="9">
        <f t="shared" si="38"/>
        <v>-410.51444562</v>
      </c>
      <c r="Q147" s="9">
        <v>0</v>
      </c>
      <c r="R147" s="9">
        <v>0</v>
      </c>
      <c r="S147" s="9">
        <v>0</v>
      </c>
      <c r="T147" s="9">
        <f t="shared" si="39"/>
        <v>-410.51444562</v>
      </c>
    </row>
    <row r="148" spans="1:20" x14ac:dyDescent="0.2">
      <c r="A148" s="8" t="s">
        <v>126</v>
      </c>
      <c r="B148" s="9">
        <v>0</v>
      </c>
      <c r="C148" s="9">
        <v>0</v>
      </c>
      <c r="D148" s="9">
        <v>0</v>
      </c>
      <c r="E148" s="9">
        <v>-992.86626956999999</v>
      </c>
      <c r="F148" s="9">
        <v>0</v>
      </c>
      <c r="G148" s="9">
        <v>0</v>
      </c>
      <c r="H148" s="9">
        <v>0</v>
      </c>
      <c r="I148" s="9">
        <v>0</v>
      </c>
      <c r="J148" s="9">
        <v>0</v>
      </c>
      <c r="K148" s="9">
        <v>0</v>
      </c>
      <c r="L148" s="9">
        <f t="shared" si="36"/>
        <v>0</v>
      </c>
      <c r="M148" s="9">
        <v>0</v>
      </c>
      <c r="N148" s="9">
        <v>0</v>
      </c>
      <c r="O148" s="9">
        <f t="shared" si="37"/>
        <v>0</v>
      </c>
      <c r="P148" s="9">
        <f t="shared" si="38"/>
        <v>-992.86626956999999</v>
      </c>
      <c r="Q148" s="9">
        <v>0</v>
      </c>
      <c r="R148" s="9">
        <v>0</v>
      </c>
      <c r="S148" s="9">
        <v>0</v>
      </c>
      <c r="T148" s="9">
        <f t="shared" si="39"/>
        <v>-992.86626956999999</v>
      </c>
    </row>
    <row r="149" spans="1:20" ht="10.5" x14ac:dyDescent="0.25">
      <c r="A149" s="10" t="s">
        <v>127</v>
      </c>
      <c r="B149" s="11">
        <f t="shared" ref="B149:T149" si="40">SUM(B130:B148)</f>
        <v>0</v>
      </c>
      <c r="C149" s="11">
        <f t="shared" si="40"/>
        <v>0</v>
      </c>
      <c r="D149" s="11">
        <f t="shared" si="40"/>
        <v>0</v>
      </c>
      <c r="E149" s="11">
        <f t="shared" si="40"/>
        <v>-1403.38071519</v>
      </c>
      <c r="F149" s="11">
        <f t="shared" si="40"/>
        <v>1608.8961309000001</v>
      </c>
      <c r="G149" s="11">
        <f t="shared" si="40"/>
        <v>1486.1453313</v>
      </c>
      <c r="H149" s="11">
        <f t="shared" si="40"/>
        <v>0</v>
      </c>
      <c r="I149" s="11">
        <f t="shared" si="40"/>
        <v>0</v>
      </c>
      <c r="J149" s="11">
        <f t="shared" si="40"/>
        <v>0</v>
      </c>
      <c r="K149" s="11">
        <f t="shared" si="40"/>
        <v>119765.41437012008</v>
      </c>
      <c r="L149" s="11">
        <f t="shared" si="40"/>
        <v>122860.45583232008</v>
      </c>
      <c r="M149" s="11">
        <f t="shared" si="40"/>
        <v>0</v>
      </c>
      <c r="N149" s="11">
        <f t="shared" si="40"/>
        <v>0</v>
      </c>
      <c r="O149" s="11">
        <f t="shared" si="40"/>
        <v>0</v>
      </c>
      <c r="P149" s="11">
        <f t="shared" si="40"/>
        <v>121457.07511713007</v>
      </c>
      <c r="Q149" s="11">
        <f t="shared" si="40"/>
        <v>107.43518640000001</v>
      </c>
      <c r="R149" s="11">
        <f t="shared" si="40"/>
        <v>0</v>
      </c>
      <c r="S149" s="11">
        <f t="shared" si="40"/>
        <v>0</v>
      </c>
      <c r="T149" s="11">
        <f t="shared" si="40"/>
        <v>121564.51030353007</v>
      </c>
    </row>
    <row r="150" spans="1:20" ht="10.5" x14ac:dyDescent="0.25">
      <c r="A150" s="12" t="s">
        <v>128</v>
      </c>
      <c r="B150" s="11">
        <f t="shared" ref="B150:T150" si="41">SUM(B149)</f>
        <v>0</v>
      </c>
      <c r="C150" s="11">
        <f t="shared" si="41"/>
        <v>0</v>
      </c>
      <c r="D150" s="11">
        <f t="shared" si="41"/>
        <v>0</v>
      </c>
      <c r="E150" s="11">
        <f t="shared" si="41"/>
        <v>-1403.38071519</v>
      </c>
      <c r="F150" s="11">
        <f t="shared" si="41"/>
        <v>1608.8961309000001</v>
      </c>
      <c r="G150" s="11">
        <f t="shared" si="41"/>
        <v>1486.1453313</v>
      </c>
      <c r="H150" s="11">
        <f t="shared" si="41"/>
        <v>0</v>
      </c>
      <c r="I150" s="11">
        <f t="shared" si="41"/>
        <v>0</v>
      </c>
      <c r="J150" s="11">
        <f t="shared" si="41"/>
        <v>0</v>
      </c>
      <c r="K150" s="11">
        <f t="shared" si="41"/>
        <v>119765.41437012008</v>
      </c>
      <c r="L150" s="11">
        <f t="shared" si="41"/>
        <v>122860.45583232008</v>
      </c>
      <c r="M150" s="11">
        <f t="shared" si="41"/>
        <v>0</v>
      </c>
      <c r="N150" s="11">
        <f t="shared" si="41"/>
        <v>0</v>
      </c>
      <c r="O150" s="11">
        <f t="shared" si="41"/>
        <v>0</v>
      </c>
      <c r="P150" s="11">
        <f t="shared" si="41"/>
        <v>121457.07511713007</v>
      </c>
      <c r="Q150" s="11">
        <f t="shared" si="41"/>
        <v>107.43518640000001</v>
      </c>
      <c r="R150" s="11">
        <f t="shared" si="41"/>
        <v>0</v>
      </c>
      <c r="S150" s="11">
        <f t="shared" si="41"/>
        <v>0</v>
      </c>
      <c r="T150" s="11">
        <f t="shared" si="41"/>
        <v>121564.51030353007</v>
      </c>
    </row>
    <row r="151" spans="1:20" ht="10.5" x14ac:dyDescent="0.25">
      <c r="A151" s="6" t="s">
        <v>129</v>
      </c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</row>
    <row r="152" spans="1:20" ht="10.5" x14ac:dyDescent="0.25">
      <c r="A152" s="7" t="s">
        <v>130</v>
      </c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</row>
    <row r="153" spans="1:20" x14ac:dyDescent="0.2">
      <c r="A153" s="8" t="s">
        <v>131</v>
      </c>
      <c r="B153" s="9">
        <v>0</v>
      </c>
      <c r="C153" s="9">
        <v>0</v>
      </c>
      <c r="D153" s="9">
        <v>0</v>
      </c>
      <c r="E153" s="9">
        <v>0</v>
      </c>
      <c r="F153" s="9">
        <v>88.900583699999999</v>
      </c>
      <c r="G153" s="9">
        <v>0</v>
      </c>
      <c r="H153" s="9">
        <v>0</v>
      </c>
      <c r="I153" s="9">
        <v>0</v>
      </c>
      <c r="J153" s="9">
        <v>0</v>
      </c>
      <c r="K153" s="9">
        <v>0</v>
      </c>
      <c r="L153" s="9">
        <f>SUM(F153:K153)</f>
        <v>88.900583699999999</v>
      </c>
      <c r="M153" s="9">
        <v>0</v>
      </c>
      <c r="N153" s="9">
        <v>0</v>
      </c>
      <c r="O153" s="9">
        <f>SUM(M153:N153)</f>
        <v>0</v>
      </c>
      <c r="P153" s="9">
        <f>SUM(D153:E153,L153,O153)</f>
        <v>88.900583699999999</v>
      </c>
      <c r="Q153" s="9">
        <v>-3946.0519284000002</v>
      </c>
      <c r="R153" s="9">
        <v>0</v>
      </c>
      <c r="S153" s="9">
        <v>0</v>
      </c>
      <c r="T153" s="9">
        <f>SUM(B153:C153,P153:S153)</f>
        <v>-3857.1513447000002</v>
      </c>
    </row>
    <row r="154" spans="1:20" x14ac:dyDescent="0.2">
      <c r="A154" s="8" t="s">
        <v>320</v>
      </c>
      <c r="B154" s="9">
        <v>0</v>
      </c>
      <c r="C154" s="9">
        <v>0</v>
      </c>
      <c r="D154" s="9">
        <v>0</v>
      </c>
      <c r="E154" s="9">
        <v>0</v>
      </c>
      <c r="F154" s="9">
        <v>0</v>
      </c>
      <c r="G154" s="9">
        <v>0</v>
      </c>
      <c r="H154" s="9">
        <v>0</v>
      </c>
      <c r="I154" s="9">
        <v>160.19324938512719</v>
      </c>
      <c r="J154" s="9">
        <v>0</v>
      </c>
      <c r="K154" s="9">
        <v>0</v>
      </c>
      <c r="L154" s="9">
        <f>SUM(F154:K154)</f>
        <v>160.19324938512719</v>
      </c>
      <c r="M154" s="9">
        <v>0</v>
      </c>
      <c r="N154" s="9">
        <v>0</v>
      </c>
      <c r="O154" s="9">
        <f>SUM(M154:N154)</f>
        <v>0</v>
      </c>
      <c r="P154" s="9">
        <f>SUM(D154:E154,L154,O154)</f>
        <v>160.19324938512719</v>
      </c>
      <c r="Q154" s="9">
        <v>0</v>
      </c>
      <c r="R154" s="9">
        <v>0</v>
      </c>
      <c r="S154" s="9">
        <v>0</v>
      </c>
      <c r="T154" s="9">
        <f>SUM(B154:C154,P154:S154)</f>
        <v>160.19324938512719</v>
      </c>
    </row>
    <row r="155" spans="1:20" x14ac:dyDescent="0.2">
      <c r="A155" s="8" t="s">
        <v>132</v>
      </c>
      <c r="B155" s="9">
        <v>0</v>
      </c>
      <c r="C155" s="9">
        <v>-15111.3</v>
      </c>
      <c r="D155" s="9">
        <v>0</v>
      </c>
      <c r="E155" s="9">
        <v>0</v>
      </c>
      <c r="F155" s="9">
        <v>150558.9947979</v>
      </c>
      <c r="G155" s="9">
        <v>0</v>
      </c>
      <c r="H155" s="9">
        <v>5128.6316606794935</v>
      </c>
      <c r="I155" s="9">
        <v>2577.6354199173202</v>
      </c>
      <c r="J155" s="9">
        <v>0</v>
      </c>
      <c r="K155" s="9">
        <v>0</v>
      </c>
      <c r="L155" s="9">
        <f>SUM(F155:K155)</f>
        <v>158265.26187849682</v>
      </c>
      <c r="M155" s="9">
        <v>0</v>
      </c>
      <c r="N155" s="9">
        <v>0</v>
      </c>
      <c r="O155" s="9">
        <f>SUM(M155:N155)</f>
        <v>0</v>
      </c>
      <c r="P155" s="9">
        <f>SUM(D155:E155,L155,O155)</f>
        <v>158265.26187849682</v>
      </c>
      <c r="Q155" s="9">
        <v>0</v>
      </c>
      <c r="R155" s="9">
        <v>0</v>
      </c>
      <c r="S155" s="9">
        <v>0</v>
      </c>
      <c r="T155" s="9">
        <f>SUM(B155:C155,P155:S155)</f>
        <v>143153.96187849683</v>
      </c>
    </row>
    <row r="156" spans="1:20" x14ac:dyDescent="0.2">
      <c r="A156" s="8" t="s">
        <v>133</v>
      </c>
      <c r="B156" s="9">
        <v>0</v>
      </c>
      <c r="C156" s="9">
        <v>0</v>
      </c>
      <c r="D156" s="9">
        <v>0</v>
      </c>
      <c r="E156" s="9">
        <v>0</v>
      </c>
      <c r="F156" s="9">
        <v>36.210808200000002</v>
      </c>
      <c r="G156" s="9">
        <v>0</v>
      </c>
      <c r="H156" s="9">
        <v>3565.7568240418932</v>
      </c>
      <c r="I156" s="9">
        <v>0</v>
      </c>
      <c r="J156" s="9">
        <v>0</v>
      </c>
      <c r="K156" s="9">
        <v>0</v>
      </c>
      <c r="L156" s="9">
        <f>SUM(F156:K156)</f>
        <v>3601.9676322418932</v>
      </c>
      <c r="M156" s="9">
        <v>0</v>
      </c>
      <c r="N156" s="9">
        <v>0</v>
      </c>
      <c r="O156" s="9">
        <f>SUM(M156:N156)</f>
        <v>0</v>
      </c>
      <c r="P156" s="9">
        <f>SUM(D156:E156,L156,O156)</f>
        <v>3601.9676322418932</v>
      </c>
      <c r="Q156" s="9">
        <v>0</v>
      </c>
      <c r="R156" s="9">
        <v>0</v>
      </c>
      <c r="S156" s="9">
        <v>0</v>
      </c>
      <c r="T156" s="9">
        <f>SUM(B156:C156,P156:S156)</f>
        <v>3601.9676322418932</v>
      </c>
    </row>
    <row r="157" spans="1:20" x14ac:dyDescent="0.2">
      <c r="A157" s="8" t="s">
        <v>134</v>
      </c>
      <c r="B157" s="9">
        <v>0</v>
      </c>
      <c r="C157" s="9">
        <v>0</v>
      </c>
      <c r="D157" s="9">
        <v>0</v>
      </c>
      <c r="E157" s="9">
        <v>0</v>
      </c>
      <c r="F157" s="9">
        <v>196081.83135990001</v>
      </c>
      <c r="G157" s="9">
        <v>0</v>
      </c>
      <c r="H157" s="9">
        <v>79.033712224965299</v>
      </c>
      <c r="I157" s="9">
        <v>0</v>
      </c>
      <c r="J157" s="9">
        <v>0</v>
      </c>
      <c r="K157" s="9">
        <v>0</v>
      </c>
      <c r="L157" s="9">
        <f>SUM(F157:K157)</f>
        <v>196160.86507212499</v>
      </c>
      <c r="M157" s="9">
        <v>0</v>
      </c>
      <c r="N157" s="9">
        <v>0</v>
      </c>
      <c r="O157" s="9">
        <f>SUM(M157:N157)</f>
        <v>0</v>
      </c>
      <c r="P157" s="9">
        <f>SUM(D157:E157,L157,O157)</f>
        <v>196160.86507212499</v>
      </c>
      <c r="Q157" s="9">
        <v>0</v>
      </c>
      <c r="R157" s="9">
        <v>0</v>
      </c>
      <c r="S157" s="9">
        <v>0</v>
      </c>
      <c r="T157" s="9">
        <f>SUM(B157:C157,P157:S157)</f>
        <v>196160.86507212499</v>
      </c>
    </row>
    <row r="158" spans="1:20" ht="10.5" x14ac:dyDescent="0.25">
      <c r="A158" s="13" t="s">
        <v>135</v>
      </c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</row>
    <row r="159" spans="1:20" x14ac:dyDescent="0.2">
      <c r="A159" s="14" t="s">
        <v>135</v>
      </c>
      <c r="B159" s="9">
        <v>0</v>
      </c>
      <c r="C159" s="9">
        <v>0</v>
      </c>
      <c r="D159" s="9">
        <v>252222.6</v>
      </c>
      <c r="E159" s="9">
        <v>7852.0212000000001</v>
      </c>
      <c r="F159" s="9">
        <v>121228.6919439</v>
      </c>
      <c r="G159" s="9">
        <v>3106.0425</v>
      </c>
      <c r="H159" s="9">
        <v>39578.358131517001</v>
      </c>
      <c r="I159" s="9">
        <v>0</v>
      </c>
      <c r="J159" s="9">
        <v>72568.447499999995</v>
      </c>
      <c r="K159" s="9">
        <v>77039.22182418</v>
      </c>
      <c r="L159" s="9">
        <f>SUM(F159:K159)</f>
        <v>313520.76189959701</v>
      </c>
      <c r="M159" s="9">
        <v>2773.3006380000002</v>
      </c>
      <c r="N159" s="9">
        <v>2773.3006380000002</v>
      </c>
      <c r="O159" s="9">
        <f>SUM(M159:N159)</f>
        <v>5546.6012760000003</v>
      </c>
      <c r="P159" s="9">
        <f>SUM(D159:E159,L159,O159)</f>
        <v>579141.98437559698</v>
      </c>
      <c r="Q159" s="9">
        <v>9889.5263730000006</v>
      </c>
      <c r="R159" s="9">
        <v>0</v>
      </c>
      <c r="S159" s="9">
        <v>7868.0921832599997</v>
      </c>
      <c r="T159" s="9">
        <f>SUM(B159:C159,P159:S159)</f>
        <v>596899.60293185699</v>
      </c>
    </row>
    <row r="160" spans="1:20" ht="10.5" x14ac:dyDescent="0.25">
      <c r="A160" s="15" t="s">
        <v>289</v>
      </c>
      <c r="B160" s="11">
        <f t="shared" ref="B160:T160" si="42">SUM(B159)</f>
        <v>0</v>
      </c>
      <c r="C160" s="11">
        <f t="shared" si="42"/>
        <v>0</v>
      </c>
      <c r="D160" s="11">
        <f t="shared" si="42"/>
        <v>252222.6</v>
      </c>
      <c r="E160" s="11">
        <f t="shared" si="42"/>
        <v>7852.0212000000001</v>
      </c>
      <c r="F160" s="11">
        <f t="shared" si="42"/>
        <v>121228.6919439</v>
      </c>
      <c r="G160" s="11">
        <f t="shared" si="42"/>
        <v>3106.0425</v>
      </c>
      <c r="H160" s="11">
        <f t="shared" si="42"/>
        <v>39578.358131517001</v>
      </c>
      <c r="I160" s="11">
        <f t="shared" si="42"/>
        <v>0</v>
      </c>
      <c r="J160" s="11">
        <f t="shared" si="42"/>
        <v>72568.447499999995</v>
      </c>
      <c r="K160" s="11">
        <f t="shared" si="42"/>
        <v>77039.22182418</v>
      </c>
      <c r="L160" s="11">
        <f t="shared" si="42"/>
        <v>313520.76189959701</v>
      </c>
      <c r="M160" s="11">
        <f t="shared" si="42"/>
        <v>2773.3006380000002</v>
      </c>
      <c r="N160" s="11">
        <f t="shared" si="42"/>
        <v>2773.3006380000002</v>
      </c>
      <c r="O160" s="11">
        <f t="shared" si="42"/>
        <v>5546.6012760000003</v>
      </c>
      <c r="P160" s="11">
        <f t="shared" si="42"/>
        <v>579141.98437559698</v>
      </c>
      <c r="Q160" s="11">
        <f t="shared" si="42"/>
        <v>9889.5263730000006</v>
      </c>
      <c r="R160" s="11">
        <f t="shared" si="42"/>
        <v>0</v>
      </c>
      <c r="S160" s="11">
        <f t="shared" si="42"/>
        <v>7868.0921832599997</v>
      </c>
      <c r="T160" s="11">
        <f t="shared" si="42"/>
        <v>596899.60293185699</v>
      </c>
    </row>
    <row r="161" spans="1:20" ht="10.5" x14ac:dyDescent="0.25">
      <c r="A161" s="13" t="s">
        <v>136</v>
      </c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</row>
    <row r="162" spans="1:20" x14ac:dyDescent="0.2">
      <c r="A162" s="14" t="s">
        <v>137</v>
      </c>
      <c r="B162" s="9">
        <v>0</v>
      </c>
      <c r="C162" s="9">
        <v>0</v>
      </c>
      <c r="D162" s="9">
        <v>0</v>
      </c>
      <c r="E162" s="9">
        <v>0</v>
      </c>
      <c r="F162" s="9">
        <v>106150.9225365</v>
      </c>
      <c r="G162" s="9">
        <v>0</v>
      </c>
      <c r="H162" s="9">
        <v>0</v>
      </c>
      <c r="I162" s="9">
        <v>0</v>
      </c>
      <c r="J162" s="9">
        <v>0</v>
      </c>
      <c r="K162" s="9">
        <v>0</v>
      </c>
      <c r="L162" s="9">
        <f t="shared" ref="L162:L167" si="43">SUM(F162:K162)</f>
        <v>106150.9225365</v>
      </c>
      <c r="M162" s="9">
        <v>0</v>
      </c>
      <c r="N162" s="9">
        <v>0</v>
      </c>
      <c r="O162" s="9">
        <f t="shared" ref="O162:O167" si="44">SUM(M162:N162)</f>
        <v>0</v>
      </c>
      <c r="P162" s="9">
        <f t="shared" ref="P162:P167" si="45">SUM(D162:E162,L162,O162)</f>
        <v>106150.9225365</v>
      </c>
      <c r="Q162" s="9">
        <v>0</v>
      </c>
      <c r="R162" s="9">
        <v>0</v>
      </c>
      <c r="S162" s="9">
        <v>0</v>
      </c>
      <c r="T162" s="9">
        <f t="shared" ref="T162:T167" si="46">SUM(B162:C162,P162:S162)</f>
        <v>106150.9225365</v>
      </c>
    </row>
    <row r="163" spans="1:20" x14ac:dyDescent="0.2">
      <c r="A163" s="14" t="s">
        <v>212</v>
      </c>
      <c r="B163" s="9">
        <v>0</v>
      </c>
      <c r="C163" s="9">
        <v>0</v>
      </c>
      <c r="D163" s="9">
        <v>0</v>
      </c>
      <c r="E163" s="9">
        <v>0</v>
      </c>
      <c r="F163" s="9">
        <v>281829.28495559999</v>
      </c>
      <c r="G163" s="9">
        <v>0</v>
      </c>
      <c r="H163" s="9">
        <v>0</v>
      </c>
      <c r="I163" s="9">
        <v>0</v>
      </c>
      <c r="J163" s="9">
        <v>0</v>
      </c>
      <c r="K163" s="9">
        <v>0</v>
      </c>
      <c r="L163" s="9">
        <f t="shared" si="43"/>
        <v>281829.28495559999</v>
      </c>
      <c r="M163" s="9">
        <v>0</v>
      </c>
      <c r="N163" s="9">
        <v>0</v>
      </c>
      <c r="O163" s="9">
        <f t="shared" si="44"/>
        <v>0</v>
      </c>
      <c r="P163" s="9">
        <f t="shared" si="45"/>
        <v>281829.28495559999</v>
      </c>
      <c r="Q163" s="9">
        <v>0</v>
      </c>
      <c r="R163" s="9">
        <v>6199.71726132</v>
      </c>
      <c r="S163" s="9">
        <v>0</v>
      </c>
      <c r="T163" s="9">
        <f t="shared" si="46"/>
        <v>288029.00221691997</v>
      </c>
    </row>
    <row r="164" spans="1:20" x14ac:dyDescent="0.2">
      <c r="A164" s="14" t="s">
        <v>138</v>
      </c>
      <c r="B164" s="9">
        <v>0</v>
      </c>
      <c r="C164" s="9">
        <v>0</v>
      </c>
      <c r="D164" s="9">
        <v>0</v>
      </c>
      <c r="E164" s="9">
        <v>0</v>
      </c>
      <c r="F164" s="9">
        <v>84020.098651199994</v>
      </c>
      <c r="G164" s="9">
        <v>0</v>
      </c>
      <c r="H164" s="9">
        <v>0</v>
      </c>
      <c r="I164" s="9">
        <v>0</v>
      </c>
      <c r="J164" s="9">
        <v>0</v>
      </c>
      <c r="K164" s="9">
        <v>0</v>
      </c>
      <c r="L164" s="9">
        <f t="shared" si="43"/>
        <v>84020.098651199994</v>
      </c>
      <c r="M164" s="9">
        <v>0</v>
      </c>
      <c r="N164" s="9">
        <v>0</v>
      </c>
      <c r="O164" s="9">
        <f t="shared" si="44"/>
        <v>0</v>
      </c>
      <c r="P164" s="9">
        <f t="shared" si="45"/>
        <v>84020.098651199994</v>
      </c>
      <c r="Q164" s="9">
        <v>0</v>
      </c>
      <c r="R164" s="9">
        <v>0</v>
      </c>
      <c r="S164" s="9">
        <v>0</v>
      </c>
      <c r="T164" s="9">
        <f t="shared" si="46"/>
        <v>84020.098651199994</v>
      </c>
    </row>
    <row r="165" spans="1:20" x14ac:dyDescent="0.2">
      <c r="A165" s="14" t="s">
        <v>139</v>
      </c>
      <c r="B165" s="9">
        <v>0</v>
      </c>
      <c r="C165" s="9">
        <v>0</v>
      </c>
      <c r="D165" s="9">
        <v>0</v>
      </c>
      <c r="E165" s="9">
        <v>0</v>
      </c>
      <c r="F165" s="9">
        <v>113499.7400286</v>
      </c>
      <c r="G165" s="9">
        <v>0</v>
      </c>
      <c r="H165" s="9">
        <v>0</v>
      </c>
      <c r="I165" s="9">
        <v>0</v>
      </c>
      <c r="J165" s="9">
        <v>0</v>
      </c>
      <c r="K165" s="9">
        <v>-9994.2282115946673</v>
      </c>
      <c r="L165" s="9">
        <f t="shared" si="43"/>
        <v>103505.51181700533</v>
      </c>
      <c r="M165" s="9">
        <v>0</v>
      </c>
      <c r="N165" s="9">
        <v>0</v>
      </c>
      <c r="O165" s="9">
        <f t="shared" si="44"/>
        <v>0</v>
      </c>
      <c r="P165" s="9">
        <f t="shared" si="45"/>
        <v>103505.51181700533</v>
      </c>
      <c r="Q165" s="9">
        <v>0</v>
      </c>
      <c r="R165" s="9">
        <v>0</v>
      </c>
      <c r="S165" s="9">
        <v>0</v>
      </c>
      <c r="T165" s="9">
        <f t="shared" si="46"/>
        <v>103505.51181700533</v>
      </c>
    </row>
    <row r="166" spans="1:20" x14ac:dyDescent="0.2">
      <c r="A166" s="14" t="s">
        <v>140</v>
      </c>
      <c r="B166" s="9">
        <v>0</v>
      </c>
      <c r="C166" s="9">
        <v>0</v>
      </c>
      <c r="D166" s="9">
        <v>0</v>
      </c>
      <c r="E166" s="9">
        <v>0</v>
      </c>
      <c r="F166" s="9">
        <v>-21634.365346800001</v>
      </c>
      <c r="G166" s="9">
        <v>0</v>
      </c>
      <c r="H166" s="9">
        <v>0</v>
      </c>
      <c r="I166" s="9">
        <v>0</v>
      </c>
      <c r="J166" s="9">
        <v>0</v>
      </c>
      <c r="K166" s="9">
        <v>0</v>
      </c>
      <c r="L166" s="9">
        <f t="shared" si="43"/>
        <v>-21634.365346800001</v>
      </c>
      <c r="M166" s="9">
        <v>0</v>
      </c>
      <c r="N166" s="9">
        <v>0</v>
      </c>
      <c r="O166" s="9">
        <f t="shared" si="44"/>
        <v>0</v>
      </c>
      <c r="P166" s="9">
        <f t="shared" si="45"/>
        <v>-21634.365346800001</v>
      </c>
      <c r="Q166" s="9">
        <v>0</v>
      </c>
      <c r="R166" s="9">
        <v>0</v>
      </c>
      <c r="S166" s="9">
        <v>0</v>
      </c>
      <c r="T166" s="9">
        <f t="shared" si="46"/>
        <v>-21634.365346800001</v>
      </c>
    </row>
    <row r="167" spans="1:20" x14ac:dyDescent="0.2">
      <c r="A167" s="14" t="s">
        <v>290</v>
      </c>
      <c r="B167" s="9">
        <v>0</v>
      </c>
      <c r="C167" s="9">
        <v>0</v>
      </c>
      <c r="D167" s="9">
        <v>0</v>
      </c>
      <c r="E167" s="9">
        <v>0</v>
      </c>
      <c r="F167" s="9">
        <v>-409.33122270000001</v>
      </c>
      <c r="G167" s="9">
        <v>0</v>
      </c>
      <c r="H167" s="9">
        <v>0</v>
      </c>
      <c r="I167" s="9">
        <v>0</v>
      </c>
      <c r="J167" s="9">
        <v>0</v>
      </c>
      <c r="K167" s="9">
        <v>0</v>
      </c>
      <c r="L167" s="9">
        <f t="shared" si="43"/>
        <v>-409.33122270000001</v>
      </c>
      <c r="M167" s="9">
        <v>0</v>
      </c>
      <c r="N167" s="9">
        <v>0</v>
      </c>
      <c r="O167" s="9">
        <f t="shared" si="44"/>
        <v>0</v>
      </c>
      <c r="P167" s="9">
        <f t="shared" si="45"/>
        <v>-409.33122270000001</v>
      </c>
      <c r="Q167" s="9">
        <v>0</v>
      </c>
      <c r="R167" s="9">
        <v>0</v>
      </c>
      <c r="S167" s="9">
        <v>0</v>
      </c>
      <c r="T167" s="9">
        <f t="shared" si="46"/>
        <v>-409.33122270000001</v>
      </c>
    </row>
    <row r="168" spans="1:20" ht="10.5" x14ac:dyDescent="0.25">
      <c r="A168" s="15" t="s">
        <v>141</v>
      </c>
      <c r="B168" s="11">
        <f t="shared" ref="B168:T168" si="47">SUM(B162:B167)</f>
        <v>0</v>
      </c>
      <c r="C168" s="11">
        <f t="shared" si="47"/>
        <v>0</v>
      </c>
      <c r="D168" s="11">
        <f t="shared" si="47"/>
        <v>0</v>
      </c>
      <c r="E168" s="11">
        <f t="shared" si="47"/>
        <v>0</v>
      </c>
      <c r="F168" s="11">
        <f t="shared" si="47"/>
        <v>563456.34960240009</v>
      </c>
      <c r="G168" s="11">
        <f t="shared" si="47"/>
        <v>0</v>
      </c>
      <c r="H168" s="11">
        <f t="shared" si="47"/>
        <v>0</v>
      </c>
      <c r="I168" s="11">
        <f t="shared" si="47"/>
        <v>0</v>
      </c>
      <c r="J168" s="11">
        <f t="shared" si="47"/>
        <v>0</v>
      </c>
      <c r="K168" s="11">
        <f t="shared" si="47"/>
        <v>-9994.2282115946673</v>
      </c>
      <c r="L168" s="11">
        <f t="shared" si="47"/>
        <v>553462.12139080535</v>
      </c>
      <c r="M168" s="11">
        <f t="shared" si="47"/>
        <v>0</v>
      </c>
      <c r="N168" s="11">
        <f t="shared" si="47"/>
        <v>0</v>
      </c>
      <c r="O168" s="11">
        <f t="shared" si="47"/>
        <v>0</v>
      </c>
      <c r="P168" s="11">
        <f t="shared" si="47"/>
        <v>553462.12139080535</v>
      </c>
      <c r="Q168" s="11">
        <f t="shared" si="47"/>
        <v>0</v>
      </c>
      <c r="R168" s="11">
        <f t="shared" si="47"/>
        <v>6199.71726132</v>
      </c>
      <c r="S168" s="11">
        <f t="shared" si="47"/>
        <v>0</v>
      </c>
      <c r="T168" s="11">
        <f t="shared" si="47"/>
        <v>559661.83865212533</v>
      </c>
    </row>
    <row r="169" spans="1:20" ht="10.5" x14ac:dyDescent="0.25">
      <c r="A169" s="10" t="s">
        <v>142</v>
      </c>
      <c r="B169" s="11">
        <f t="shared" ref="B169:T169" si="48">SUM(B153:B157,B160,B168)</f>
        <v>0</v>
      </c>
      <c r="C169" s="11">
        <f t="shared" si="48"/>
        <v>-15111.3</v>
      </c>
      <c r="D169" s="11">
        <f t="shared" si="48"/>
        <v>252222.6</v>
      </c>
      <c r="E169" s="11">
        <f t="shared" si="48"/>
        <v>7852.0212000000001</v>
      </c>
      <c r="F169" s="11">
        <f t="shared" si="48"/>
        <v>1031450.9790960001</v>
      </c>
      <c r="G169" s="11">
        <f t="shared" si="48"/>
        <v>3106.0425</v>
      </c>
      <c r="H169" s="11">
        <f t="shared" si="48"/>
        <v>48351.780328463356</v>
      </c>
      <c r="I169" s="11">
        <f t="shared" si="48"/>
        <v>2737.8286693024475</v>
      </c>
      <c r="J169" s="11">
        <f t="shared" si="48"/>
        <v>72568.447499999995</v>
      </c>
      <c r="K169" s="11">
        <f t="shared" si="48"/>
        <v>67044.993612585327</v>
      </c>
      <c r="L169" s="11">
        <f t="shared" si="48"/>
        <v>1225260.0717063511</v>
      </c>
      <c r="M169" s="11">
        <f t="shared" si="48"/>
        <v>2773.3006380000002</v>
      </c>
      <c r="N169" s="11">
        <f t="shared" si="48"/>
        <v>2773.3006380000002</v>
      </c>
      <c r="O169" s="11">
        <f t="shared" si="48"/>
        <v>5546.6012760000003</v>
      </c>
      <c r="P169" s="11">
        <f t="shared" si="48"/>
        <v>1490881.2941823511</v>
      </c>
      <c r="Q169" s="11">
        <f t="shared" si="48"/>
        <v>5943.4744446000004</v>
      </c>
      <c r="R169" s="11">
        <f t="shared" si="48"/>
        <v>6199.71726132</v>
      </c>
      <c r="S169" s="11">
        <f t="shared" si="48"/>
        <v>7868.0921832599997</v>
      </c>
      <c r="T169" s="11">
        <f t="shared" si="48"/>
        <v>1495781.2780715311</v>
      </c>
    </row>
    <row r="170" spans="1:20" x14ac:dyDescent="0.2">
      <c r="A170" s="16" t="s">
        <v>143</v>
      </c>
      <c r="B170" s="9">
        <v>0</v>
      </c>
      <c r="C170" s="9">
        <v>0</v>
      </c>
      <c r="D170" s="9">
        <v>0</v>
      </c>
      <c r="E170" s="9">
        <v>0</v>
      </c>
      <c r="F170" s="9">
        <v>-1720.2392835000001</v>
      </c>
      <c r="G170" s="9">
        <v>54.214559999999999</v>
      </c>
      <c r="H170" s="9">
        <v>0</v>
      </c>
      <c r="I170" s="9">
        <v>0</v>
      </c>
      <c r="J170" s="9">
        <v>0</v>
      </c>
      <c r="K170" s="9">
        <v>0</v>
      </c>
      <c r="L170" s="9">
        <f>SUM(F170:K170)</f>
        <v>-1666.0247235000002</v>
      </c>
      <c r="M170" s="9">
        <v>0</v>
      </c>
      <c r="N170" s="9">
        <v>0</v>
      </c>
      <c r="O170" s="9">
        <f>SUM(M170:N170)</f>
        <v>0</v>
      </c>
      <c r="P170" s="9">
        <f>SUM(D170:E170,L170,O170)</f>
        <v>-1666.0247235000002</v>
      </c>
      <c r="Q170" s="9">
        <v>0</v>
      </c>
      <c r="R170" s="9">
        <v>0</v>
      </c>
      <c r="S170" s="9">
        <v>0</v>
      </c>
      <c r="T170" s="9">
        <f>SUM(B170:C170,P170:S170)</f>
        <v>-1666.0247235000002</v>
      </c>
    </row>
    <row r="171" spans="1:20" ht="10.5" x14ac:dyDescent="0.25">
      <c r="A171" s="7" t="s">
        <v>144</v>
      </c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</row>
    <row r="172" spans="1:20" x14ac:dyDescent="0.2">
      <c r="A172" s="8" t="s">
        <v>145</v>
      </c>
      <c r="B172" s="9">
        <v>0</v>
      </c>
      <c r="C172" s="9">
        <v>0</v>
      </c>
      <c r="D172" s="9">
        <v>0</v>
      </c>
      <c r="E172" s="9">
        <v>0</v>
      </c>
      <c r="F172" s="9">
        <v>30619.886521199998</v>
      </c>
      <c r="G172" s="9">
        <v>0</v>
      </c>
      <c r="H172" s="9">
        <v>0</v>
      </c>
      <c r="I172" s="9">
        <v>0</v>
      </c>
      <c r="J172" s="9">
        <v>0</v>
      </c>
      <c r="K172" s="9">
        <v>4793.900646775136</v>
      </c>
      <c r="L172" s="9">
        <f>SUM(F172:K172)</f>
        <v>35413.787167975133</v>
      </c>
      <c r="M172" s="9">
        <v>0</v>
      </c>
      <c r="N172" s="9">
        <v>0</v>
      </c>
      <c r="O172" s="9">
        <f>SUM(M172:N172)</f>
        <v>0</v>
      </c>
      <c r="P172" s="9">
        <f>SUM(D172:E172,L172,O172)</f>
        <v>35413.787167975133</v>
      </c>
      <c r="Q172" s="9">
        <v>0</v>
      </c>
      <c r="R172" s="9">
        <v>0</v>
      </c>
      <c r="S172" s="9">
        <v>0</v>
      </c>
      <c r="T172" s="9">
        <f>SUM(B172:C172,P172:S172)</f>
        <v>35413.787167975133</v>
      </c>
    </row>
    <row r="173" spans="1:20" ht="10.5" x14ac:dyDescent="0.25">
      <c r="A173" s="13" t="s">
        <v>146</v>
      </c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</row>
    <row r="174" spans="1:20" x14ac:dyDescent="0.2">
      <c r="A174" s="14" t="s">
        <v>146</v>
      </c>
      <c r="B174" s="9">
        <v>0</v>
      </c>
      <c r="C174" s="9">
        <v>0</v>
      </c>
      <c r="D174" s="9">
        <v>0</v>
      </c>
      <c r="E174" s="9">
        <v>0</v>
      </c>
      <c r="F174" s="9">
        <v>454534.66773540003</v>
      </c>
      <c r="G174" s="9">
        <v>0</v>
      </c>
      <c r="H174" s="9">
        <v>0</v>
      </c>
      <c r="I174" s="9">
        <v>0</v>
      </c>
      <c r="J174" s="9">
        <v>0</v>
      </c>
      <c r="K174" s="9">
        <v>-3816.5730746385943</v>
      </c>
      <c r="L174" s="9">
        <f>SUM(F174:K174)</f>
        <v>450718.09466076142</v>
      </c>
      <c r="M174" s="9">
        <v>0</v>
      </c>
      <c r="N174" s="9">
        <v>0</v>
      </c>
      <c r="O174" s="9">
        <f>SUM(M174:N174)</f>
        <v>0</v>
      </c>
      <c r="P174" s="9">
        <f>SUM(D174:E174,L174,O174)</f>
        <v>450718.09466076142</v>
      </c>
      <c r="Q174" s="9">
        <v>0</v>
      </c>
      <c r="R174" s="9">
        <v>796.12232201999996</v>
      </c>
      <c r="S174" s="9">
        <v>0</v>
      </c>
      <c r="T174" s="9">
        <f>SUM(B174:C174,P174:S174)</f>
        <v>451514.21698278142</v>
      </c>
    </row>
    <row r="175" spans="1:20" x14ac:dyDescent="0.2">
      <c r="A175" s="14" t="s">
        <v>291</v>
      </c>
      <c r="B175" s="9">
        <v>0</v>
      </c>
      <c r="C175" s="9">
        <v>0</v>
      </c>
      <c r="D175" s="9">
        <v>0</v>
      </c>
      <c r="E175" s="9">
        <v>0</v>
      </c>
      <c r="F175" s="9">
        <v>0</v>
      </c>
      <c r="G175" s="9">
        <v>0</v>
      </c>
      <c r="H175" s="9">
        <v>0</v>
      </c>
      <c r="I175" s="9">
        <v>2152.1517355236624</v>
      </c>
      <c r="J175" s="9">
        <v>0</v>
      </c>
      <c r="K175" s="9">
        <v>0</v>
      </c>
      <c r="L175" s="9">
        <f>SUM(F175:K175)</f>
        <v>2152.1517355236624</v>
      </c>
      <c r="M175" s="9">
        <v>0</v>
      </c>
      <c r="N175" s="9">
        <v>0</v>
      </c>
      <c r="O175" s="9">
        <f>SUM(M175:N175)</f>
        <v>0</v>
      </c>
      <c r="P175" s="9">
        <f>SUM(D175:E175,L175,O175)</f>
        <v>2152.1517355236624</v>
      </c>
      <c r="Q175" s="9">
        <v>0</v>
      </c>
      <c r="R175" s="9">
        <v>0</v>
      </c>
      <c r="S175" s="9">
        <v>0</v>
      </c>
      <c r="T175" s="9">
        <f>SUM(B175:C175,P175:S175)</f>
        <v>2152.1517355236624</v>
      </c>
    </row>
    <row r="176" spans="1:20" ht="10.5" x14ac:dyDescent="0.25">
      <c r="A176" s="15" t="s">
        <v>292</v>
      </c>
      <c r="B176" s="11">
        <f t="shared" ref="B176:T176" si="49">SUM(B174:B175)</f>
        <v>0</v>
      </c>
      <c r="C176" s="11">
        <f t="shared" si="49"/>
        <v>0</v>
      </c>
      <c r="D176" s="11">
        <f t="shared" si="49"/>
        <v>0</v>
      </c>
      <c r="E176" s="11">
        <f t="shared" si="49"/>
        <v>0</v>
      </c>
      <c r="F176" s="11">
        <f t="shared" si="49"/>
        <v>454534.66773540003</v>
      </c>
      <c r="G176" s="11">
        <f t="shared" si="49"/>
        <v>0</v>
      </c>
      <c r="H176" s="11">
        <f t="shared" si="49"/>
        <v>0</v>
      </c>
      <c r="I176" s="11">
        <f t="shared" si="49"/>
        <v>2152.1517355236624</v>
      </c>
      <c r="J176" s="11">
        <f t="shared" si="49"/>
        <v>0</v>
      </c>
      <c r="K176" s="11">
        <f t="shared" si="49"/>
        <v>-3816.5730746385943</v>
      </c>
      <c r="L176" s="11">
        <f t="shared" si="49"/>
        <v>452870.24639628507</v>
      </c>
      <c r="M176" s="11">
        <f t="shared" si="49"/>
        <v>0</v>
      </c>
      <c r="N176" s="11">
        <f t="shared" si="49"/>
        <v>0</v>
      </c>
      <c r="O176" s="11">
        <f t="shared" si="49"/>
        <v>0</v>
      </c>
      <c r="P176" s="11">
        <f t="shared" si="49"/>
        <v>452870.24639628507</v>
      </c>
      <c r="Q176" s="11">
        <f t="shared" si="49"/>
        <v>0</v>
      </c>
      <c r="R176" s="11">
        <f t="shared" si="49"/>
        <v>796.12232201999996</v>
      </c>
      <c r="S176" s="11">
        <f t="shared" si="49"/>
        <v>0</v>
      </c>
      <c r="T176" s="11">
        <f t="shared" si="49"/>
        <v>453666.36871830508</v>
      </c>
    </row>
    <row r="177" spans="1:20" x14ac:dyDescent="0.2">
      <c r="A177" s="8" t="s">
        <v>147</v>
      </c>
      <c r="B177" s="9">
        <v>0</v>
      </c>
      <c r="C177" s="9">
        <v>0</v>
      </c>
      <c r="D177" s="9">
        <v>0</v>
      </c>
      <c r="E177" s="9">
        <v>0</v>
      </c>
      <c r="F177" s="9">
        <v>5346.7076754</v>
      </c>
      <c r="G177" s="9">
        <v>0</v>
      </c>
      <c r="H177" s="9">
        <v>0</v>
      </c>
      <c r="I177" s="9">
        <v>0</v>
      </c>
      <c r="J177" s="9">
        <v>0</v>
      </c>
      <c r="K177" s="9">
        <v>0</v>
      </c>
      <c r="L177" s="9">
        <f>SUM(F177:K177)</f>
        <v>5346.7076754</v>
      </c>
      <c r="M177" s="9">
        <v>0</v>
      </c>
      <c r="N177" s="9">
        <v>0</v>
      </c>
      <c r="O177" s="9">
        <f>SUM(M177:N177)</f>
        <v>0</v>
      </c>
      <c r="P177" s="9">
        <f>SUM(D177:E177,L177,O177)</f>
        <v>5346.7076754</v>
      </c>
      <c r="Q177" s="9">
        <v>0</v>
      </c>
      <c r="R177" s="9">
        <v>0</v>
      </c>
      <c r="S177" s="9">
        <v>0</v>
      </c>
      <c r="T177" s="9">
        <f>SUM(B177:C177,P177:S177)</f>
        <v>5346.7076754</v>
      </c>
    </row>
    <row r="178" spans="1:20" x14ac:dyDescent="0.2">
      <c r="A178" s="8" t="s">
        <v>336</v>
      </c>
      <c r="B178" s="9">
        <v>0</v>
      </c>
      <c r="C178" s="9">
        <v>0</v>
      </c>
      <c r="D178" s="9">
        <v>0</v>
      </c>
      <c r="E178" s="9">
        <v>0</v>
      </c>
      <c r="F178" s="9">
        <v>0</v>
      </c>
      <c r="G178" s="9">
        <v>0</v>
      </c>
      <c r="H178" s="9">
        <v>0</v>
      </c>
      <c r="I178" s="9">
        <v>0</v>
      </c>
      <c r="J178" s="9">
        <v>0</v>
      </c>
      <c r="K178" s="9">
        <v>-1034.7668153174016</v>
      </c>
      <c r="L178" s="9">
        <f>SUM(F178:K178)</f>
        <v>-1034.7668153174016</v>
      </c>
      <c r="M178" s="9">
        <v>0</v>
      </c>
      <c r="N178" s="9">
        <v>0</v>
      </c>
      <c r="O178" s="9">
        <f>SUM(M178:N178)</f>
        <v>0</v>
      </c>
      <c r="P178" s="9">
        <f>SUM(D178:E178,L178,O178)</f>
        <v>-1034.7668153174016</v>
      </c>
      <c r="Q178" s="9">
        <v>0</v>
      </c>
      <c r="R178" s="9">
        <v>0</v>
      </c>
      <c r="S178" s="9">
        <v>0</v>
      </c>
      <c r="T178" s="9">
        <f>SUM(B178:C178,P178:S178)</f>
        <v>-1034.7668153174016</v>
      </c>
    </row>
    <row r="179" spans="1:20" ht="10.5" x14ac:dyDescent="0.25">
      <c r="A179" s="10" t="s">
        <v>148</v>
      </c>
      <c r="B179" s="11">
        <f t="shared" ref="B179:T179" si="50">SUM(B172,B176:B178)</f>
        <v>0</v>
      </c>
      <c r="C179" s="11">
        <f t="shared" si="50"/>
        <v>0</v>
      </c>
      <c r="D179" s="11">
        <f t="shared" si="50"/>
        <v>0</v>
      </c>
      <c r="E179" s="11">
        <f t="shared" si="50"/>
        <v>0</v>
      </c>
      <c r="F179" s="11">
        <f t="shared" si="50"/>
        <v>490501.26193200005</v>
      </c>
      <c r="G179" s="11">
        <f t="shared" si="50"/>
        <v>0</v>
      </c>
      <c r="H179" s="11">
        <f t="shared" si="50"/>
        <v>0</v>
      </c>
      <c r="I179" s="11">
        <f t="shared" si="50"/>
        <v>2152.1517355236624</v>
      </c>
      <c r="J179" s="11">
        <f t="shared" si="50"/>
        <v>0</v>
      </c>
      <c r="K179" s="11">
        <f t="shared" si="50"/>
        <v>-57.439243180859876</v>
      </c>
      <c r="L179" s="11">
        <f t="shared" si="50"/>
        <v>492595.97442434286</v>
      </c>
      <c r="M179" s="11">
        <f t="shared" si="50"/>
        <v>0</v>
      </c>
      <c r="N179" s="11">
        <f t="shared" si="50"/>
        <v>0</v>
      </c>
      <c r="O179" s="11">
        <f t="shared" si="50"/>
        <v>0</v>
      </c>
      <c r="P179" s="11">
        <f t="shared" si="50"/>
        <v>492595.97442434286</v>
      </c>
      <c r="Q179" s="11">
        <f t="shared" si="50"/>
        <v>0</v>
      </c>
      <c r="R179" s="11">
        <f t="shared" si="50"/>
        <v>796.12232201999996</v>
      </c>
      <c r="S179" s="11">
        <f t="shared" si="50"/>
        <v>0</v>
      </c>
      <c r="T179" s="11">
        <f t="shared" si="50"/>
        <v>493392.09674636286</v>
      </c>
    </row>
    <row r="180" spans="1:20" ht="10.5" x14ac:dyDescent="0.25">
      <c r="A180" s="7" t="s">
        <v>149</v>
      </c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</row>
    <row r="181" spans="1:20" x14ac:dyDescent="0.2">
      <c r="A181" s="8" t="s">
        <v>150</v>
      </c>
      <c r="B181" s="9">
        <v>0</v>
      </c>
      <c r="C181" s="9">
        <v>5000</v>
      </c>
      <c r="D181" s="9">
        <v>0</v>
      </c>
      <c r="E181" s="9">
        <v>-202429.73307006</v>
      </c>
      <c r="F181" s="9">
        <v>2943969.4847174999</v>
      </c>
      <c r="G181" s="9">
        <v>-372320.27536259999</v>
      </c>
      <c r="H181" s="9">
        <v>356062.95092479745</v>
      </c>
      <c r="I181" s="9">
        <v>0</v>
      </c>
      <c r="J181" s="9">
        <v>24668.675207100001</v>
      </c>
      <c r="K181" s="9">
        <v>1223548.4868999941</v>
      </c>
      <c r="L181" s="9">
        <f t="shared" ref="L181:L192" si="51">SUM(F181:K181)</f>
        <v>4175929.322386791</v>
      </c>
      <c r="M181" s="9">
        <v>88612.501081800001</v>
      </c>
      <c r="N181" s="9">
        <v>4844.6130816000004</v>
      </c>
      <c r="O181" s="9">
        <f t="shared" ref="O181:O192" si="52">SUM(M181:N181)</f>
        <v>93457.114163399994</v>
      </c>
      <c r="P181" s="9">
        <f t="shared" ref="P181:P192" si="53">SUM(D181:E181,L181,O181)</f>
        <v>4066956.703480131</v>
      </c>
      <c r="Q181" s="9">
        <v>-334395.98210969998</v>
      </c>
      <c r="R181" s="9">
        <v>0</v>
      </c>
      <c r="S181" s="9">
        <v>288505.18681191001</v>
      </c>
      <c r="T181" s="9">
        <f t="shared" ref="T181:T192" si="54">SUM(B181:C181,P181:S181)</f>
        <v>4026065.9081823411</v>
      </c>
    </row>
    <row r="182" spans="1:20" x14ac:dyDescent="0.2">
      <c r="A182" s="8" t="s">
        <v>151</v>
      </c>
      <c r="B182" s="9">
        <v>0</v>
      </c>
      <c r="C182" s="9">
        <v>0</v>
      </c>
      <c r="D182" s="9">
        <v>203581.51</v>
      </c>
      <c r="E182" s="9">
        <v>0</v>
      </c>
      <c r="F182" s="9">
        <v>-6141.4705356000004</v>
      </c>
      <c r="G182" s="9">
        <v>0</v>
      </c>
      <c r="H182" s="9">
        <v>0</v>
      </c>
      <c r="I182" s="9">
        <v>0</v>
      </c>
      <c r="J182" s="9">
        <v>0</v>
      </c>
      <c r="K182" s="9">
        <v>0</v>
      </c>
      <c r="L182" s="9">
        <f t="shared" si="51"/>
        <v>-6141.4705356000004</v>
      </c>
      <c r="M182" s="9">
        <v>0</v>
      </c>
      <c r="N182" s="9">
        <v>0</v>
      </c>
      <c r="O182" s="9">
        <f t="shared" si="52"/>
        <v>0</v>
      </c>
      <c r="P182" s="9">
        <f t="shared" si="53"/>
        <v>197440.0394644</v>
      </c>
      <c r="Q182" s="9">
        <v>0</v>
      </c>
      <c r="R182" s="9">
        <v>0</v>
      </c>
      <c r="S182" s="9">
        <v>0</v>
      </c>
      <c r="T182" s="9">
        <f t="shared" si="54"/>
        <v>197440.0394644</v>
      </c>
    </row>
    <row r="183" spans="1:20" x14ac:dyDescent="0.2">
      <c r="A183" s="8" t="s">
        <v>152</v>
      </c>
      <c r="B183" s="9">
        <v>0</v>
      </c>
      <c r="C183" s="9">
        <v>0</v>
      </c>
      <c r="D183" s="9">
        <v>404702.01</v>
      </c>
      <c r="E183" s="9">
        <v>3.8490299999999998E-3</v>
      </c>
      <c r="F183" s="9">
        <v>177681.104739</v>
      </c>
      <c r="G183" s="9">
        <v>-298.970709</v>
      </c>
      <c r="H183" s="9">
        <v>0</v>
      </c>
      <c r="I183" s="9">
        <v>0</v>
      </c>
      <c r="J183" s="9">
        <v>0</v>
      </c>
      <c r="K183" s="9">
        <v>21010.696861140001</v>
      </c>
      <c r="L183" s="9">
        <f t="shared" si="51"/>
        <v>198392.83089114001</v>
      </c>
      <c r="M183" s="9">
        <v>0</v>
      </c>
      <c r="N183" s="9">
        <v>0</v>
      </c>
      <c r="O183" s="9">
        <f t="shared" si="52"/>
        <v>0</v>
      </c>
      <c r="P183" s="9">
        <f t="shared" si="53"/>
        <v>603094.84474017005</v>
      </c>
      <c r="Q183" s="9">
        <v>0</v>
      </c>
      <c r="R183" s="9">
        <v>0</v>
      </c>
      <c r="S183" s="9">
        <v>0</v>
      </c>
      <c r="T183" s="9">
        <f t="shared" si="54"/>
        <v>603094.84474017005</v>
      </c>
    </row>
    <row r="184" spans="1:20" x14ac:dyDescent="0.2">
      <c r="A184" s="8" t="s">
        <v>153</v>
      </c>
      <c r="B184" s="9">
        <v>0</v>
      </c>
      <c r="C184" s="9">
        <v>0</v>
      </c>
      <c r="D184" s="9">
        <v>-105675.75</v>
      </c>
      <c r="E184" s="9">
        <v>0</v>
      </c>
      <c r="F184" s="9">
        <v>0</v>
      </c>
      <c r="G184" s="9">
        <v>0</v>
      </c>
      <c r="H184" s="9">
        <v>0</v>
      </c>
      <c r="I184" s="9">
        <v>0</v>
      </c>
      <c r="J184" s="9">
        <v>0</v>
      </c>
      <c r="K184" s="9">
        <v>0</v>
      </c>
      <c r="L184" s="9">
        <f t="shared" si="51"/>
        <v>0</v>
      </c>
      <c r="M184" s="9">
        <v>0</v>
      </c>
      <c r="N184" s="9">
        <v>0</v>
      </c>
      <c r="O184" s="9">
        <f t="shared" si="52"/>
        <v>0</v>
      </c>
      <c r="P184" s="9">
        <f t="shared" si="53"/>
        <v>-105675.75</v>
      </c>
      <c r="Q184" s="9">
        <v>0</v>
      </c>
      <c r="R184" s="9">
        <v>0</v>
      </c>
      <c r="S184" s="9">
        <v>0</v>
      </c>
      <c r="T184" s="9">
        <f t="shared" si="54"/>
        <v>-105675.75</v>
      </c>
    </row>
    <row r="185" spans="1:20" x14ac:dyDescent="0.2">
      <c r="A185" s="8" t="s">
        <v>154</v>
      </c>
      <c r="B185" s="9">
        <v>0</v>
      </c>
      <c r="C185" s="9">
        <v>0</v>
      </c>
      <c r="D185" s="9">
        <v>-3031537.2</v>
      </c>
      <c r="E185" s="9">
        <v>6348.8466840000001</v>
      </c>
      <c r="F185" s="9">
        <v>-20684.503666199998</v>
      </c>
      <c r="G185" s="9">
        <v>-163448.72103720001</v>
      </c>
      <c r="H185" s="9">
        <v>243148.26119442933</v>
      </c>
      <c r="I185" s="9">
        <v>333527.54361233185</v>
      </c>
      <c r="J185" s="9">
        <v>0</v>
      </c>
      <c r="K185" s="9">
        <v>-319848.15949888271</v>
      </c>
      <c r="L185" s="9">
        <f t="shared" si="51"/>
        <v>72694.420604478451</v>
      </c>
      <c r="M185" s="9">
        <v>0</v>
      </c>
      <c r="N185" s="9">
        <v>0</v>
      </c>
      <c r="O185" s="9">
        <f t="shared" si="52"/>
        <v>0</v>
      </c>
      <c r="P185" s="9">
        <f t="shared" si="53"/>
        <v>-2952493.9327115216</v>
      </c>
      <c r="Q185" s="9">
        <v>-38456.646348000002</v>
      </c>
      <c r="R185" s="9">
        <v>-1443.93250878</v>
      </c>
      <c r="S185" s="9">
        <v>14971.768291529999</v>
      </c>
      <c r="T185" s="9">
        <f t="shared" si="54"/>
        <v>-2977422.7432767716</v>
      </c>
    </row>
    <row r="186" spans="1:20" x14ac:dyDescent="0.2">
      <c r="A186" s="8" t="s">
        <v>155</v>
      </c>
      <c r="B186" s="9">
        <v>0</v>
      </c>
      <c r="C186" s="9">
        <v>6957</v>
      </c>
      <c r="D186" s="9">
        <v>-1222282.07</v>
      </c>
      <c r="E186" s="9">
        <v>0</v>
      </c>
      <c r="F186" s="9">
        <v>348896.86341990001</v>
      </c>
      <c r="G186" s="9">
        <v>-18721.529985000001</v>
      </c>
      <c r="H186" s="9">
        <v>0</v>
      </c>
      <c r="I186" s="9">
        <v>0</v>
      </c>
      <c r="J186" s="9">
        <v>0</v>
      </c>
      <c r="K186" s="9">
        <v>0</v>
      </c>
      <c r="L186" s="9">
        <f t="shared" si="51"/>
        <v>330175.33343490004</v>
      </c>
      <c r="M186" s="9">
        <v>0</v>
      </c>
      <c r="N186" s="9">
        <v>0</v>
      </c>
      <c r="O186" s="9">
        <f t="shared" si="52"/>
        <v>0</v>
      </c>
      <c r="P186" s="9">
        <f t="shared" si="53"/>
        <v>-892106.73656510003</v>
      </c>
      <c r="Q186" s="9">
        <v>0</v>
      </c>
      <c r="R186" s="9">
        <v>0</v>
      </c>
      <c r="S186" s="9">
        <v>0</v>
      </c>
      <c r="T186" s="9">
        <f t="shared" si="54"/>
        <v>-885149.73656510003</v>
      </c>
    </row>
    <row r="187" spans="1:20" x14ac:dyDescent="0.2">
      <c r="A187" s="8" t="s">
        <v>293</v>
      </c>
      <c r="B187" s="9">
        <v>0</v>
      </c>
      <c r="C187" s="9">
        <v>0</v>
      </c>
      <c r="D187" s="9">
        <v>0</v>
      </c>
      <c r="E187" s="9">
        <v>0</v>
      </c>
      <c r="F187" s="9">
        <v>14301.34914</v>
      </c>
      <c r="G187" s="9">
        <v>0</v>
      </c>
      <c r="H187" s="9">
        <v>0</v>
      </c>
      <c r="I187" s="9">
        <v>0</v>
      </c>
      <c r="J187" s="9">
        <v>0</v>
      </c>
      <c r="K187" s="9">
        <v>0</v>
      </c>
      <c r="L187" s="9">
        <f t="shared" si="51"/>
        <v>14301.34914</v>
      </c>
      <c r="M187" s="9">
        <v>0</v>
      </c>
      <c r="N187" s="9">
        <v>0</v>
      </c>
      <c r="O187" s="9">
        <f t="shared" si="52"/>
        <v>0</v>
      </c>
      <c r="P187" s="9">
        <f t="shared" si="53"/>
        <v>14301.34914</v>
      </c>
      <c r="Q187" s="9">
        <v>0</v>
      </c>
      <c r="R187" s="9">
        <v>0</v>
      </c>
      <c r="S187" s="9">
        <v>0</v>
      </c>
      <c r="T187" s="9">
        <f t="shared" si="54"/>
        <v>14301.34914</v>
      </c>
    </row>
    <row r="188" spans="1:20" x14ac:dyDescent="0.2">
      <c r="A188" s="8" t="s">
        <v>156</v>
      </c>
      <c r="B188" s="9">
        <v>0</v>
      </c>
      <c r="C188" s="9">
        <v>0</v>
      </c>
      <c r="D188" s="9">
        <v>300892.81</v>
      </c>
      <c r="E188" s="9">
        <v>0</v>
      </c>
      <c r="F188" s="9">
        <v>38456.646348000002</v>
      </c>
      <c r="G188" s="9">
        <v>0</v>
      </c>
      <c r="H188" s="9">
        <v>0</v>
      </c>
      <c r="I188" s="9">
        <v>0</v>
      </c>
      <c r="J188" s="9">
        <v>0</v>
      </c>
      <c r="K188" s="9">
        <v>0</v>
      </c>
      <c r="L188" s="9">
        <f t="shared" si="51"/>
        <v>38456.646348000002</v>
      </c>
      <c r="M188" s="9">
        <v>0</v>
      </c>
      <c r="N188" s="9">
        <v>0</v>
      </c>
      <c r="O188" s="9">
        <f t="shared" si="52"/>
        <v>0</v>
      </c>
      <c r="P188" s="9">
        <f t="shared" si="53"/>
        <v>339349.45634799998</v>
      </c>
      <c r="Q188" s="9">
        <v>0</v>
      </c>
      <c r="R188" s="9">
        <v>0</v>
      </c>
      <c r="S188" s="9">
        <v>0</v>
      </c>
      <c r="T188" s="9">
        <f t="shared" si="54"/>
        <v>339349.45634799998</v>
      </c>
    </row>
    <row r="189" spans="1:20" x14ac:dyDescent="0.2">
      <c r="A189" s="8" t="s">
        <v>157</v>
      </c>
      <c r="B189" s="9">
        <v>0</v>
      </c>
      <c r="C189" s="9">
        <v>0</v>
      </c>
      <c r="D189" s="9">
        <v>-261001.02</v>
      </c>
      <c r="E189" s="9">
        <v>0</v>
      </c>
      <c r="F189" s="9">
        <v>-12671.2302678</v>
      </c>
      <c r="G189" s="9">
        <v>-1689.6645306</v>
      </c>
      <c r="H189" s="9">
        <v>396903.64885029191</v>
      </c>
      <c r="I189" s="9">
        <v>0</v>
      </c>
      <c r="J189" s="9">
        <v>0</v>
      </c>
      <c r="K189" s="9">
        <v>0</v>
      </c>
      <c r="L189" s="9">
        <f t="shared" si="51"/>
        <v>382542.75405189191</v>
      </c>
      <c r="M189" s="9">
        <v>0</v>
      </c>
      <c r="N189" s="9">
        <v>0</v>
      </c>
      <c r="O189" s="9">
        <f t="shared" si="52"/>
        <v>0</v>
      </c>
      <c r="P189" s="9">
        <f t="shared" si="53"/>
        <v>121541.73405189192</v>
      </c>
      <c r="Q189" s="9">
        <v>0</v>
      </c>
      <c r="R189" s="9">
        <v>0</v>
      </c>
      <c r="S189" s="9">
        <v>0</v>
      </c>
      <c r="T189" s="9">
        <f t="shared" si="54"/>
        <v>121541.73405189192</v>
      </c>
    </row>
    <row r="190" spans="1:20" x14ac:dyDescent="0.2">
      <c r="A190" s="8" t="s">
        <v>158</v>
      </c>
      <c r="B190" s="9">
        <v>0</v>
      </c>
      <c r="C190" s="9">
        <v>0</v>
      </c>
      <c r="D190" s="9">
        <v>-378595.79</v>
      </c>
      <c r="E190" s="9">
        <v>0</v>
      </c>
      <c r="F190" s="9">
        <v>-260480.92400219999</v>
      </c>
      <c r="G190" s="9">
        <v>0</v>
      </c>
      <c r="H190" s="9">
        <v>-1627.9946214975</v>
      </c>
      <c r="I190" s="9">
        <v>11240.803931022758</v>
      </c>
      <c r="J190" s="9">
        <v>0</v>
      </c>
      <c r="K190" s="9">
        <v>0</v>
      </c>
      <c r="L190" s="9">
        <f t="shared" si="51"/>
        <v>-250868.11469267472</v>
      </c>
      <c r="M190" s="9">
        <v>0</v>
      </c>
      <c r="N190" s="9">
        <v>0</v>
      </c>
      <c r="O190" s="9">
        <f t="shared" si="52"/>
        <v>0</v>
      </c>
      <c r="P190" s="9">
        <f t="shared" si="53"/>
        <v>-629463.90469267475</v>
      </c>
      <c r="Q190" s="9">
        <v>0</v>
      </c>
      <c r="R190" s="9">
        <v>0</v>
      </c>
      <c r="S190" s="9">
        <v>-399468.22861088999</v>
      </c>
      <c r="T190" s="9">
        <f t="shared" si="54"/>
        <v>-1028932.1333035647</v>
      </c>
    </row>
    <row r="191" spans="1:20" x14ac:dyDescent="0.2">
      <c r="A191" s="8" t="s">
        <v>294</v>
      </c>
      <c r="B191" s="9">
        <v>0</v>
      </c>
      <c r="C191" s="9">
        <v>0</v>
      </c>
      <c r="D191" s="9">
        <v>0</v>
      </c>
      <c r="E191" s="9">
        <v>0</v>
      </c>
      <c r="F191" s="9">
        <v>-317280.05020320002</v>
      </c>
      <c r="G191" s="9">
        <v>0</v>
      </c>
      <c r="H191" s="9">
        <v>-11144.643394113193</v>
      </c>
      <c r="I191" s="9">
        <v>0</v>
      </c>
      <c r="J191" s="9">
        <v>0</v>
      </c>
      <c r="K191" s="9">
        <v>0</v>
      </c>
      <c r="L191" s="9">
        <f t="shared" si="51"/>
        <v>-328424.69359731319</v>
      </c>
      <c r="M191" s="9">
        <v>0</v>
      </c>
      <c r="N191" s="9">
        <v>0</v>
      </c>
      <c r="O191" s="9">
        <f t="shared" si="52"/>
        <v>0</v>
      </c>
      <c r="P191" s="9">
        <f t="shared" si="53"/>
        <v>-328424.69359731319</v>
      </c>
      <c r="Q191" s="9">
        <v>0</v>
      </c>
      <c r="R191" s="9">
        <v>0</v>
      </c>
      <c r="S191" s="9">
        <v>0</v>
      </c>
      <c r="T191" s="9">
        <f t="shared" si="54"/>
        <v>-328424.69359731319</v>
      </c>
    </row>
    <row r="192" spans="1:20" x14ac:dyDescent="0.2">
      <c r="A192" s="8" t="s">
        <v>295</v>
      </c>
      <c r="B192" s="9">
        <v>0</v>
      </c>
      <c r="C192" s="9">
        <v>0</v>
      </c>
      <c r="D192" s="9">
        <v>-25000</v>
      </c>
      <c r="E192" s="9">
        <v>0</v>
      </c>
      <c r="F192" s="9">
        <v>-20237.956407000001</v>
      </c>
      <c r="G192" s="9">
        <v>0</v>
      </c>
      <c r="H192" s="9">
        <v>0</v>
      </c>
      <c r="I192" s="9">
        <v>0</v>
      </c>
      <c r="J192" s="9">
        <v>0</v>
      </c>
      <c r="K192" s="9">
        <v>-21968.184332383378</v>
      </c>
      <c r="L192" s="9">
        <f t="shared" si="51"/>
        <v>-42206.14073938338</v>
      </c>
      <c r="M192" s="9">
        <v>0</v>
      </c>
      <c r="N192" s="9">
        <v>0</v>
      </c>
      <c r="O192" s="9">
        <f t="shared" si="52"/>
        <v>0</v>
      </c>
      <c r="P192" s="9">
        <f t="shared" si="53"/>
        <v>-67206.14073938338</v>
      </c>
      <c r="Q192" s="9">
        <v>0</v>
      </c>
      <c r="R192" s="9">
        <v>0</v>
      </c>
      <c r="S192" s="9">
        <v>0</v>
      </c>
      <c r="T192" s="9">
        <f t="shared" si="54"/>
        <v>-67206.14073938338</v>
      </c>
    </row>
    <row r="193" spans="1:20" ht="10.5" x14ac:dyDescent="0.25">
      <c r="A193" s="10" t="s">
        <v>159</v>
      </c>
      <c r="B193" s="11">
        <f t="shared" ref="B193:T193" si="55">SUM(B181:B192)</f>
        <v>0</v>
      </c>
      <c r="C193" s="11">
        <f t="shared" si="55"/>
        <v>11957</v>
      </c>
      <c r="D193" s="11">
        <f t="shared" si="55"/>
        <v>-4114915.5</v>
      </c>
      <c r="E193" s="11">
        <f t="shared" si="55"/>
        <v>-196080.88253703</v>
      </c>
      <c r="F193" s="11">
        <f t="shared" si="55"/>
        <v>2885809.3132824004</v>
      </c>
      <c r="G193" s="11">
        <f t="shared" si="55"/>
        <v>-556479.16162440006</v>
      </c>
      <c r="H193" s="11">
        <f t="shared" si="55"/>
        <v>983342.22295390815</v>
      </c>
      <c r="I193" s="11">
        <f t="shared" si="55"/>
        <v>344768.34754335461</v>
      </c>
      <c r="J193" s="11">
        <f t="shared" si="55"/>
        <v>24668.675207100001</v>
      </c>
      <c r="K193" s="11">
        <f t="shared" si="55"/>
        <v>902742.839929868</v>
      </c>
      <c r="L193" s="11">
        <f t="shared" si="55"/>
        <v>4584852.2372922301</v>
      </c>
      <c r="M193" s="11">
        <f t="shared" si="55"/>
        <v>88612.501081800001</v>
      </c>
      <c r="N193" s="11">
        <f t="shared" si="55"/>
        <v>4844.6130816000004</v>
      </c>
      <c r="O193" s="11">
        <f t="shared" si="55"/>
        <v>93457.114163399994</v>
      </c>
      <c r="P193" s="11">
        <f t="shared" si="55"/>
        <v>367312.9689186</v>
      </c>
      <c r="Q193" s="11">
        <f t="shared" si="55"/>
        <v>-372852.62845769996</v>
      </c>
      <c r="R193" s="11">
        <f t="shared" si="55"/>
        <v>-1443.93250878</v>
      </c>
      <c r="S193" s="11">
        <f t="shared" si="55"/>
        <v>-95991.273507449951</v>
      </c>
      <c r="T193" s="11">
        <f t="shared" si="55"/>
        <v>-91017.865555330325</v>
      </c>
    </row>
    <row r="194" spans="1:20" ht="10.5" x14ac:dyDescent="0.25">
      <c r="A194" s="7" t="s">
        <v>160</v>
      </c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</row>
    <row r="195" spans="1:20" x14ac:dyDescent="0.2">
      <c r="A195" s="8" t="s">
        <v>161</v>
      </c>
      <c r="B195" s="9">
        <v>0</v>
      </c>
      <c r="C195" s="9">
        <v>-1000</v>
      </c>
      <c r="D195" s="9">
        <v>-73500</v>
      </c>
      <c r="E195" s="9">
        <v>0</v>
      </c>
      <c r="F195" s="9">
        <v>-34194.331524900001</v>
      </c>
      <c r="G195" s="9">
        <v>0</v>
      </c>
      <c r="H195" s="9">
        <v>0</v>
      </c>
      <c r="I195" s="9">
        <v>0</v>
      </c>
      <c r="J195" s="9">
        <v>0</v>
      </c>
      <c r="K195" s="9">
        <v>-235385.72840744327</v>
      </c>
      <c r="L195" s="9">
        <f>SUM(F195:K195)</f>
        <v>-269580.05993234325</v>
      </c>
      <c r="M195" s="9">
        <v>0</v>
      </c>
      <c r="N195" s="9">
        <v>0</v>
      </c>
      <c r="O195" s="9">
        <f>SUM(M195:N195)</f>
        <v>0</v>
      </c>
      <c r="P195" s="9">
        <f>SUM(D195:E195,L195,O195)</f>
        <v>-343080.05993234325</v>
      </c>
      <c r="Q195" s="9">
        <v>4833.3974445000003</v>
      </c>
      <c r="R195" s="9">
        <v>0</v>
      </c>
      <c r="S195" s="9">
        <v>0</v>
      </c>
      <c r="T195" s="9">
        <f>SUM(B195:C195,P195:S195)</f>
        <v>-339246.66248784325</v>
      </c>
    </row>
    <row r="196" spans="1:20" x14ac:dyDescent="0.2">
      <c r="A196" s="8" t="s">
        <v>162</v>
      </c>
      <c r="B196" s="9">
        <v>0</v>
      </c>
      <c r="C196" s="9">
        <v>0</v>
      </c>
      <c r="D196" s="9">
        <v>0</v>
      </c>
      <c r="E196" s="9">
        <v>0</v>
      </c>
      <c r="F196" s="9">
        <v>0</v>
      </c>
      <c r="G196" s="9">
        <v>0</v>
      </c>
      <c r="H196" s="9">
        <v>0</v>
      </c>
      <c r="I196" s="9">
        <v>0</v>
      </c>
      <c r="J196" s="9">
        <v>0</v>
      </c>
      <c r="K196" s="9">
        <v>0</v>
      </c>
      <c r="L196" s="9">
        <f>SUM(F196:K196)</f>
        <v>0</v>
      </c>
      <c r="M196" s="9">
        <v>0</v>
      </c>
      <c r="N196" s="9">
        <v>0</v>
      </c>
      <c r="O196" s="9">
        <f>SUM(M196:N196)</f>
        <v>0</v>
      </c>
      <c r="P196" s="9">
        <f>SUM(D196:E196,L196,O196)</f>
        <v>0</v>
      </c>
      <c r="Q196" s="9">
        <v>-10768.3330959</v>
      </c>
      <c r="R196" s="9">
        <v>0</v>
      </c>
      <c r="S196" s="9">
        <v>0</v>
      </c>
      <c r="T196" s="9">
        <f>SUM(B196:C196,P196:S196)</f>
        <v>-10768.3330959</v>
      </c>
    </row>
    <row r="197" spans="1:20" x14ac:dyDescent="0.2">
      <c r="A197" s="8" t="s">
        <v>163</v>
      </c>
      <c r="B197" s="9">
        <v>0</v>
      </c>
      <c r="C197" s="9">
        <v>0</v>
      </c>
      <c r="D197" s="9">
        <v>-10196.18</v>
      </c>
      <c r="E197" s="9">
        <v>0</v>
      </c>
      <c r="F197" s="9">
        <v>0</v>
      </c>
      <c r="G197" s="9">
        <v>0</v>
      </c>
      <c r="H197" s="9">
        <v>0</v>
      </c>
      <c r="I197" s="9">
        <v>0</v>
      </c>
      <c r="J197" s="9">
        <v>0</v>
      </c>
      <c r="K197" s="9">
        <v>0</v>
      </c>
      <c r="L197" s="9">
        <f>SUM(F197:K197)</f>
        <v>0</v>
      </c>
      <c r="M197" s="9">
        <v>0</v>
      </c>
      <c r="N197" s="9">
        <v>0</v>
      </c>
      <c r="O197" s="9">
        <f>SUM(M197:N197)</f>
        <v>0</v>
      </c>
      <c r="P197" s="9">
        <f>SUM(D197:E197,L197,O197)</f>
        <v>-10196.18</v>
      </c>
      <c r="Q197" s="9">
        <v>0</v>
      </c>
      <c r="R197" s="9">
        <v>0</v>
      </c>
      <c r="S197" s="9">
        <v>-7132.5771915300002</v>
      </c>
      <c r="T197" s="9">
        <f>SUM(B197:C197,P197:S197)</f>
        <v>-17328.75719153</v>
      </c>
    </row>
    <row r="198" spans="1:20" ht="10.5" x14ac:dyDescent="0.25">
      <c r="A198" s="10" t="s">
        <v>164</v>
      </c>
      <c r="B198" s="11">
        <f t="shared" ref="B198:T198" si="56">SUM(B195:B197)</f>
        <v>0</v>
      </c>
      <c r="C198" s="11">
        <f t="shared" si="56"/>
        <v>-1000</v>
      </c>
      <c r="D198" s="11">
        <f t="shared" si="56"/>
        <v>-83696.179999999993</v>
      </c>
      <c r="E198" s="11">
        <f t="shared" si="56"/>
        <v>0</v>
      </c>
      <c r="F198" s="11">
        <f t="shared" si="56"/>
        <v>-34194.331524900001</v>
      </c>
      <c r="G198" s="11">
        <f t="shared" si="56"/>
        <v>0</v>
      </c>
      <c r="H198" s="11">
        <f t="shared" si="56"/>
        <v>0</v>
      </c>
      <c r="I198" s="11">
        <f t="shared" si="56"/>
        <v>0</v>
      </c>
      <c r="J198" s="11">
        <f t="shared" si="56"/>
        <v>0</v>
      </c>
      <c r="K198" s="11">
        <f t="shared" si="56"/>
        <v>-235385.72840744327</v>
      </c>
      <c r="L198" s="11">
        <f t="shared" si="56"/>
        <v>-269580.05993234325</v>
      </c>
      <c r="M198" s="11">
        <f t="shared" si="56"/>
        <v>0</v>
      </c>
      <c r="N198" s="11">
        <f t="shared" si="56"/>
        <v>0</v>
      </c>
      <c r="O198" s="11">
        <f t="shared" si="56"/>
        <v>0</v>
      </c>
      <c r="P198" s="11">
        <f t="shared" si="56"/>
        <v>-353276.23993234325</v>
      </c>
      <c r="Q198" s="11">
        <f t="shared" si="56"/>
        <v>-5934.9356513999992</v>
      </c>
      <c r="R198" s="11">
        <f t="shared" si="56"/>
        <v>0</v>
      </c>
      <c r="S198" s="11">
        <f t="shared" si="56"/>
        <v>-7132.5771915300002</v>
      </c>
      <c r="T198" s="11">
        <f t="shared" si="56"/>
        <v>-367343.75277527329</v>
      </c>
    </row>
    <row r="199" spans="1:20" ht="10.5" x14ac:dyDescent="0.25">
      <c r="A199" s="7" t="s">
        <v>165</v>
      </c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</row>
    <row r="200" spans="1:20" x14ac:dyDescent="0.2">
      <c r="A200" s="8" t="s">
        <v>166</v>
      </c>
      <c r="B200" s="9">
        <v>0</v>
      </c>
      <c r="C200" s="9">
        <v>0</v>
      </c>
      <c r="D200" s="9">
        <v>0</v>
      </c>
      <c r="E200" s="9">
        <v>0</v>
      </c>
      <c r="F200" s="9">
        <v>11486.7099</v>
      </c>
      <c r="G200" s="9">
        <v>0</v>
      </c>
      <c r="H200" s="9">
        <v>0</v>
      </c>
      <c r="I200" s="9">
        <v>0</v>
      </c>
      <c r="J200" s="9">
        <v>0</v>
      </c>
      <c r="K200" s="9">
        <v>0</v>
      </c>
      <c r="L200" s="9">
        <f>SUM(F200:K200)</f>
        <v>11486.7099</v>
      </c>
      <c r="M200" s="9">
        <v>0</v>
      </c>
      <c r="N200" s="9">
        <v>0</v>
      </c>
      <c r="O200" s="9">
        <f>SUM(M200:N200)</f>
        <v>0</v>
      </c>
      <c r="P200" s="9">
        <f>SUM(D200:E200,L200,O200)</f>
        <v>11486.7099</v>
      </c>
      <c r="Q200" s="9">
        <v>0</v>
      </c>
      <c r="R200" s="9">
        <v>0</v>
      </c>
      <c r="S200" s="9">
        <v>0</v>
      </c>
      <c r="T200" s="9">
        <f>SUM(B200:C200,P200:S200)</f>
        <v>11486.7099</v>
      </c>
    </row>
    <row r="201" spans="1:20" x14ac:dyDescent="0.2">
      <c r="A201" s="8" t="s">
        <v>167</v>
      </c>
      <c r="B201" s="9">
        <v>0</v>
      </c>
      <c r="C201" s="9">
        <v>0</v>
      </c>
      <c r="D201" s="9">
        <v>0</v>
      </c>
      <c r="E201" s="9">
        <v>0</v>
      </c>
      <c r="F201" s="9">
        <v>-170239.71588569999</v>
      </c>
      <c r="G201" s="9">
        <v>0</v>
      </c>
      <c r="H201" s="9">
        <v>0</v>
      </c>
      <c r="I201" s="9">
        <v>0</v>
      </c>
      <c r="J201" s="9">
        <v>0</v>
      </c>
      <c r="K201" s="9">
        <v>0</v>
      </c>
      <c r="L201" s="9">
        <f>SUM(F201:K201)</f>
        <v>-170239.71588569999</v>
      </c>
      <c r="M201" s="9">
        <v>0</v>
      </c>
      <c r="N201" s="9">
        <v>0</v>
      </c>
      <c r="O201" s="9">
        <f>SUM(M201:N201)</f>
        <v>0</v>
      </c>
      <c r="P201" s="9">
        <f>SUM(D201:E201,L201,O201)</f>
        <v>-170239.71588569999</v>
      </c>
      <c r="Q201" s="9">
        <v>0</v>
      </c>
      <c r="R201" s="9">
        <v>0</v>
      </c>
      <c r="S201" s="9">
        <v>0</v>
      </c>
      <c r="T201" s="9">
        <f>SUM(B201:C201,P201:S201)</f>
        <v>-170239.71588569999</v>
      </c>
    </row>
    <row r="202" spans="1:20" x14ac:dyDescent="0.2">
      <c r="A202" s="8" t="s">
        <v>168</v>
      </c>
      <c r="B202" s="9">
        <v>0</v>
      </c>
      <c r="C202" s="9">
        <v>0</v>
      </c>
      <c r="D202" s="9">
        <v>0</v>
      </c>
      <c r="E202" s="9">
        <v>0</v>
      </c>
      <c r="F202" s="9">
        <v>-36735.955276499997</v>
      </c>
      <c r="G202" s="9">
        <v>-1049.27763</v>
      </c>
      <c r="H202" s="9">
        <v>0</v>
      </c>
      <c r="I202" s="9">
        <v>0</v>
      </c>
      <c r="J202" s="9">
        <v>0</v>
      </c>
      <c r="K202" s="9">
        <v>0</v>
      </c>
      <c r="L202" s="9">
        <f>SUM(F202:K202)</f>
        <v>-37785.232906499994</v>
      </c>
      <c r="M202" s="9">
        <v>0</v>
      </c>
      <c r="N202" s="9">
        <v>0</v>
      </c>
      <c r="O202" s="9">
        <f>SUM(M202:N202)</f>
        <v>0</v>
      </c>
      <c r="P202" s="9">
        <f>SUM(D202:E202,L202,O202)</f>
        <v>-37785.232906499994</v>
      </c>
      <c r="Q202" s="9">
        <v>0</v>
      </c>
      <c r="R202" s="9">
        <v>0</v>
      </c>
      <c r="S202" s="9">
        <v>0</v>
      </c>
      <c r="T202" s="9">
        <f>SUM(B202:C202,P202:S202)</f>
        <v>-37785.232906499994</v>
      </c>
    </row>
    <row r="203" spans="1:20" ht="10.5" x14ac:dyDescent="0.25">
      <c r="A203" s="10" t="s">
        <v>169</v>
      </c>
      <c r="B203" s="11">
        <f t="shared" ref="B203:T203" si="57">SUM(B200:B202)</f>
        <v>0</v>
      </c>
      <c r="C203" s="11">
        <f t="shared" si="57"/>
        <v>0</v>
      </c>
      <c r="D203" s="11">
        <f t="shared" si="57"/>
        <v>0</v>
      </c>
      <c r="E203" s="11">
        <f t="shared" si="57"/>
        <v>0</v>
      </c>
      <c r="F203" s="11">
        <f t="shared" si="57"/>
        <v>-195488.9612622</v>
      </c>
      <c r="G203" s="11">
        <f t="shared" si="57"/>
        <v>-1049.27763</v>
      </c>
      <c r="H203" s="11">
        <f t="shared" si="57"/>
        <v>0</v>
      </c>
      <c r="I203" s="11">
        <f t="shared" si="57"/>
        <v>0</v>
      </c>
      <c r="J203" s="11">
        <f t="shared" si="57"/>
        <v>0</v>
      </c>
      <c r="K203" s="11">
        <f t="shared" si="57"/>
        <v>0</v>
      </c>
      <c r="L203" s="11">
        <f t="shared" si="57"/>
        <v>-196538.2388922</v>
      </c>
      <c r="M203" s="11">
        <f t="shared" si="57"/>
        <v>0</v>
      </c>
      <c r="N203" s="11">
        <f t="shared" si="57"/>
        <v>0</v>
      </c>
      <c r="O203" s="11">
        <f t="shared" si="57"/>
        <v>0</v>
      </c>
      <c r="P203" s="11">
        <f t="shared" si="57"/>
        <v>-196538.2388922</v>
      </c>
      <c r="Q203" s="11">
        <f t="shared" si="57"/>
        <v>0</v>
      </c>
      <c r="R203" s="11">
        <f t="shared" si="57"/>
        <v>0</v>
      </c>
      <c r="S203" s="11">
        <f t="shared" si="57"/>
        <v>0</v>
      </c>
      <c r="T203" s="11">
        <f t="shared" si="57"/>
        <v>-196538.2388922</v>
      </c>
    </row>
    <row r="204" spans="1:20" x14ac:dyDescent="0.2">
      <c r="A204" s="16" t="s">
        <v>296</v>
      </c>
      <c r="B204" s="9">
        <v>0</v>
      </c>
      <c r="C204" s="9">
        <v>0</v>
      </c>
      <c r="D204" s="9">
        <v>0</v>
      </c>
      <c r="E204" s="9">
        <v>0</v>
      </c>
      <c r="F204" s="9">
        <v>0</v>
      </c>
      <c r="G204" s="9">
        <v>0</v>
      </c>
      <c r="H204" s="9">
        <v>0</v>
      </c>
      <c r="I204" s="9">
        <v>0</v>
      </c>
      <c r="J204" s="9">
        <v>0</v>
      </c>
      <c r="K204" s="9">
        <v>0</v>
      </c>
      <c r="L204" s="9">
        <f>SUM(F204:K204)</f>
        <v>0</v>
      </c>
      <c r="M204" s="9">
        <v>0</v>
      </c>
      <c r="N204" s="9">
        <v>0</v>
      </c>
      <c r="O204" s="9">
        <f>SUM(M204:N204)</f>
        <v>0</v>
      </c>
      <c r="P204" s="9">
        <f>SUM(D204:E204,L204,O204)</f>
        <v>0</v>
      </c>
      <c r="Q204" s="9">
        <v>0</v>
      </c>
      <c r="R204" s="9">
        <v>436.66467398999998</v>
      </c>
      <c r="S204" s="9">
        <v>0</v>
      </c>
      <c r="T204" s="9">
        <f>SUM(B204:C204,P204:S204)</f>
        <v>436.66467398999998</v>
      </c>
    </row>
    <row r="205" spans="1:20" x14ac:dyDescent="0.2">
      <c r="A205" s="16" t="s">
        <v>170</v>
      </c>
      <c r="B205" s="9">
        <v>0</v>
      </c>
      <c r="C205" s="9">
        <v>0</v>
      </c>
      <c r="D205" s="9">
        <v>0</v>
      </c>
      <c r="E205" s="9">
        <v>0</v>
      </c>
      <c r="F205" s="9">
        <v>-87601.749673500002</v>
      </c>
      <c r="G205" s="9">
        <v>0</v>
      </c>
      <c r="H205" s="9">
        <v>0</v>
      </c>
      <c r="I205" s="9">
        <v>0</v>
      </c>
      <c r="J205" s="9">
        <v>-73.313897699999998</v>
      </c>
      <c r="K205" s="9">
        <v>0</v>
      </c>
      <c r="L205" s="9">
        <f>SUM(F205:K205)</f>
        <v>-87675.063571200008</v>
      </c>
      <c r="M205" s="9">
        <v>0</v>
      </c>
      <c r="N205" s="9">
        <v>0</v>
      </c>
      <c r="O205" s="9">
        <f>SUM(M205:N205)</f>
        <v>0</v>
      </c>
      <c r="P205" s="9">
        <f>SUM(D205:E205,L205,O205)</f>
        <v>-87675.063571200008</v>
      </c>
      <c r="Q205" s="9">
        <v>-1127.098113</v>
      </c>
      <c r="R205" s="9">
        <v>0</v>
      </c>
      <c r="S205" s="9">
        <v>0</v>
      </c>
      <c r="T205" s="9">
        <f>SUM(B205:C205,P205:S205)</f>
        <v>-88802.161684200008</v>
      </c>
    </row>
    <row r="206" spans="1:20" x14ac:dyDescent="0.2">
      <c r="A206" s="16" t="s">
        <v>171</v>
      </c>
      <c r="B206" s="9">
        <v>0</v>
      </c>
      <c r="C206" s="9">
        <v>0</v>
      </c>
      <c r="D206" s="9">
        <v>0</v>
      </c>
      <c r="E206" s="9">
        <v>0</v>
      </c>
      <c r="F206" s="9">
        <v>-24307.086681299999</v>
      </c>
      <c r="G206" s="9">
        <v>-4386.3193344000001</v>
      </c>
      <c r="H206" s="9">
        <v>0</v>
      </c>
      <c r="I206" s="9">
        <v>0</v>
      </c>
      <c r="J206" s="9">
        <v>0</v>
      </c>
      <c r="K206" s="9">
        <v>0</v>
      </c>
      <c r="L206" s="9">
        <f>SUM(F206:K206)</f>
        <v>-28693.406015699999</v>
      </c>
      <c r="M206" s="9">
        <v>0</v>
      </c>
      <c r="N206" s="9">
        <v>0</v>
      </c>
      <c r="O206" s="9">
        <f>SUM(M206:N206)</f>
        <v>0</v>
      </c>
      <c r="P206" s="9">
        <f>SUM(D206:E206,L206,O206)</f>
        <v>-28693.406015699999</v>
      </c>
      <c r="Q206" s="9">
        <v>0</v>
      </c>
      <c r="R206" s="9">
        <v>0</v>
      </c>
      <c r="S206" s="9">
        <v>0</v>
      </c>
      <c r="T206" s="9">
        <f>SUM(B206:C206,P206:S206)</f>
        <v>-28693.406015699999</v>
      </c>
    </row>
    <row r="207" spans="1:20" x14ac:dyDescent="0.2">
      <c r="A207" s="16" t="s">
        <v>172</v>
      </c>
      <c r="B207" s="9">
        <v>0</v>
      </c>
      <c r="C207" s="9">
        <v>0</v>
      </c>
      <c r="D207" s="9">
        <v>0</v>
      </c>
      <c r="E207" s="9">
        <v>0</v>
      </c>
      <c r="F207" s="9">
        <v>-11314.6351455</v>
      </c>
      <c r="G207" s="9">
        <v>0</v>
      </c>
      <c r="H207" s="9">
        <v>0</v>
      </c>
      <c r="I207" s="9">
        <v>0</v>
      </c>
      <c r="J207" s="9">
        <v>0</v>
      </c>
      <c r="K207" s="9">
        <v>0</v>
      </c>
      <c r="L207" s="9">
        <f>SUM(F207:K207)</f>
        <v>-11314.6351455</v>
      </c>
      <c r="M207" s="9">
        <v>0</v>
      </c>
      <c r="N207" s="9">
        <v>0</v>
      </c>
      <c r="O207" s="9">
        <f>SUM(M207:N207)</f>
        <v>0</v>
      </c>
      <c r="P207" s="9">
        <f>SUM(D207:E207,L207,O207)</f>
        <v>-11314.6351455</v>
      </c>
      <c r="Q207" s="9">
        <v>-1606.7275485</v>
      </c>
      <c r="R207" s="9">
        <v>0</v>
      </c>
      <c r="S207" s="9">
        <v>0</v>
      </c>
      <c r="T207" s="9">
        <f>SUM(B207:C207,P207:S207)</f>
        <v>-12921.362693999999</v>
      </c>
    </row>
    <row r="208" spans="1:20" x14ac:dyDescent="0.2">
      <c r="A208" s="16" t="s">
        <v>173</v>
      </c>
      <c r="B208" s="9">
        <v>0</v>
      </c>
      <c r="C208" s="9">
        <v>0</v>
      </c>
      <c r="D208" s="9">
        <v>0</v>
      </c>
      <c r="E208" s="9">
        <v>0</v>
      </c>
      <c r="F208" s="9">
        <v>0</v>
      </c>
      <c r="G208" s="9">
        <v>0</v>
      </c>
      <c r="H208" s="9">
        <v>21051.366913571339</v>
      </c>
      <c r="I208" s="9">
        <v>0</v>
      </c>
      <c r="J208" s="9">
        <v>0</v>
      </c>
      <c r="K208" s="9">
        <v>0</v>
      </c>
      <c r="L208" s="9">
        <f>SUM(F208:K208)</f>
        <v>21051.366913571339</v>
      </c>
      <c r="M208" s="9">
        <v>0</v>
      </c>
      <c r="N208" s="9">
        <v>0</v>
      </c>
      <c r="O208" s="9">
        <f>SUM(M208:N208)</f>
        <v>0</v>
      </c>
      <c r="P208" s="9">
        <f>SUM(D208:E208,L208,O208)</f>
        <v>21051.366913571339</v>
      </c>
      <c r="Q208" s="9">
        <v>0</v>
      </c>
      <c r="R208" s="9">
        <v>0</v>
      </c>
      <c r="S208" s="9">
        <v>0</v>
      </c>
      <c r="T208" s="9">
        <f>SUM(B208:C208,P208:S208)</f>
        <v>21051.366913571339</v>
      </c>
    </row>
    <row r="209" spans="1:20" ht="10.5" x14ac:dyDescent="0.25">
      <c r="A209" s="12" t="s">
        <v>174</v>
      </c>
      <c r="B209" s="11">
        <f t="shared" ref="B209:T209" si="58">SUM(B169:B170,B179,B193,B198,B203:B208)</f>
        <v>0</v>
      </c>
      <c r="C209" s="11">
        <f t="shared" si="58"/>
        <v>-4154.2999999999993</v>
      </c>
      <c r="D209" s="11">
        <f t="shared" si="58"/>
        <v>-3946389.08</v>
      </c>
      <c r="E209" s="11">
        <f t="shared" si="58"/>
        <v>-188228.86133703002</v>
      </c>
      <c r="F209" s="11">
        <f t="shared" si="58"/>
        <v>4053134.5507395007</v>
      </c>
      <c r="G209" s="11">
        <f t="shared" si="58"/>
        <v>-558754.50152880012</v>
      </c>
      <c r="H209" s="11">
        <f t="shared" si="58"/>
        <v>1052745.3701959427</v>
      </c>
      <c r="I209" s="11">
        <f t="shared" si="58"/>
        <v>349658.32794818073</v>
      </c>
      <c r="J209" s="11">
        <f t="shared" si="58"/>
        <v>97163.808809399998</v>
      </c>
      <c r="K209" s="11">
        <f t="shared" si="58"/>
        <v>734344.66589182918</v>
      </c>
      <c r="L209" s="11">
        <f t="shared" si="58"/>
        <v>5728292.2220560517</v>
      </c>
      <c r="M209" s="11">
        <f t="shared" si="58"/>
        <v>91385.801719800002</v>
      </c>
      <c r="N209" s="11">
        <f t="shared" si="58"/>
        <v>7617.9137196000011</v>
      </c>
      <c r="O209" s="11">
        <f t="shared" si="58"/>
        <v>99003.715439399995</v>
      </c>
      <c r="P209" s="11">
        <f t="shared" si="58"/>
        <v>1692677.996158422</v>
      </c>
      <c r="Q209" s="11">
        <f t="shared" si="58"/>
        <v>-375577.91532599996</v>
      </c>
      <c r="R209" s="11">
        <f t="shared" si="58"/>
        <v>5988.5717485499999</v>
      </c>
      <c r="S209" s="11">
        <f t="shared" si="58"/>
        <v>-95255.75851571995</v>
      </c>
      <c r="T209" s="11">
        <f t="shared" si="58"/>
        <v>1223678.5940652518</v>
      </c>
    </row>
    <row r="210" spans="1:20" ht="10.5" x14ac:dyDescent="0.2">
      <c r="A210" s="4" t="s">
        <v>175</v>
      </c>
      <c r="B210" s="5">
        <f t="shared" ref="B210:T210" si="59">B127+B150+B209</f>
        <v>0</v>
      </c>
      <c r="C210" s="5">
        <f t="shared" si="59"/>
        <v>202.79000000000087</v>
      </c>
      <c r="D210" s="5">
        <f t="shared" si="59"/>
        <v>-3973480.38</v>
      </c>
      <c r="E210" s="5">
        <f t="shared" si="59"/>
        <v>-193214.61895188002</v>
      </c>
      <c r="F210" s="5">
        <f t="shared" si="59"/>
        <v>5177645.3642211007</v>
      </c>
      <c r="G210" s="5">
        <f t="shared" si="59"/>
        <v>-554076.20290470007</v>
      </c>
      <c r="H210" s="5">
        <f t="shared" si="59"/>
        <v>1085660.3101640122</v>
      </c>
      <c r="I210" s="5">
        <f t="shared" si="59"/>
        <v>369522.05810809333</v>
      </c>
      <c r="J210" s="5">
        <f t="shared" si="59"/>
        <v>110527.9802169</v>
      </c>
      <c r="K210" s="5">
        <f t="shared" si="59"/>
        <v>916487.79769417597</v>
      </c>
      <c r="L210" s="5">
        <f t="shared" si="59"/>
        <v>7105767.307499581</v>
      </c>
      <c r="M210" s="5">
        <f t="shared" si="59"/>
        <v>91385.801719800002</v>
      </c>
      <c r="N210" s="5">
        <f t="shared" si="59"/>
        <v>7617.9137196000011</v>
      </c>
      <c r="O210" s="5">
        <f t="shared" si="59"/>
        <v>99003.715439399995</v>
      </c>
      <c r="P210" s="5">
        <f t="shared" si="59"/>
        <v>3038076.0239871014</v>
      </c>
      <c r="Q210" s="5">
        <f t="shared" si="59"/>
        <v>-195197.09491949997</v>
      </c>
      <c r="R210" s="5">
        <f t="shared" si="59"/>
        <v>7255.2150985500002</v>
      </c>
      <c r="S210" s="5">
        <f t="shared" si="59"/>
        <v>-92801.578497419949</v>
      </c>
      <c r="T210" s="5">
        <f t="shared" si="59"/>
        <v>2757535.355668731</v>
      </c>
    </row>
    <row r="211" spans="1:20" ht="10.5" x14ac:dyDescent="0.2">
      <c r="A211" s="4" t="s">
        <v>176</v>
      </c>
      <c r="B211" s="5">
        <f t="shared" ref="B211:T211" si="60">B89-B210</f>
        <v>0</v>
      </c>
      <c r="C211" s="5">
        <f t="shared" si="60"/>
        <v>126128.10999999999</v>
      </c>
      <c r="D211" s="5">
        <f t="shared" si="60"/>
        <v>7303660.3799999999</v>
      </c>
      <c r="E211" s="5">
        <f t="shared" si="60"/>
        <v>177979.65142293001</v>
      </c>
      <c r="F211" s="5">
        <f t="shared" si="60"/>
        <v>-130160.2922205003</v>
      </c>
      <c r="G211" s="5">
        <f t="shared" si="60"/>
        <v>543076.9948461001</v>
      </c>
      <c r="H211" s="5">
        <f t="shared" si="60"/>
        <v>-632581.36109006195</v>
      </c>
      <c r="I211" s="5">
        <f t="shared" si="60"/>
        <v>-196166.93582736838</v>
      </c>
      <c r="J211" s="5">
        <f t="shared" si="60"/>
        <v>-126638.63864460001</v>
      </c>
      <c r="K211" s="5">
        <f t="shared" si="60"/>
        <v>-879261.66531142022</v>
      </c>
      <c r="L211" s="5">
        <f t="shared" si="60"/>
        <v>-1421731.8982478511</v>
      </c>
      <c r="M211" s="5">
        <f t="shared" si="60"/>
        <v>-91157.648779800002</v>
      </c>
      <c r="N211" s="5">
        <f t="shared" si="60"/>
        <v>-7617.9137196000011</v>
      </c>
      <c r="O211" s="5">
        <f t="shared" si="60"/>
        <v>-98775.562499399995</v>
      </c>
      <c r="P211" s="5">
        <f t="shared" si="60"/>
        <v>5961132.5706756804</v>
      </c>
      <c r="Q211" s="5">
        <f t="shared" si="60"/>
        <v>369023.18301209994</v>
      </c>
      <c r="R211" s="5">
        <f t="shared" si="60"/>
        <v>49375.595595960003</v>
      </c>
      <c r="S211" s="5">
        <f t="shared" si="60"/>
        <v>100491.51447809995</v>
      </c>
      <c r="T211" s="5">
        <f t="shared" si="60"/>
        <v>6606150.9737618398</v>
      </c>
    </row>
    <row r="212" spans="1:20" ht="10.5" x14ac:dyDescent="0.2">
      <c r="A212" s="4" t="s">
        <v>177</v>
      </c>
      <c r="B212" s="5">
        <f t="shared" ref="B212:T212" si="61">B211+B114+0</f>
        <v>0</v>
      </c>
      <c r="C212" s="5">
        <f t="shared" si="61"/>
        <v>129328.10999999999</v>
      </c>
      <c r="D212" s="5">
        <f t="shared" si="61"/>
        <v>7303660.3799999999</v>
      </c>
      <c r="E212" s="5">
        <f t="shared" si="61"/>
        <v>191756.39340822</v>
      </c>
      <c r="F212" s="5">
        <f t="shared" si="61"/>
        <v>-69478.488652800297</v>
      </c>
      <c r="G212" s="5">
        <f t="shared" si="61"/>
        <v>543076.9948461001</v>
      </c>
      <c r="H212" s="5">
        <f t="shared" si="61"/>
        <v>-616502.4685930761</v>
      </c>
      <c r="I212" s="5">
        <f t="shared" si="61"/>
        <v>-196166.93582736838</v>
      </c>
      <c r="J212" s="5">
        <f t="shared" si="61"/>
        <v>-126638.63864460001</v>
      </c>
      <c r="K212" s="5">
        <f t="shared" si="61"/>
        <v>-864342.86992876162</v>
      </c>
      <c r="L212" s="5">
        <f t="shared" si="61"/>
        <v>-1330052.4068005066</v>
      </c>
      <c r="M212" s="5">
        <f t="shared" si="61"/>
        <v>-91157.648779800002</v>
      </c>
      <c r="N212" s="5">
        <f t="shared" si="61"/>
        <v>-7617.9137196000011</v>
      </c>
      <c r="O212" s="5">
        <f t="shared" si="61"/>
        <v>-98775.562499399995</v>
      </c>
      <c r="P212" s="5">
        <f t="shared" si="61"/>
        <v>6066588.8041083151</v>
      </c>
      <c r="Q212" s="5">
        <f t="shared" si="61"/>
        <v>381767.21891609993</v>
      </c>
      <c r="R212" s="5">
        <f t="shared" si="61"/>
        <v>49375.595595960003</v>
      </c>
      <c r="S212" s="5">
        <f t="shared" si="61"/>
        <v>135916.21604429994</v>
      </c>
      <c r="T212" s="5">
        <f t="shared" si="61"/>
        <v>6762975.9446646739</v>
      </c>
    </row>
    <row r="213" spans="1:20" ht="10.5" x14ac:dyDescent="0.2">
      <c r="A213" s="4" t="s">
        <v>178</v>
      </c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</row>
    <row r="214" spans="1:20" ht="10.5" x14ac:dyDescent="0.25">
      <c r="A214" s="6" t="s">
        <v>179</v>
      </c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</row>
    <row r="215" spans="1:20" ht="10.5" x14ac:dyDescent="0.25">
      <c r="A215" s="7" t="s">
        <v>180</v>
      </c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</row>
    <row r="216" spans="1:20" x14ac:dyDescent="0.2">
      <c r="A216" s="8" t="s">
        <v>180</v>
      </c>
      <c r="B216" s="9">
        <v>0</v>
      </c>
      <c r="C216" s="9">
        <v>0</v>
      </c>
      <c r="D216" s="9">
        <v>0</v>
      </c>
      <c r="E216" s="9">
        <v>0</v>
      </c>
      <c r="F216" s="9">
        <v>-6667.9165026000001</v>
      </c>
      <c r="G216" s="9">
        <v>0</v>
      </c>
      <c r="H216" s="9">
        <v>0</v>
      </c>
      <c r="I216" s="9">
        <v>0</v>
      </c>
      <c r="J216" s="9">
        <v>0</v>
      </c>
      <c r="K216" s="9">
        <v>0</v>
      </c>
      <c r="L216" s="9">
        <f t="shared" ref="L216:L223" si="62">SUM(F216:K216)</f>
        <v>-6667.9165026000001</v>
      </c>
      <c r="M216" s="9">
        <v>0</v>
      </c>
      <c r="N216" s="9">
        <v>0</v>
      </c>
      <c r="O216" s="9">
        <f t="shared" ref="O216:O223" si="63">SUM(M216:N216)</f>
        <v>0</v>
      </c>
      <c r="P216" s="9">
        <f t="shared" ref="P216:P223" si="64">SUM(D216:E216,L216,O216)</f>
        <v>-6667.9165026000001</v>
      </c>
      <c r="Q216" s="9">
        <v>0</v>
      </c>
      <c r="R216" s="9">
        <v>0</v>
      </c>
      <c r="S216" s="9">
        <v>0</v>
      </c>
      <c r="T216" s="9">
        <f t="shared" ref="T216:T223" si="65">SUM(B216:C216,P216:S216)</f>
        <v>-6667.9165026000001</v>
      </c>
    </row>
    <row r="217" spans="1:20" x14ac:dyDescent="0.2">
      <c r="A217" s="8" t="s">
        <v>181</v>
      </c>
      <c r="B217" s="9">
        <v>0</v>
      </c>
      <c r="C217" s="9">
        <v>0</v>
      </c>
      <c r="D217" s="9">
        <v>461794.87</v>
      </c>
      <c r="E217" s="9">
        <v>113458.99662288</v>
      </c>
      <c r="F217" s="9">
        <v>110144.9204664</v>
      </c>
      <c r="G217" s="9">
        <v>0</v>
      </c>
      <c r="H217" s="9">
        <v>-77897.422627881606</v>
      </c>
      <c r="I217" s="9">
        <v>0</v>
      </c>
      <c r="J217" s="9">
        <v>0</v>
      </c>
      <c r="K217" s="9">
        <v>99088.877634915887</v>
      </c>
      <c r="L217" s="9">
        <f t="shared" si="62"/>
        <v>131336.37547343428</v>
      </c>
      <c r="M217" s="9">
        <v>0</v>
      </c>
      <c r="N217" s="9">
        <v>0</v>
      </c>
      <c r="O217" s="9">
        <f t="shared" si="63"/>
        <v>0</v>
      </c>
      <c r="P217" s="9">
        <f t="shared" si="64"/>
        <v>706590.24209631421</v>
      </c>
      <c r="Q217" s="9">
        <v>0</v>
      </c>
      <c r="R217" s="9">
        <v>0</v>
      </c>
      <c r="S217" s="9">
        <v>-741504.99976214999</v>
      </c>
      <c r="T217" s="9">
        <f t="shared" si="65"/>
        <v>-34914.757665835787</v>
      </c>
    </row>
    <row r="218" spans="1:20" x14ac:dyDescent="0.2">
      <c r="A218" s="8" t="s">
        <v>182</v>
      </c>
      <c r="B218" s="9">
        <v>0</v>
      </c>
      <c r="C218" s="9">
        <v>0</v>
      </c>
      <c r="D218" s="9">
        <v>3238.86</v>
      </c>
      <c r="E218" s="9">
        <v>0</v>
      </c>
      <c r="F218" s="9">
        <v>-48060.416811000003</v>
      </c>
      <c r="G218" s="9">
        <v>0</v>
      </c>
      <c r="H218" s="9">
        <v>0</v>
      </c>
      <c r="I218" s="9">
        <v>0</v>
      </c>
      <c r="J218" s="9">
        <v>0</v>
      </c>
      <c r="K218" s="9">
        <v>0</v>
      </c>
      <c r="L218" s="9">
        <f t="shared" si="62"/>
        <v>-48060.416811000003</v>
      </c>
      <c r="M218" s="9">
        <v>0</v>
      </c>
      <c r="N218" s="9">
        <v>0</v>
      </c>
      <c r="O218" s="9">
        <f t="shared" si="63"/>
        <v>0</v>
      </c>
      <c r="P218" s="9">
        <f t="shared" si="64"/>
        <v>-44821.556811000002</v>
      </c>
      <c r="Q218" s="9">
        <v>0</v>
      </c>
      <c r="R218" s="9">
        <v>0</v>
      </c>
      <c r="S218" s="9">
        <v>0</v>
      </c>
      <c r="T218" s="9">
        <f t="shared" si="65"/>
        <v>-44821.556811000002</v>
      </c>
    </row>
    <row r="219" spans="1:20" x14ac:dyDescent="0.2">
      <c r="A219" s="8" t="s">
        <v>183</v>
      </c>
      <c r="B219" s="9">
        <v>0</v>
      </c>
      <c r="C219" s="9">
        <v>0</v>
      </c>
      <c r="D219" s="9">
        <v>0</v>
      </c>
      <c r="E219" s="9">
        <v>0</v>
      </c>
      <c r="F219" s="9">
        <v>0</v>
      </c>
      <c r="G219" s="9">
        <v>0</v>
      </c>
      <c r="H219" s="9">
        <v>0</v>
      </c>
      <c r="I219" s="9">
        <v>0</v>
      </c>
      <c r="J219" s="9">
        <v>0</v>
      </c>
      <c r="K219" s="9">
        <v>0</v>
      </c>
      <c r="L219" s="9">
        <f t="shared" si="62"/>
        <v>0</v>
      </c>
      <c r="M219" s="9">
        <v>0</v>
      </c>
      <c r="N219" s="9">
        <v>0</v>
      </c>
      <c r="O219" s="9">
        <f t="shared" si="63"/>
        <v>0</v>
      </c>
      <c r="P219" s="9">
        <f t="shared" si="64"/>
        <v>0</v>
      </c>
      <c r="Q219" s="9">
        <v>36354.533257499999</v>
      </c>
      <c r="R219" s="9">
        <v>0</v>
      </c>
      <c r="S219" s="9">
        <v>0</v>
      </c>
      <c r="T219" s="9">
        <f t="shared" si="65"/>
        <v>36354.533257499999</v>
      </c>
    </row>
    <row r="220" spans="1:20" x14ac:dyDescent="0.2">
      <c r="A220" s="8" t="s">
        <v>184</v>
      </c>
      <c r="B220" s="9">
        <v>0</v>
      </c>
      <c r="C220" s="9">
        <v>0</v>
      </c>
      <c r="D220" s="9">
        <v>801600</v>
      </c>
      <c r="E220" s="9">
        <v>0</v>
      </c>
      <c r="F220" s="9">
        <v>0</v>
      </c>
      <c r="G220" s="9">
        <v>0</v>
      </c>
      <c r="H220" s="9">
        <v>0</v>
      </c>
      <c r="I220" s="9">
        <v>0</v>
      </c>
      <c r="J220" s="9">
        <v>0</v>
      </c>
      <c r="K220" s="9">
        <v>0</v>
      </c>
      <c r="L220" s="9">
        <f t="shared" si="62"/>
        <v>0</v>
      </c>
      <c r="M220" s="9">
        <v>0</v>
      </c>
      <c r="N220" s="9">
        <v>0</v>
      </c>
      <c r="O220" s="9">
        <f t="shared" si="63"/>
        <v>0</v>
      </c>
      <c r="P220" s="9">
        <f t="shared" si="64"/>
        <v>801600</v>
      </c>
      <c r="Q220" s="9">
        <v>0</v>
      </c>
      <c r="R220" s="9">
        <v>0</v>
      </c>
      <c r="S220" s="9">
        <v>0</v>
      </c>
      <c r="T220" s="9">
        <f t="shared" si="65"/>
        <v>801600</v>
      </c>
    </row>
    <row r="221" spans="1:20" x14ac:dyDescent="0.2">
      <c r="A221" s="8" t="s">
        <v>185</v>
      </c>
      <c r="B221" s="9">
        <v>0</v>
      </c>
      <c r="C221" s="9">
        <v>0</v>
      </c>
      <c r="D221" s="9">
        <v>0</v>
      </c>
      <c r="E221" s="9">
        <v>-1.154709</v>
      </c>
      <c r="F221" s="9">
        <v>0</v>
      </c>
      <c r="G221" s="9">
        <v>0</v>
      </c>
      <c r="H221" s="9">
        <v>0</v>
      </c>
      <c r="I221" s="9">
        <v>0</v>
      </c>
      <c r="J221" s="9">
        <v>0</v>
      </c>
      <c r="K221" s="9">
        <v>0</v>
      </c>
      <c r="L221" s="9">
        <f t="shared" si="62"/>
        <v>0</v>
      </c>
      <c r="M221" s="9">
        <v>0</v>
      </c>
      <c r="N221" s="9">
        <v>0</v>
      </c>
      <c r="O221" s="9">
        <f t="shared" si="63"/>
        <v>0</v>
      </c>
      <c r="P221" s="9">
        <f t="shared" si="64"/>
        <v>-1.154709</v>
      </c>
      <c r="Q221" s="9">
        <v>0</v>
      </c>
      <c r="R221" s="9">
        <v>0</v>
      </c>
      <c r="S221" s="9">
        <v>0</v>
      </c>
      <c r="T221" s="9">
        <f t="shared" si="65"/>
        <v>-1.154709</v>
      </c>
    </row>
    <row r="222" spans="1:20" x14ac:dyDescent="0.2">
      <c r="A222" s="8" t="s">
        <v>186</v>
      </c>
      <c r="B222" s="9">
        <v>0</v>
      </c>
      <c r="C222" s="9">
        <v>0</v>
      </c>
      <c r="D222" s="9">
        <v>0</v>
      </c>
      <c r="E222" s="9">
        <v>0</v>
      </c>
      <c r="F222" s="9">
        <v>76158.930977700002</v>
      </c>
      <c r="G222" s="9">
        <v>0</v>
      </c>
      <c r="H222" s="9">
        <v>0</v>
      </c>
      <c r="I222" s="9">
        <v>0</v>
      </c>
      <c r="J222" s="9">
        <v>0</v>
      </c>
      <c r="K222" s="9">
        <v>0</v>
      </c>
      <c r="L222" s="9">
        <f t="shared" si="62"/>
        <v>76158.930977700002</v>
      </c>
      <c r="M222" s="9">
        <v>0</v>
      </c>
      <c r="N222" s="9">
        <v>0</v>
      </c>
      <c r="O222" s="9">
        <f t="shared" si="63"/>
        <v>0</v>
      </c>
      <c r="P222" s="9">
        <f t="shared" si="64"/>
        <v>76158.930977700002</v>
      </c>
      <c r="Q222" s="9">
        <v>0</v>
      </c>
      <c r="R222" s="9">
        <v>0</v>
      </c>
      <c r="S222" s="9">
        <v>0</v>
      </c>
      <c r="T222" s="9">
        <f t="shared" si="65"/>
        <v>76158.930977700002</v>
      </c>
    </row>
    <row r="223" spans="1:20" x14ac:dyDescent="0.2">
      <c r="A223" s="8" t="s">
        <v>187</v>
      </c>
      <c r="B223" s="9">
        <v>0</v>
      </c>
      <c r="C223" s="9">
        <v>0</v>
      </c>
      <c r="D223" s="9">
        <v>0</v>
      </c>
      <c r="E223" s="9">
        <v>45132.192583049997</v>
      </c>
      <c r="F223" s="9">
        <v>0</v>
      </c>
      <c r="G223" s="9">
        <v>0</v>
      </c>
      <c r="H223" s="9">
        <v>0</v>
      </c>
      <c r="I223" s="9">
        <v>0</v>
      </c>
      <c r="J223" s="9">
        <v>0</v>
      </c>
      <c r="K223" s="9">
        <v>0</v>
      </c>
      <c r="L223" s="9">
        <f t="shared" si="62"/>
        <v>0</v>
      </c>
      <c r="M223" s="9">
        <v>0</v>
      </c>
      <c r="N223" s="9">
        <v>0</v>
      </c>
      <c r="O223" s="9">
        <f t="shared" si="63"/>
        <v>0</v>
      </c>
      <c r="P223" s="9">
        <f t="shared" si="64"/>
        <v>45132.192583049997</v>
      </c>
      <c r="Q223" s="9">
        <v>0</v>
      </c>
      <c r="R223" s="9">
        <v>0</v>
      </c>
      <c r="S223" s="9">
        <v>0</v>
      </c>
      <c r="T223" s="9">
        <f t="shared" si="65"/>
        <v>45132.192583049997</v>
      </c>
    </row>
    <row r="224" spans="1:20" ht="10.5" x14ac:dyDescent="0.25">
      <c r="A224" s="10" t="s">
        <v>188</v>
      </c>
      <c r="B224" s="11">
        <f t="shared" ref="B224:T224" si="66">SUM(B216:B223)</f>
        <v>0</v>
      </c>
      <c r="C224" s="11">
        <f t="shared" si="66"/>
        <v>0</v>
      </c>
      <c r="D224" s="11">
        <f t="shared" si="66"/>
        <v>1266633.73</v>
      </c>
      <c r="E224" s="11">
        <f t="shared" si="66"/>
        <v>158590.03449693002</v>
      </c>
      <c r="F224" s="11">
        <f t="shared" si="66"/>
        <v>131575.51813049999</v>
      </c>
      <c r="G224" s="11">
        <f t="shared" si="66"/>
        <v>0</v>
      </c>
      <c r="H224" s="11">
        <f t="shared" si="66"/>
        <v>-77897.422627881606</v>
      </c>
      <c r="I224" s="11">
        <f t="shared" si="66"/>
        <v>0</v>
      </c>
      <c r="J224" s="11">
        <f t="shared" si="66"/>
        <v>0</v>
      </c>
      <c r="K224" s="11">
        <f t="shared" si="66"/>
        <v>99088.877634915887</v>
      </c>
      <c r="L224" s="11">
        <f t="shared" si="66"/>
        <v>152766.97313753428</v>
      </c>
      <c r="M224" s="11">
        <f t="shared" si="66"/>
        <v>0</v>
      </c>
      <c r="N224" s="11">
        <f t="shared" si="66"/>
        <v>0</v>
      </c>
      <c r="O224" s="11">
        <f t="shared" si="66"/>
        <v>0</v>
      </c>
      <c r="P224" s="11">
        <f t="shared" si="66"/>
        <v>1577990.7376344646</v>
      </c>
      <c r="Q224" s="11">
        <f t="shared" si="66"/>
        <v>36354.533257499999</v>
      </c>
      <c r="R224" s="11">
        <f t="shared" si="66"/>
        <v>0</v>
      </c>
      <c r="S224" s="11">
        <f t="shared" si="66"/>
        <v>-741504.99976214999</v>
      </c>
      <c r="T224" s="11">
        <f t="shared" si="66"/>
        <v>872840.27112981421</v>
      </c>
    </row>
    <row r="225" spans="1:20" ht="10.5" x14ac:dyDescent="0.25">
      <c r="A225" s="7" t="s">
        <v>189</v>
      </c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</row>
    <row r="226" spans="1:20" x14ac:dyDescent="0.2">
      <c r="A226" s="8" t="s">
        <v>189</v>
      </c>
      <c r="B226" s="9">
        <v>0</v>
      </c>
      <c r="C226" s="9">
        <v>0</v>
      </c>
      <c r="D226" s="9">
        <v>0</v>
      </c>
      <c r="E226" s="9">
        <v>0</v>
      </c>
      <c r="F226" s="9">
        <v>0</v>
      </c>
      <c r="G226" s="9">
        <v>0</v>
      </c>
      <c r="H226" s="9">
        <v>0</v>
      </c>
      <c r="I226" s="9">
        <v>0</v>
      </c>
      <c r="J226" s="9">
        <v>0</v>
      </c>
      <c r="K226" s="9">
        <v>0</v>
      </c>
      <c r="L226" s="9">
        <f>SUM(F226:K226)</f>
        <v>0</v>
      </c>
      <c r="M226" s="9">
        <v>0</v>
      </c>
      <c r="N226" s="9">
        <v>0</v>
      </c>
      <c r="O226" s="9">
        <f>SUM(M226:N226)</f>
        <v>0</v>
      </c>
      <c r="P226" s="9">
        <f>SUM(D226:E226,L226,O226)</f>
        <v>0</v>
      </c>
      <c r="Q226" s="9">
        <v>0</v>
      </c>
      <c r="R226" s="9">
        <v>0</v>
      </c>
      <c r="S226" s="9">
        <v>658.94238890999998</v>
      </c>
      <c r="T226" s="9">
        <f>SUM(B226:C226,P226:S226)</f>
        <v>658.94238890999998</v>
      </c>
    </row>
    <row r="227" spans="1:20" x14ac:dyDescent="0.2">
      <c r="A227" s="8" t="s">
        <v>190</v>
      </c>
      <c r="B227" s="9">
        <v>0</v>
      </c>
      <c r="C227" s="9">
        <v>0</v>
      </c>
      <c r="D227" s="9">
        <v>-113369.35</v>
      </c>
      <c r="E227" s="9">
        <v>119617.27526556001</v>
      </c>
      <c r="F227" s="9">
        <v>338.84100000000001</v>
      </c>
      <c r="G227" s="9">
        <v>0</v>
      </c>
      <c r="H227" s="9">
        <v>0</v>
      </c>
      <c r="I227" s="9">
        <v>0</v>
      </c>
      <c r="J227" s="9">
        <v>0</v>
      </c>
      <c r="K227" s="9">
        <v>-30349.311289917154</v>
      </c>
      <c r="L227" s="9">
        <f>SUM(F227:K227)</f>
        <v>-30010.470289917153</v>
      </c>
      <c r="M227" s="9">
        <v>0</v>
      </c>
      <c r="N227" s="9">
        <v>0</v>
      </c>
      <c r="O227" s="9">
        <f>SUM(M227:N227)</f>
        <v>0</v>
      </c>
      <c r="P227" s="9">
        <f>SUM(D227:E227,L227,O227)</f>
        <v>-23762.545024357154</v>
      </c>
      <c r="Q227" s="9">
        <v>0</v>
      </c>
      <c r="R227" s="9">
        <v>0</v>
      </c>
      <c r="S227" s="9">
        <v>0</v>
      </c>
      <c r="T227" s="9">
        <f>SUM(B227:C227,P227:S227)</f>
        <v>-23762.545024357154</v>
      </c>
    </row>
    <row r="228" spans="1:20" x14ac:dyDescent="0.2">
      <c r="A228" s="8" t="s">
        <v>191</v>
      </c>
      <c r="B228" s="9">
        <v>0</v>
      </c>
      <c r="C228" s="9">
        <v>0</v>
      </c>
      <c r="D228" s="9">
        <v>0</v>
      </c>
      <c r="E228" s="9">
        <v>0</v>
      </c>
      <c r="F228" s="9">
        <v>0</v>
      </c>
      <c r="G228" s="9">
        <v>0</v>
      </c>
      <c r="H228" s="9">
        <v>0</v>
      </c>
      <c r="I228" s="9">
        <v>0</v>
      </c>
      <c r="J228" s="9">
        <v>0</v>
      </c>
      <c r="K228" s="9">
        <v>0</v>
      </c>
      <c r="L228" s="9">
        <f>SUM(F228:K228)</f>
        <v>0</v>
      </c>
      <c r="M228" s="9">
        <v>0</v>
      </c>
      <c r="N228" s="9">
        <v>0</v>
      </c>
      <c r="O228" s="9">
        <f>SUM(M228:N228)</f>
        <v>0</v>
      </c>
      <c r="P228" s="9">
        <f>SUM(D228:E228,L228,O228)</f>
        <v>0</v>
      </c>
      <c r="Q228" s="9">
        <v>227170.0300272</v>
      </c>
      <c r="R228" s="9">
        <v>0</v>
      </c>
      <c r="S228" s="9">
        <v>0</v>
      </c>
      <c r="T228" s="9">
        <f>SUM(B228:C228,P228:S228)</f>
        <v>227170.0300272</v>
      </c>
    </row>
    <row r="229" spans="1:20" ht="10.5" x14ac:dyDescent="0.25">
      <c r="A229" s="10" t="s">
        <v>192</v>
      </c>
      <c r="B229" s="11">
        <f t="shared" ref="B229:T229" si="67">SUM(B226:B228)</f>
        <v>0</v>
      </c>
      <c r="C229" s="11">
        <f t="shared" si="67"/>
        <v>0</v>
      </c>
      <c r="D229" s="11">
        <f t="shared" si="67"/>
        <v>-113369.35</v>
      </c>
      <c r="E229" s="11">
        <f t="shared" si="67"/>
        <v>119617.27526556001</v>
      </c>
      <c r="F229" s="11">
        <f t="shared" si="67"/>
        <v>338.84100000000001</v>
      </c>
      <c r="G229" s="11">
        <f t="shared" si="67"/>
        <v>0</v>
      </c>
      <c r="H229" s="11">
        <f t="shared" si="67"/>
        <v>0</v>
      </c>
      <c r="I229" s="11">
        <f t="shared" si="67"/>
        <v>0</v>
      </c>
      <c r="J229" s="11">
        <f t="shared" si="67"/>
        <v>0</v>
      </c>
      <c r="K229" s="11">
        <f t="shared" si="67"/>
        <v>-30349.311289917154</v>
      </c>
      <c r="L229" s="11">
        <f t="shared" si="67"/>
        <v>-30010.470289917153</v>
      </c>
      <c r="M229" s="11">
        <f t="shared" si="67"/>
        <v>0</v>
      </c>
      <c r="N229" s="11">
        <f t="shared" si="67"/>
        <v>0</v>
      </c>
      <c r="O229" s="11">
        <f t="shared" si="67"/>
        <v>0</v>
      </c>
      <c r="P229" s="11">
        <f t="shared" si="67"/>
        <v>-23762.545024357154</v>
      </c>
      <c r="Q229" s="11">
        <f t="shared" si="67"/>
        <v>227170.0300272</v>
      </c>
      <c r="R229" s="11">
        <f t="shared" si="67"/>
        <v>0</v>
      </c>
      <c r="S229" s="11">
        <f t="shared" si="67"/>
        <v>658.94238890999998</v>
      </c>
      <c r="T229" s="11">
        <f t="shared" si="67"/>
        <v>204066.42739175283</v>
      </c>
    </row>
    <row r="230" spans="1:20" ht="10.5" x14ac:dyDescent="0.25">
      <c r="A230" s="12" t="s">
        <v>193</v>
      </c>
      <c r="B230" s="11">
        <f t="shared" ref="B230:T230" si="68">SUM(B224,B229)</f>
        <v>0</v>
      </c>
      <c r="C230" s="11">
        <f t="shared" si="68"/>
        <v>0</v>
      </c>
      <c r="D230" s="11">
        <f t="shared" si="68"/>
        <v>1153264.3799999999</v>
      </c>
      <c r="E230" s="11">
        <f t="shared" si="68"/>
        <v>278207.30976249004</v>
      </c>
      <c r="F230" s="11">
        <f t="shared" si="68"/>
        <v>131914.35913049997</v>
      </c>
      <c r="G230" s="11">
        <f t="shared" si="68"/>
        <v>0</v>
      </c>
      <c r="H230" s="11">
        <f t="shared" si="68"/>
        <v>-77897.422627881606</v>
      </c>
      <c r="I230" s="11">
        <f t="shared" si="68"/>
        <v>0</v>
      </c>
      <c r="J230" s="11">
        <f t="shared" si="68"/>
        <v>0</v>
      </c>
      <c r="K230" s="11">
        <f t="shared" si="68"/>
        <v>68739.566344998733</v>
      </c>
      <c r="L230" s="11">
        <f t="shared" si="68"/>
        <v>122756.50284761713</v>
      </c>
      <c r="M230" s="11">
        <f t="shared" si="68"/>
        <v>0</v>
      </c>
      <c r="N230" s="11">
        <f t="shared" si="68"/>
        <v>0</v>
      </c>
      <c r="O230" s="11">
        <f t="shared" si="68"/>
        <v>0</v>
      </c>
      <c r="P230" s="11">
        <f t="shared" si="68"/>
        <v>1554228.1926101074</v>
      </c>
      <c r="Q230" s="11">
        <f t="shared" si="68"/>
        <v>263524.56328469998</v>
      </c>
      <c r="R230" s="11">
        <f t="shared" si="68"/>
        <v>0</v>
      </c>
      <c r="S230" s="11">
        <f t="shared" si="68"/>
        <v>-740846.05737324001</v>
      </c>
      <c r="T230" s="11">
        <f t="shared" si="68"/>
        <v>1076906.698521567</v>
      </c>
    </row>
    <row r="231" spans="1:20" x14ac:dyDescent="0.2">
      <c r="A231" s="20" t="s">
        <v>194</v>
      </c>
      <c r="B231" s="9">
        <v>0</v>
      </c>
      <c r="C231" s="9">
        <v>0</v>
      </c>
      <c r="D231" s="9">
        <v>0</v>
      </c>
      <c r="E231" s="9">
        <v>0</v>
      </c>
      <c r="F231" s="9">
        <v>416.45817840000001</v>
      </c>
      <c r="G231" s="9">
        <v>0</v>
      </c>
      <c r="H231" s="9">
        <v>-747.85008039439379</v>
      </c>
      <c r="I231" s="9">
        <v>0</v>
      </c>
      <c r="J231" s="9">
        <v>0</v>
      </c>
      <c r="K231" s="9">
        <v>0</v>
      </c>
      <c r="L231" s="9">
        <f>SUM(F231:K231)</f>
        <v>-331.39190199439378</v>
      </c>
      <c r="M231" s="9">
        <v>0</v>
      </c>
      <c r="N231" s="9">
        <v>0</v>
      </c>
      <c r="O231" s="9">
        <f>SUM(M231:N231)</f>
        <v>0</v>
      </c>
      <c r="P231" s="9">
        <f>SUM(D231:E231,L231,O231)</f>
        <v>-331.39190199439378</v>
      </c>
      <c r="Q231" s="9">
        <v>0</v>
      </c>
      <c r="R231" s="9">
        <v>0</v>
      </c>
      <c r="S231" s="9">
        <v>-1.24580271</v>
      </c>
      <c r="T231" s="9">
        <f>SUM(B231:C231,P231:S231)</f>
        <v>-332.6377047043938</v>
      </c>
    </row>
    <row r="232" spans="1:20" ht="10.5" x14ac:dyDescent="0.2">
      <c r="A232" s="19" t="s">
        <v>195</v>
      </c>
      <c r="B232" s="11">
        <f t="shared" ref="B232:T232" si="69">SUM(B230:B231)</f>
        <v>0</v>
      </c>
      <c r="C232" s="11">
        <f t="shared" si="69"/>
        <v>0</v>
      </c>
      <c r="D232" s="11">
        <f t="shared" si="69"/>
        <v>1153264.3799999999</v>
      </c>
      <c r="E232" s="11">
        <f t="shared" si="69"/>
        <v>278207.30976249004</v>
      </c>
      <c r="F232" s="11">
        <f t="shared" si="69"/>
        <v>132330.81730889998</v>
      </c>
      <c r="G232" s="11">
        <f t="shared" si="69"/>
        <v>0</v>
      </c>
      <c r="H232" s="11">
        <f t="shared" si="69"/>
        <v>-78645.272708275996</v>
      </c>
      <c r="I232" s="11">
        <f t="shared" si="69"/>
        <v>0</v>
      </c>
      <c r="J232" s="11">
        <f t="shared" si="69"/>
        <v>0</v>
      </c>
      <c r="K232" s="11">
        <f t="shared" si="69"/>
        <v>68739.566344998733</v>
      </c>
      <c r="L232" s="11">
        <f t="shared" si="69"/>
        <v>122425.11094562273</v>
      </c>
      <c r="M232" s="11">
        <f t="shared" si="69"/>
        <v>0</v>
      </c>
      <c r="N232" s="11">
        <f t="shared" si="69"/>
        <v>0</v>
      </c>
      <c r="O232" s="11">
        <f t="shared" si="69"/>
        <v>0</v>
      </c>
      <c r="P232" s="11">
        <f t="shared" si="69"/>
        <v>1553896.800708113</v>
      </c>
      <c r="Q232" s="11">
        <f t="shared" si="69"/>
        <v>263524.56328469998</v>
      </c>
      <c r="R232" s="11">
        <f t="shared" si="69"/>
        <v>0</v>
      </c>
      <c r="S232" s="11">
        <f t="shared" si="69"/>
        <v>-740847.30317594996</v>
      </c>
      <c r="T232" s="11">
        <f t="shared" si="69"/>
        <v>1076574.0608168626</v>
      </c>
    </row>
    <row r="233" spans="1:20" ht="10.5" x14ac:dyDescent="0.2">
      <c r="A233" s="4" t="s">
        <v>196</v>
      </c>
      <c r="B233" s="5">
        <f t="shared" ref="B233:T233" si="70">B212-B232</f>
        <v>0</v>
      </c>
      <c r="C233" s="5">
        <f t="shared" si="70"/>
        <v>129328.10999999999</v>
      </c>
      <c r="D233" s="5">
        <f t="shared" si="70"/>
        <v>6150396</v>
      </c>
      <c r="E233" s="5">
        <f t="shared" si="70"/>
        <v>-86450.916354270041</v>
      </c>
      <c r="F233" s="5">
        <f t="shared" si="70"/>
        <v>-201809.30596170027</v>
      </c>
      <c r="G233" s="5">
        <f t="shared" si="70"/>
        <v>543076.9948461001</v>
      </c>
      <c r="H233" s="5">
        <f t="shared" si="70"/>
        <v>-537857.19588480005</v>
      </c>
      <c r="I233" s="5">
        <f t="shared" si="70"/>
        <v>-196166.93582736838</v>
      </c>
      <c r="J233" s="5">
        <f t="shared" si="70"/>
        <v>-126638.63864460001</v>
      </c>
      <c r="K233" s="5">
        <f t="shared" si="70"/>
        <v>-933082.4362737604</v>
      </c>
      <c r="L233" s="5">
        <f t="shared" si="70"/>
        <v>-1452477.5177461293</v>
      </c>
      <c r="M233" s="5">
        <f t="shared" si="70"/>
        <v>-91157.648779800002</v>
      </c>
      <c r="N233" s="5">
        <f t="shared" si="70"/>
        <v>-7617.9137196000011</v>
      </c>
      <c r="O233" s="5">
        <f t="shared" si="70"/>
        <v>-98775.562499399995</v>
      </c>
      <c r="P233" s="5">
        <f t="shared" si="70"/>
        <v>4512692.0034002019</v>
      </c>
      <c r="Q233" s="5">
        <f t="shared" si="70"/>
        <v>118242.65563139995</v>
      </c>
      <c r="R233" s="5">
        <f t="shared" si="70"/>
        <v>49375.595595960003</v>
      </c>
      <c r="S233" s="5">
        <f t="shared" si="70"/>
        <v>876763.51922024996</v>
      </c>
      <c r="T233" s="5">
        <f t="shared" si="70"/>
        <v>5686401.8838478113</v>
      </c>
    </row>
    <row r="234" spans="1:20" ht="10.5" x14ac:dyDescent="0.2">
      <c r="A234" s="4" t="s">
        <v>197</v>
      </c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</row>
    <row r="235" spans="1:20" ht="10.5" hidden="1" x14ac:dyDescent="0.2">
      <c r="A235" s="4" t="s">
        <v>197</v>
      </c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</row>
    <row r="236" spans="1:20" ht="10.5" x14ac:dyDescent="0.25">
      <c r="A236" s="6" t="s">
        <v>198</v>
      </c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</row>
    <row r="237" spans="1:20" x14ac:dyDescent="0.2">
      <c r="A237" s="16" t="s">
        <v>199</v>
      </c>
      <c r="B237" s="9">
        <v>0</v>
      </c>
      <c r="C237" s="9">
        <v>0</v>
      </c>
      <c r="D237" s="9">
        <v>1189461.68</v>
      </c>
      <c r="E237" s="9">
        <v>211132.69571743999</v>
      </c>
      <c r="F237" s="9">
        <v>121.54150197628459</v>
      </c>
      <c r="G237" s="9">
        <v>121.54150197628459</v>
      </c>
      <c r="H237" s="9">
        <v>1.2929715391304339</v>
      </c>
      <c r="I237" s="9">
        <v>45373.074999999997</v>
      </c>
      <c r="J237" s="9">
        <v>122.75691699604745</v>
      </c>
      <c r="K237" s="9">
        <v>0</v>
      </c>
      <c r="L237" s="9">
        <f t="shared" ref="L237:L242" si="71">SUM(F237:K237)</f>
        <v>45740.207892487742</v>
      </c>
      <c r="M237" s="9">
        <v>561.52173913043487</v>
      </c>
      <c r="N237" s="9">
        <v>122.75691699604745</v>
      </c>
      <c r="O237" s="9">
        <f t="shared" ref="O237:O242" si="72">SUM(M237:N237)</f>
        <v>684.27865612648236</v>
      </c>
      <c r="P237" s="9">
        <f t="shared" ref="P237:P242" si="73">SUM(D237:E237,L237,O237)</f>
        <v>1447018.8622660541</v>
      </c>
      <c r="Q237" s="9">
        <v>206.62659415019766</v>
      </c>
      <c r="R237" s="9">
        <v>0</v>
      </c>
      <c r="S237" s="9">
        <v>1229886.0435369599</v>
      </c>
      <c r="T237" s="9">
        <f t="shared" ref="T237:T242" si="74">SUM(B237:C237,P237:S237)</f>
        <v>2677111.532397164</v>
      </c>
    </row>
    <row r="238" spans="1:20" x14ac:dyDescent="0.2">
      <c r="A238" s="16" t="s">
        <v>200</v>
      </c>
      <c r="B238" s="9">
        <v>0</v>
      </c>
      <c r="C238" s="9">
        <v>0</v>
      </c>
      <c r="D238" s="9">
        <v>1661162.77</v>
      </c>
      <c r="E238" s="9">
        <v>0</v>
      </c>
      <c r="F238" s="9">
        <v>0</v>
      </c>
      <c r="G238" s="9">
        <v>0</v>
      </c>
      <c r="H238" s="9">
        <v>0</v>
      </c>
      <c r="I238" s="9">
        <v>0</v>
      </c>
      <c r="J238" s="9">
        <v>0</v>
      </c>
      <c r="K238" s="9">
        <v>0</v>
      </c>
      <c r="L238" s="9">
        <f t="shared" si="71"/>
        <v>0</v>
      </c>
      <c r="M238" s="9">
        <v>0</v>
      </c>
      <c r="N238" s="9">
        <v>0</v>
      </c>
      <c r="O238" s="9">
        <f t="shared" si="72"/>
        <v>0</v>
      </c>
      <c r="P238" s="9">
        <f t="shared" si="73"/>
        <v>1661162.77</v>
      </c>
      <c r="Q238" s="9">
        <v>0</v>
      </c>
      <c r="R238" s="9">
        <v>0</v>
      </c>
      <c r="S238" s="9">
        <v>263716.24710976001</v>
      </c>
      <c r="T238" s="9">
        <f t="shared" si="74"/>
        <v>1924879.0171097601</v>
      </c>
    </row>
    <row r="239" spans="1:20" x14ac:dyDescent="0.2">
      <c r="A239" s="16" t="s">
        <v>201</v>
      </c>
      <c r="B239" s="9">
        <v>0</v>
      </c>
      <c r="C239" s="9">
        <v>0</v>
      </c>
      <c r="D239" s="9">
        <v>5000000</v>
      </c>
      <c r="E239" s="9">
        <v>0</v>
      </c>
      <c r="F239" s="9">
        <v>0</v>
      </c>
      <c r="G239" s="9">
        <v>0</v>
      </c>
      <c r="H239" s="9">
        <v>0</v>
      </c>
      <c r="I239" s="9">
        <v>0</v>
      </c>
      <c r="J239" s="9">
        <v>0</v>
      </c>
      <c r="K239" s="9">
        <v>0</v>
      </c>
      <c r="L239" s="9">
        <f t="shared" si="71"/>
        <v>0</v>
      </c>
      <c r="M239" s="9">
        <v>405806.41304347833</v>
      </c>
      <c r="N239" s="9">
        <v>0</v>
      </c>
      <c r="O239" s="9">
        <f t="shared" si="72"/>
        <v>405806.41304347833</v>
      </c>
      <c r="P239" s="9">
        <f t="shared" si="73"/>
        <v>5405806.4130434785</v>
      </c>
      <c r="Q239" s="9">
        <v>1077139.8782608698</v>
      </c>
      <c r="R239" s="9">
        <v>0</v>
      </c>
      <c r="S239" s="9">
        <v>0</v>
      </c>
      <c r="T239" s="9">
        <f t="shared" si="74"/>
        <v>6482946.291304348</v>
      </c>
    </row>
    <row r="240" spans="1:20" x14ac:dyDescent="0.2">
      <c r="A240" s="16" t="s">
        <v>202</v>
      </c>
      <c r="B240" s="9">
        <v>0</v>
      </c>
      <c r="C240" s="9">
        <v>0</v>
      </c>
      <c r="D240" s="9">
        <v>10172.5</v>
      </c>
      <c r="E240" s="9">
        <v>0</v>
      </c>
      <c r="F240" s="9">
        <v>1530.4296732505557</v>
      </c>
      <c r="G240" s="9">
        <v>0</v>
      </c>
      <c r="H240" s="9">
        <v>0</v>
      </c>
      <c r="I240" s="9">
        <v>0</v>
      </c>
      <c r="J240" s="9">
        <v>0.17015810276679844</v>
      </c>
      <c r="K240" s="9">
        <v>2007.3692936527343</v>
      </c>
      <c r="L240" s="9">
        <f t="shared" si="71"/>
        <v>3537.9691250060569</v>
      </c>
      <c r="M240" s="9">
        <v>0</v>
      </c>
      <c r="N240" s="9">
        <v>0</v>
      </c>
      <c r="O240" s="9">
        <f t="shared" si="72"/>
        <v>0</v>
      </c>
      <c r="P240" s="9">
        <f t="shared" si="73"/>
        <v>13710.469125006057</v>
      </c>
      <c r="Q240" s="9">
        <v>0</v>
      </c>
      <c r="R240" s="9">
        <v>0</v>
      </c>
      <c r="S240" s="9">
        <v>0</v>
      </c>
      <c r="T240" s="9">
        <f t="shared" si="74"/>
        <v>13710.469125006057</v>
      </c>
    </row>
    <row r="241" spans="1:20" x14ac:dyDescent="0.2">
      <c r="A241" s="16" t="s">
        <v>203</v>
      </c>
      <c r="B241" s="9">
        <v>0</v>
      </c>
      <c r="C241" s="9">
        <v>150000</v>
      </c>
      <c r="D241" s="9">
        <v>0</v>
      </c>
      <c r="E241" s="9">
        <v>0</v>
      </c>
      <c r="F241" s="9">
        <v>0</v>
      </c>
      <c r="G241" s="9">
        <v>0</v>
      </c>
      <c r="H241" s="9">
        <v>0</v>
      </c>
      <c r="I241" s="9">
        <v>0</v>
      </c>
      <c r="J241" s="9">
        <v>0</v>
      </c>
      <c r="K241" s="9">
        <v>0</v>
      </c>
      <c r="L241" s="9">
        <f t="shared" si="71"/>
        <v>0</v>
      </c>
      <c r="M241" s="9">
        <v>0</v>
      </c>
      <c r="N241" s="9">
        <v>0</v>
      </c>
      <c r="O241" s="9">
        <f t="shared" si="72"/>
        <v>0</v>
      </c>
      <c r="P241" s="9">
        <f t="shared" si="73"/>
        <v>0</v>
      </c>
      <c r="Q241" s="9">
        <v>0</v>
      </c>
      <c r="R241" s="9">
        <v>0</v>
      </c>
      <c r="S241" s="9">
        <v>0</v>
      </c>
      <c r="T241" s="9">
        <f t="shared" si="74"/>
        <v>150000</v>
      </c>
    </row>
    <row r="242" spans="1:20" x14ac:dyDescent="0.2">
      <c r="A242" s="16" t="s">
        <v>204</v>
      </c>
      <c r="B242" s="9">
        <v>0</v>
      </c>
      <c r="C242" s="9">
        <v>80000</v>
      </c>
      <c r="D242" s="9">
        <v>0</v>
      </c>
      <c r="E242" s="9">
        <v>0</v>
      </c>
      <c r="F242" s="9">
        <v>0</v>
      </c>
      <c r="G242" s="9">
        <v>0</v>
      </c>
      <c r="H242" s="9">
        <v>0</v>
      </c>
      <c r="I242" s="9">
        <v>0</v>
      </c>
      <c r="J242" s="9">
        <v>0</v>
      </c>
      <c r="K242" s="9">
        <v>0</v>
      </c>
      <c r="L242" s="9">
        <f t="shared" si="71"/>
        <v>0</v>
      </c>
      <c r="M242" s="9">
        <v>0</v>
      </c>
      <c r="N242" s="9">
        <v>0</v>
      </c>
      <c r="O242" s="9">
        <f t="shared" si="72"/>
        <v>0</v>
      </c>
      <c r="P242" s="9">
        <f t="shared" si="73"/>
        <v>0</v>
      </c>
      <c r="Q242" s="9">
        <v>0</v>
      </c>
      <c r="R242" s="9">
        <v>0</v>
      </c>
      <c r="S242" s="9">
        <v>0</v>
      </c>
      <c r="T242" s="9">
        <f t="shared" si="74"/>
        <v>80000</v>
      </c>
    </row>
    <row r="243" spans="1:20" ht="10.5" x14ac:dyDescent="0.25">
      <c r="A243" s="12" t="s">
        <v>205</v>
      </c>
      <c r="B243" s="11">
        <f t="shared" ref="B243:T243" si="75">SUM(B237:B242)</f>
        <v>0</v>
      </c>
      <c r="C243" s="11">
        <f t="shared" si="75"/>
        <v>230000</v>
      </c>
      <c r="D243" s="11">
        <f t="shared" si="75"/>
        <v>7860796.9500000002</v>
      </c>
      <c r="E243" s="11">
        <f t="shared" si="75"/>
        <v>211132.69571743999</v>
      </c>
      <c r="F243" s="11">
        <f t="shared" si="75"/>
        <v>1651.9711752268402</v>
      </c>
      <c r="G243" s="11">
        <f t="shared" si="75"/>
        <v>121.54150197628459</v>
      </c>
      <c r="H243" s="11">
        <f t="shared" si="75"/>
        <v>1.2929715391304339</v>
      </c>
      <c r="I243" s="11">
        <f t="shared" si="75"/>
        <v>45373.074999999997</v>
      </c>
      <c r="J243" s="11">
        <f t="shared" si="75"/>
        <v>122.92707509881424</v>
      </c>
      <c r="K243" s="11">
        <f t="shared" si="75"/>
        <v>2007.3692936527343</v>
      </c>
      <c r="L243" s="11">
        <f t="shared" si="75"/>
        <v>49278.177017493799</v>
      </c>
      <c r="M243" s="11">
        <f t="shared" si="75"/>
        <v>406367.93478260876</v>
      </c>
      <c r="N243" s="11">
        <f t="shared" si="75"/>
        <v>122.75691699604745</v>
      </c>
      <c r="O243" s="11">
        <f t="shared" si="75"/>
        <v>406490.69169960479</v>
      </c>
      <c r="P243" s="11">
        <f t="shared" si="75"/>
        <v>8527698.5144345388</v>
      </c>
      <c r="Q243" s="11">
        <f t="shared" si="75"/>
        <v>1077346.50485502</v>
      </c>
      <c r="R243" s="11">
        <f t="shared" si="75"/>
        <v>0</v>
      </c>
      <c r="S243" s="11">
        <f t="shared" si="75"/>
        <v>1493602.29064672</v>
      </c>
      <c r="T243" s="11">
        <f t="shared" si="75"/>
        <v>11328647.309936278</v>
      </c>
    </row>
    <row r="244" spans="1:20" ht="10.5" hidden="1" x14ac:dyDescent="0.2">
      <c r="A244" s="19" t="s">
        <v>206</v>
      </c>
      <c r="B244" s="11">
        <f t="shared" ref="B244:T244" si="76">SUM(B243)</f>
        <v>0</v>
      </c>
      <c r="C244" s="11">
        <f t="shared" si="76"/>
        <v>230000</v>
      </c>
      <c r="D244" s="11">
        <f t="shared" si="76"/>
        <v>7860796.9500000002</v>
      </c>
      <c r="E244" s="11">
        <f t="shared" si="76"/>
        <v>211132.69571743999</v>
      </c>
      <c r="F244" s="11">
        <f t="shared" si="76"/>
        <v>1651.9711752268402</v>
      </c>
      <c r="G244" s="11">
        <f t="shared" si="76"/>
        <v>121.54150197628459</v>
      </c>
      <c r="H244" s="11">
        <f t="shared" si="76"/>
        <v>1.2929715391304339</v>
      </c>
      <c r="I244" s="11">
        <f t="shared" si="76"/>
        <v>45373.074999999997</v>
      </c>
      <c r="J244" s="11">
        <f t="shared" si="76"/>
        <v>122.92707509881424</v>
      </c>
      <c r="K244" s="11">
        <f t="shared" si="76"/>
        <v>2007.3692936527343</v>
      </c>
      <c r="L244" s="11">
        <f t="shared" si="76"/>
        <v>49278.177017493799</v>
      </c>
      <c r="M244" s="11">
        <f t="shared" si="76"/>
        <v>406367.93478260876</v>
      </c>
      <c r="N244" s="11">
        <f t="shared" si="76"/>
        <v>122.75691699604745</v>
      </c>
      <c r="O244" s="11">
        <f t="shared" si="76"/>
        <v>406490.69169960479</v>
      </c>
      <c r="P244" s="11">
        <f t="shared" si="76"/>
        <v>8527698.5144345388</v>
      </c>
      <c r="Q244" s="11">
        <f t="shared" si="76"/>
        <v>1077346.50485502</v>
      </c>
      <c r="R244" s="11">
        <f t="shared" si="76"/>
        <v>0</v>
      </c>
      <c r="S244" s="11">
        <f t="shared" si="76"/>
        <v>1493602.29064672</v>
      </c>
      <c r="T244" s="11">
        <f t="shared" si="76"/>
        <v>11328647.309936278</v>
      </c>
    </row>
    <row r="245" spans="1:20" x14ac:dyDescent="0.2">
      <c r="A245" s="20" t="s">
        <v>207</v>
      </c>
      <c r="B245" s="9">
        <v>0</v>
      </c>
      <c r="C245" s="9">
        <v>-71272.010000000009</v>
      </c>
      <c r="D245" s="9">
        <v>-1647348.3099999998</v>
      </c>
      <c r="E245" s="9">
        <v>-298051.61659128004</v>
      </c>
      <c r="F245" s="9">
        <v>-53799.590788104688</v>
      </c>
      <c r="G245" s="9">
        <v>589626.07231218601</v>
      </c>
      <c r="H245" s="9">
        <v>-476603.88714605512</v>
      </c>
      <c r="I245" s="9">
        <v>-149889.32087028879</v>
      </c>
      <c r="J245" s="9">
        <v>-56667.138334619871</v>
      </c>
      <c r="K245" s="9">
        <v>-900976.65611450677</v>
      </c>
      <c r="L245" s="9">
        <f>SUM(F245:K245)</f>
        <v>-1048310.5209413893</v>
      </c>
      <c r="M245" s="9">
        <v>-504342.57237000007</v>
      </c>
      <c r="N245" s="9">
        <v>-8170.0443052173914</v>
      </c>
      <c r="O245" s="9">
        <f>SUM(M245:N245)</f>
        <v>-512512.61667521746</v>
      </c>
      <c r="P245" s="9">
        <f>SUM(D245:E245,L245,O245)</f>
        <v>-3506223.0642078868</v>
      </c>
      <c r="Q245" s="9">
        <v>-888566.06299831951</v>
      </c>
      <c r="R245" s="9">
        <v>38127.722382407861</v>
      </c>
      <c r="S245" s="9">
        <v>-613480.52437085262</v>
      </c>
      <c r="T245" s="9">
        <f>SUM(B245:C245,P245:S245)</f>
        <v>-5041413.9391946513</v>
      </c>
    </row>
    <row r="246" spans="1:20" x14ac:dyDescent="0.2">
      <c r="A246" s="20" t="s">
        <v>208</v>
      </c>
      <c r="B246" s="9">
        <v>0</v>
      </c>
      <c r="C246" s="9">
        <v>-29399.879999999997</v>
      </c>
      <c r="D246" s="9">
        <v>-63052.639999999999</v>
      </c>
      <c r="E246" s="9">
        <v>0</v>
      </c>
      <c r="F246" s="9">
        <v>-224827.55442600008</v>
      </c>
      <c r="G246" s="9">
        <v>-4007.8678215</v>
      </c>
      <c r="H246" s="9">
        <v>-16094.832373213254</v>
      </c>
      <c r="I246" s="9">
        <v>-93872.985513192136</v>
      </c>
      <c r="J246" s="9">
        <v>-69462.404999999999</v>
      </c>
      <c r="K246" s="9">
        <v>-23633.121977128816</v>
      </c>
      <c r="L246" s="9">
        <f>SUM(F246:K246)</f>
        <v>-431898.76711103425</v>
      </c>
      <c r="M246" s="9">
        <v>0</v>
      </c>
      <c r="N246" s="9">
        <v>0</v>
      </c>
      <c r="O246" s="9">
        <f>SUM(M246:N246)</f>
        <v>0</v>
      </c>
      <c r="P246" s="9">
        <f>SUM(D246:E246,L246,O246)</f>
        <v>-494951.40711103426</v>
      </c>
      <c r="Q246" s="9">
        <v>0</v>
      </c>
      <c r="R246" s="9">
        <v>13381.607084399999</v>
      </c>
      <c r="S246" s="9">
        <v>1344.52006542</v>
      </c>
      <c r="T246" s="9">
        <f>SUM(B246:C246,P246:S246)</f>
        <v>-509625.15996121423</v>
      </c>
    </row>
    <row r="247" spans="1:20" x14ac:dyDescent="0.2">
      <c r="A247" s="20" t="s">
        <v>209</v>
      </c>
      <c r="B247" s="9">
        <v>0</v>
      </c>
      <c r="C247" s="9">
        <v>0</v>
      </c>
      <c r="D247" s="9">
        <v>0</v>
      </c>
      <c r="E247" s="9">
        <v>468.00452000000001</v>
      </c>
      <c r="F247" s="9">
        <v>75165.868077000006</v>
      </c>
      <c r="G247" s="9">
        <v>-42662.751147000003</v>
      </c>
      <c r="H247" s="9">
        <v>-45159.769336999998</v>
      </c>
      <c r="I247" s="9">
        <v>2222.295556</v>
      </c>
      <c r="J247" s="9">
        <v>-632.02238499999999</v>
      </c>
      <c r="K247" s="9">
        <v>-10480.027475999999</v>
      </c>
      <c r="L247" s="9">
        <f>SUM(F247:K247)</f>
        <v>-21546.406711999993</v>
      </c>
      <c r="M247" s="9">
        <v>6816.9888080000001</v>
      </c>
      <c r="N247" s="9">
        <v>429.37366900000001</v>
      </c>
      <c r="O247" s="9">
        <f>SUM(M247:N247)</f>
        <v>7246.3624769999997</v>
      </c>
      <c r="P247" s="9">
        <f>SUM(D247:E247,L247,O247)</f>
        <v>-13832.039714999995</v>
      </c>
      <c r="Q247" s="9">
        <v>-70537.786225000003</v>
      </c>
      <c r="R247" s="9">
        <v>-2133.7338709999999</v>
      </c>
      <c r="S247" s="9">
        <v>-4702.7671209999999</v>
      </c>
      <c r="T247" s="9">
        <f>SUM(B247:C247,P247:S247)</f>
        <v>-91206.326931999996</v>
      </c>
    </row>
    <row r="248" spans="1:20" ht="10.5" x14ac:dyDescent="0.2">
      <c r="A248" s="17" t="s">
        <v>210</v>
      </c>
      <c r="B248" s="18">
        <f t="shared" ref="B248:T248" si="77">B244+B245+B246+B247</f>
        <v>0</v>
      </c>
      <c r="C248" s="18">
        <f t="shared" si="77"/>
        <v>129328.10999999999</v>
      </c>
      <c r="D248" s="18">
        <f t="shared" si="77"/>
        <v>6150396.0000000009</v>
      </c>
      <c r="E248" s="18">
        <f t="shared" si="77"/>
        <v>-86450.916353840046</v>
      </c>
      <c r="F248" s="18">
        <f t="shared" si="77"/>
        <v>-201809.30596187792</v>
      </c>
      <c r="G248" s="18">
        <f t="shared" si="77"/>
        <v>543076.99484566227</v>
      </c>
      <c r="H248" s="18">
        <f t="shared" si="77"/>
        <v>-537857.19588472927</v>
      </c>
      <c r="I248" s="18">
        <f t="shared" si="77"/>
        <v>-196166.93582748095</v>
      </c>
      <c r="J248" s="18">
        <f t="shared" si="77"/>
        <v>-126638.63864452105</v>
      </c>
      <c r="K248" s="18">
        <f t="shared" si="77"/>
        <v>-933082.43627398286</v>
      </c>
      <c r="L248" s="18">
        <f t="shared" si="77"/>
        <v>-1452477.5177469298</v>
      </c>
      <c r="M248" s="18">
        <f t="shared" si="77"/>
        <v>-91157.648779391311</v>
      </c>
      <c r="N248" s="18">
        <f t="shared" si="77"/>
        <v>-7617.9137192213448</v>
      </c>
      <c r="O248" s="18">
        <f t="shared" si="77"/>
        <v>-98775.562498612664</v>
      </c>
      <c r="P248" s="18">
        <f t="shared" si="77"/>
        <v>4512692.0034006173</v>
      </c>
      <c r="Q248" s="18">
        <f t="shared" si="77"/>
        <v>118242.65563170046</v>
      </c>
      <c r="R248" s="18">
        <f t="shared" si="77"/>
        <v>49375.595595807863</v>
      </c>
      <c r="S248" s="18">
        <f t="shared" si="77"/>
        <v>876763.51922028733</v>
      </c>
      <c r="T248" s="18">
        <f t="shared" si="77"/>
        <v>5686401.883848412</v>
      </c>
    </row>
  </sheetData>
  <mergeCells count="21">
    <mergeCell ref="T9:T11"/>
    <mergeCell ref="E10:E11"/>
    <mergeCell ref="F10:F11"/>
    <mergeCell ref="M10:M11"/>
    <mergeCell ref="P10:P11"/>
    <mergeCell ref="B7:T7"/>
    <mergeCell ref="B8:B11"/>
    <mergeCell ref="D8:P8"/>
    <mergeCell ref="C9:C11"/>
    <mergeCell ref="D9:D11"/>
    <mergeCell ref="F9:L9"/>
    <mergeCell ref="M9:O9"/>
    <mergeCell ref="Q9:Q11"/>
    <mergeCell ref="R9:R11"/>
    <mergeCell ref="S9:S11"/>
    <mergeCell ref="A1:T1"/>
    <mergeCell ref="A2:T2"/>
    <mergeCell ref="A3:T3"/>
    <mergeCell ref="A4:T4"/>
    <mergeCell ref="A5:T5"/>
    <mergeCell ref="A6:T6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彭光宇</dc:creator>
  <cp:lastModifiedBy>彭光宇</cp:lastModifiedBy>
  <dcterms:created xsi:type="dcterms:W3CDTF">2015-06-05T18:17:20Z</dcterms:created>
  <dcterms:modified xsi:type="dcterms:W3CDTF">2022-03-29T09:53:23Z</dcterms:modified>
</cp:coreProperties>
</file>