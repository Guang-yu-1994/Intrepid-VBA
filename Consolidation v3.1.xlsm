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F:\Intrepid Spirits\Consolidation\Consolidation General\"/>
    </mc:Choice>
  </mc:AlternateContent>
  <xr:revisionPtr revIDLastSave="0" documentId="13_ncr:1_{177FD2F4-5EDE-4695-B50F-8F01E09C4F01}" xr6:coauthVersionLast="47" xr6:coauthVersionMax="47" xr10:uidLastSave="{00000000-0000-0000-0000-000000000000}"/>
  <bookViews>
    <workbookView xWindow="-110" yWindow="-110" windowWidth="19420" windowHeight="10420" activeTab="1" xr2:uid="{00000000-000D-0000-FFFF-FFFF00000000}"/>
  </bookViews>
  <sheets>
    <sheet name="Instructions" sheetId="699" r:id="rId1"/>
    <sheet name="BS" sheetId="1139" r:id="rId2"/>
    <sheet name="PL" sheetId="1142" r:id="rId3"/>
    <sheet name="Goodwill" sheetId="1145" r:id="rId4"/>
    <sheet name="InternalSales" sheetId="1144" r:id="rId5"/>
    <sheet name="COSDetail" sheetId="1140" r:id="rId6"/>
    <sheet name="SalesDetail" sheetId="1143" r:id="rId7"/>
    <sheet name="Regal Rogue" sheetId="1141" r:id="rId8"/>
    <sheet name="CompanyName" sheetId="1146" r:id="rId9"/>
  </sheets>
  <functionGroups builtInGroupCount="19"/>
  <definedNames>
    <definedName name="_xlnm._FilterDatabase" localSheetId="5" hidden="1">COSDetail!$A$1:$J$1283</definedName>
    <definedName name="_xlnm._FilterDatabase" localSheetId="7" hidden="1">'Regal Rogue'!#REF!</definedName>
    <definedName name="_xlnm._FilterDatabase" localSheetId="6" hidden="1">SalesDetail!$A$1:$J$1529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31" i="1139" l="1"/>
  <c r="L159" i="1142"/>
  <c r="M159" i="1142" s="1"/>
  <c r="P232" i="1139"/>
  <c r="Q103" i="1139"/>
  <c r="J231" i="1139"/>
  <c r="K231" i="1139" s="1"/>
  <c r="J71" i="1139"/>
  <c r="P71" i="1139"/>
  <c r="C33" i="1141"/>
  <c r="B4" i="1145"/>
  <c r="B6" i="1144"/>
  <c r="B7" i="1144" s="1"/>
  <c r="C6" i="1144"/>
  <c r="C7" i="1144" s="1"/>
  <c r="D6" i="1144"/>
  <c r="D7" i="1144" s="1"/>
  <c r="E6" i="1144"/>
  <c r="E7" i="1144" s="1"/>
  <c r="M13" i="1142"/>
  <c r="M15" i="1142"/>
  <c r="M16" i="1142"/>
  <c r="M19" i="1142"/>
  <c r="M20" i="1142"/>
  <c r="M21" i="1142"/>
  <c r="M23" i="1142"/>
  <c r="M24" i="1142"/>
  <c r="M25" i="1142"/>
  <c r="M26" i="1142"/>
  <c r="M27" i="1142"/>
  <c r="M28" i="1142"/>
  <c r="M29" i="1142"/>
  <c r="M30" i="1142"/>
  <c r="M31" i="1142"/>
  <c r="M32" i="1142"/>
  <c r="M33" i="1142"/>
  <c r="M37" i="1142"/>
  <c r="M38" i="1142"/>
  <c r="M39" i="1142"/>
  <c r="M40" i="1142"/>
  <c r="M41" i="1142"/>
  <c r="M42" i="1142"/>
  <c r="M43" i="1142"/>
  <c r="M44" i="1142"/>
  <c r="M45" i="1142"/>
  <c r="M46" i="1142"/>
  <c r="M47" i="1142"/>
  <c r="M48" i="1142"/>
  <c r="M49" i="1142"/>
  <c r="M50" i="1142"/>
  <c r="M51" i="1142"/>
  <c r="M52" i="1142"/>
  <c r="M53" i="1142"/>
  <c r="M54" i="1142"/>
  <c r="M55" i="1142"/>
  <c r="M56" i="1142"/>
  <c r="M57" i="1142"/>
  <c r="M58" i="1142"/>
  <c r="M59" i="1142"/>
  <c r="M60" i="1142"/>
  <c r="M61" i="1142"/>
  <c r="M62" i="1142"/>
  <c r="M63" i="1142"/>
  <c r="M64" i="1142"/>
  <c r="M65" i="1142"/>
  <c r="M66" i="1142"/>
  <c r="M67" i="1142"/>
  <c r="M68" i="1142"/>
  <c r="M69" i="1142"/>
  <c r="M70" i="1142"/>
  <c r="M71" i="1142"/>
  <c r="M72" i="1142"/>
  <c r="M73" i="1142"/>
  <c r="M74" i="1142"/>
  <c r="M75" i="1142"/>
  <c r="M76" i="1142"/>
  <c r="M77" i="1142"/>
  <c r="M78" i="1142"/>
  <c r="M79" i="1142"/>
  <c r="M80" i="1142"/>
  <c r="M81" i="1142"/>
  <c r="M82" i="1142"/>
  <c r="M83" i="1142"/>
  <c r="M84" i="1142"/>
  <c r="M85" i="1142"/>
  <c r="M86" i="1142"/>
  <c r="M87" i="1142"/>
  <c r="M88" i="1142"/>
  <c r="M89" i="1142"/>
  <c r="M90" i="1142"/>
  <c r="M91" i="1142"/>
  <c r="M92" i="1142"/>
  <c r="M93" i="1142"/>
  <c r="M94" i="1142"/>
  <c r="M95" i="1142"/>
  <c r="M96" i="1142"/>
  <c r="M97" i="1142"/>
  <c r="M98" i="1142"/>
  <c r="M99" i="1142"/>
  <c r="M100" i="1142"/>
  <c r="M101" i="1142"/>
  <c r="M102" i="1142"/>
  <c r="M103" i="1142"/>
  <c r="M104" i="1142"/>
  <c r="M105" i="1142"/>
  <c r="M106" i="1142"/>
  <c r="M107" i="1142"/>
  <c r="M108" i="1142"/>
  <c r="M109" i="1142"/>
  <c r="M110" i="1142"/>
  <c r="M111" i="1142"/>
  <c r="M112" i="1142"/>
  <c r="M113" i="1142"/>
  <c r="M114" i="1142"/>
  <c r="M115" i="1142"/>
  <c r="M116" i="1142"/>
  <c r="M117" i="1142"/>
  <c r="M118" i="1142"/>
  <c r="M119" i="1142"/>
  <c r="M120" i="1142"/>
  <c r="M121" i="1142"/>
  <c r="M122" i="1142"/>
  <c r="M123" i="1142"/>
  <c r="M124" i="1142"/>
  <c r="M125" i="1142"/>
  <c r="M126" i="1142"/>
  <c r="M127" i="1142"/>
  <c r="M128" i="1142"/>
  <c r="M129" i="1142"/>
  <c r="M130" i="1142"/>
  <c r="M131" i="1142"/>
  <c r="M132" i="1142"/>
  <c r="M133" i="1142"/>
  <c r="M134" i="1142"/>
  <c r="M135" i="1142"/>
  <c r="M136" i="1142"/>
  <c r="M137" i="1142"/>
  <c r="M138" i="1142"/>
  <c r="M139" i="1142"/>
  <c r="M140" i="1142"/>
  <c r="M141" i="1142"/>
  <c r="M142" i="1142"/>
  <c r="M143" i="1142"/>
  <c r="M145" i="1142"/>
  <c r="M146" i="1142"/>
  <c r="M147" i="1142"/>
  <c r="M148" i="1142"/>
  <c r="M149" i="1142"/>
  <c r="M150" i="1142"/>
  <c r="M151" i="1142"/>
  <c r="M152" i="1142"/>
  <c r="M153" i="1142"/>
  <c r="M154" i="1142"/>
  <c r="M155" i="1142"/>
  <c r="M156" i="1142"/>
  <c r="M157" i="1142"/>
  <c r="M162" i="1142"/>
  <c r="M163" i="1142"/>
  <c r="M164" i="1142"/>
  <c r="M165" i="1142"/>
  <c r="M166" i="1142"/>
  <c r="M167" i="1142"/>
  <c r="M168" i="1142"/>
  <c r="M169" i="1142"/>
  <c r="M170" i="1142"/>
  <c r="M171" i="1142"/>
  <c r="M172" i="1142"/>
  <c r="M173" i="1142"/>
  <c r="M174" i="1142"/>
  <c r="M175" i="1142"/>
  <c r="M176" i="1142"/>
  <c r="M177" i="1142"/>
  <c r="M178" i="1142"/>
  <c r="K13" i="1142"/>
  <c r="K14" i="1142"/>
  <c r="M14" i="1142" s="1"/>
  <c r="K15" i="1142"/>
  <c r="K16" i="1142"/>
  <c r="K19" i="1142"/>
  <c r="K20" i="1142"/>
  <c r="K21" i="1142"/>
  <c r="K22" i="1142"/>
  <c r="M22" i="1142" s="1"/>
  <c r="K23" i="1142"/>
  <c r="K24" i="1142"/>
  <c r="K25" i="1142"/>
  <c r="K26" i="1142"/>
  <c r="K27" i="1142"/>
  <c r="K28" i="1142"/>
  <c r="K29" i="1142"/>
  <c r="K30" i="1142"/>
  <c r="K31" i="1142"/>
  <c r="K32" i="1142"/>
  <c r="K33" i="1142"/>
  <c r="K37" i="1142"/>
  <c r="K38" i="1142"/>
  <c r="K39" i="1142"/>
  <c r="K40" i="1142"/>
  <c r="K41" i="1142"/>
  <c r="K42" i="1142"/>
  <c r="K43" i="1142"/>
  <c r="K44" i="1142"/>
  <c r="K45" i="1142"/>
  <c r="K46" i="1142"/>
  <c r="K47" i="1142"/>
  <c r="K48" i="1142"/>
  <c r="K49" i="1142"/>
  <c r="K50" i="1142"/>
  <c r="K51" i="1142"/>
  <c r="K52" i="1142"/>
  <c r="K53" i="1142"/>
  <c r="K54" i="1142"/>
  <c r="K55" i="1142"/>
  <c r="K56" i="1142"/>
  <c r="K57" i="1142"/>
  <c r="K58" i="1142"/>
  <c r="K59" i="1142"/>
  <c r="K60" i="1142"/>
  <c r="K61" i="1142"/>
  <c r="K62" i="1142"/>
  <c r="K63" i="1142"/>
  <c r="K64" i="1142"/>
  <c r="K65" i="1142"/>
  <c r="K66" i="1142"/>
  <c r="K67" i="1142"/>
  <c r="K68" i="1142"/>
  <c r="K69" i="1142"/>
  <c r="K70" i="1142"/>
  <c r="K71" i="1142"/>
  <c r="K72" i="1142"/>
  <c r="K73" i="1142"/>
  <c r="K74" i="1142"/>
  <c r="K75" i="1142"/>
  <c r="K76" i="1142"/>
  <c r="K77" i="1142"/>
  <c r="K78" i="1142"/>
  <c r="K79" i="1142"/>
  <c r="K80" i="1142"/>
  <c r="K81" i="1142"/>
  <c r="K82" i="1142"/>
  <c r="K83" i="1142"/>
  <c r="K84" i="1142"/>
  <c r="K85" i="1142"/>
  <c r="K86" i="1142"/>
  <c r="K87" i="1142"/>
  <c r="K88" i="1142"/>
  <c r="K89" i="1142"/>
  <c r="K90" i="1142"/>
  <c r="K91" i="1142"/>
  <c r="K92" i="1142"/>
  <c r="K93" i="1142"/>
  <c r="K94" i="1142"/>
  <c r="K95" i="1142"/>
  <c r="K96" i="1142"/>
  <c r="K97" i="1142"/>
  <c r="K98" i="1142"/>
  <c r="K99" i="1142"/>
  <c r="K100" i="1142"/>
  <c r="K101" i="1142"/>
  <c r="K102" i="1142"/>
  <c r="K103" i="1142"/>
  <c r="K104" i="1142"/>
  <c r="K105" i="1142"/>
  <c r="K106" i="1142"/>
  <c r="K107" i="1142"/>
  <c r="K108" i="1142"/>
  <c r="K109" i="1142"/>
  <c r="K110" i="1142"/>
  <c r="K111" i="1142"/>
  <c r="K112" i="1142"/>
  <c r="K113" i="1142"/>
  <c r="K114" i="1142"/>
  <c r="K115" i="1142"/>
  <c r="K116" i="1142"/>
  <c r="K117" i="1142"/>
  <c r="K118" i="1142"/>
  <c r="K119" i="1142"/>
  <c r="K120" i="1142"/>
  <c r="K121" i="1142"/>
  <c r="K122" i="1142"/>
  <c r="K123" i="1142"/>
  <c r="K124" i="1142"/>
  <c r="K125" i="1142"/>
  <c r="K126" i="1142"/>
  <c r="K127" i="1142"/>
  <c r="K128" i="1142"/>
  <c r="K129" i="1142"/>
  <c r="K130" i="1142"/>
  <c r="K131" i="1142"/>
  <c r="K132" i="1142"/>
  <c r="K133" i="1142"/>
  <c r="K134" i="1142"/>
  <c r="K135" i="1142"/>
  <c r="K136" i="1142"/>
  <c r="K137" i="1142"/>
  <c r="K138" i="1142"/>
  <c r="K139" i="1142"/>
  <c r="K140" i="1142"/>
  <c r="K141" i="1142"/>
  <c r="K142" i="1142"/>
  <c r="K143" i="1142"/>
  <c r="K144" i="1142"/>
  <c r="M144" i="1142" s="1"/>
  <c r="K145" i="1142"/>
  <c r="K146" i="1142"/>
  <c r="K147" i="1142"/>
  <c r="K148" i="1142"/>
  <c r="K149" i="1142"/>
  <c r="K150" i="1142"/>
  <c r="K151" i="1142"/>
  <c r="K152" i="1142"/>
  <c r="K153" i="1142"/>
  <c r="K154" i="1142"/>
  <c r="K155" i="1142"/>
  <c r="K156" i="1142"/>
  <c r="K157" i="1142"/>
  <c r="K159" i="1142"/>
  <c r="K162" i="1142"/>
  <c r="K163" i="1142"/>
  <c r="K164" i="1142"/>
  <c r="K165" i="1142"/>
  <c r="K166" i="1142"/>
  <c r="K167" i="1142"/>
  <c r="K168" i="1142"/>
  <c r="K169" i="1142"/>
  <c r="K170" i="1142"/>
  <c r="K171" i="1142"/>
  <c r="K172" i="1142"/>
  <c r="K173" i="1142"/>
  <c r="K174" i="1142"/>
  <c r="K175" i="1142"/>
  <c r="K176" i="1142"/>
  <c r="K177" i="1142"/>
  <c r="K178" i="1142"/>
  <c r="Q13" i="1139"/>
  <c r="Q14" i="1139"/>
  <c r="Q15" i="1139"/>
  <c r="Q16" i="1139"/>
  <c r="Q17" i="1139"/>
  <c r="Q18" i="1139"/>
  <c r="Q19" i="1139"/>
  <c r="Q20" i="1139"/>
  <c r="Q21" i="1139"/>
  <c r="Q22" i="1139"/>
  <c r="Q23" i="1139"/>
  <c r="Q24" i="1139"/>
  <c r="Q25" i="1139"/>
  <c r="Q26" i="1139"/>
  <c r="Q27" i="1139"/>
  <c r="Q28" i="1139"/>
  <c r="Q29" i="1139"/>
  <c r="Q30" i="1139"/>
  <c r="Q31" i="1139"/>
  <c r="Q32" i="1139"/>
  <c r="Q33" i="1139"/>
  <c r="Q34" i="1139"/>
  <c r="Q35" i="1139"/>
  <c r="Q36" i="1139"/>
  <c r="Q37" i="1139"/>
  <c r="Q38" i="1139"/>
  <c r="Q39" i="1139"/>
  <c r="Q40" i="1139"/>
  <c r="Q41" i="1139"/>
  <c r="Q42" i="1139"/>
  <c r="Q43" i="1139"/>
  <c r="Q44" i="1139"/>
  <c r="Q45" i="1139"/>
  <c r="Q46" i="1139"/>
  <c r="Q47" i="1139"/>
  <c r="Q48" i="1139"/>
  <c r="Q49" i="1139"/>
  <c r="Q50" i="1139"/>
  <c r="Q51" i="1139"/>
  <c r="Q52" i="1139"/>
  <c r="Q53" i="1139"/>
  <c r="Q54" i="1139"/>
  <c r="Q68" i="1139"/>
  <c r="Q69" i="1139"/>
  <c r="Q70" i="1139"/>
  <c r="Q72" i="1139"/>
  <c r="Q73" i="1139"/>
  <c r="Q74" i="1139"/>
  <c r="Q75" i="1139"/>
  <c r="Q77" i="1139"/>
  <c r="Q78" i="1139"/>
  <c r="Q79" i="1139"/>
  <c r="Q82" i="1139"/>
  <c r="Q83" i="1139"/>
  <c r="Q84" i="1139"/>
  <c r="Q85" i="1139"/>
  <c r="Q86" i="1139"/>
  <c r="Q87" i="1139"/>
  <c r="Q88" i="1139"/>
  <c r="Q89" i="1139"/>
  <c r="Q90" i="1139"/>
  <c r="Q91" i="1139"/>
  <c r="Q92" i="1139"/>
  <c r="Q93" i="1139"/>
  <c r="Q94" i="1139"/>
  <c r="Q95" i="1139"/>
  <c r="Q96" i="1139"/>
  <c r="Q97" i="1139"/>
  <c r="Q98" i="1139"/>
  <c r="Q99" i="1139"/>
  <c r="Q100" i="1139"/>
  <c r="Q101" i="1139"/>
  <c r="Q102" i="1139"/>
  <c r="Q104" i="1139"/>
  <c r="Q106" i="1139"/>
  <c r="Q107" i="1139"/>
  <c r="Q108" i="1139"/>
  <c r="Q109" i="1139"/>
  <c r="Q110" i="1139"/>
  <c r="Q111" i="1139"/>
  <c r="Q112" i="1139"/>
  <c r="Q113" i="1139"/>
  <c r="Q114" i="1139"/>
  <c r="Q115" i="1139"/>
  <c r="Q116" i="1139"/>
  <c r="Q120" i="1139"/>
  <c r="Q121" i="1139"/>
  <c r="Q122" i="1139"/>
  <c r="Q123" i="1139"/>
  <c r="Q124" i="1139"/>
  <c r="Q125" i="1139"/>
  <c r="Q126" i="1139"/>
  <c r="Q127" i="1139"/>
  <c r="Q128" i="1139"/>
  <c r="Q129" i="1139"/>
  <c r="Q130" i="1139"/>
  <c r="Q131" i="1139"/>
  <c r="Q132" i="1139"/>
  <c r="Q133" i="1139"/>
  <c r="Q134" i="1139"/>
  <c r="Q135" i="1139"/>
  <c r="Q136" i="1139"/>
  <c r="Q137" i="1139"/>
  <c r="Q138" i="1139"/>
  <c r="Q139" i="1139"/>
  <c r="Q140" i="1139"/>
  <c r="Q141" i="1139"/>
  <c r="Q142" i="1139"/>
  <c r="Q143" i="1139"/>
  <c r="Q144" i="1139"/>
  <c r="Q145" i="1139"/>
  <c r="Q146" i="1139"/>
  <c r="Q147" i="1139"/>
  <c r="Q148" i="1139"/>
  <c r="Q149" i="1139"/>
  <c r="Q150" i="1139"/>
  <c r="Q151" i="1139"/>
  <c r="Q152" i="1139"/>
  <c r="Q153" i="1139"/>
  <c r="Q154" i="1139"/>
  <c r="Q155" i="1139"/>
  <c r="Q156" i="1139"/>
  <c r="Q157" i="1139"/>
  <c r="Q158" i="1139"/>
  <c r="Q159" i="1139"/>
  <c r="Q160" i="1139"/>
  <c r="Q161" i="1139"/>
  <c r="Q162" i="1139"/>
  <c r="Q163" i="1139"/>
  <c r="Q164" i="1139"/>
  <c r="Q165" i="1139"/>
  <c r="Q166" i="1139"/>
  <c r="Q167" i="1139"/>
  <c r="Q168" i="1139"/>
  <c r="Q169" i="1139"/>
  <c r="Q170" i="1139"/>
  <c r="Q171" i="1139"/>
  <c r="Q172" i="1139"/>
  <c r="Q173" i="1139"/>
  <c r="Q188" i="1139"/>
  <c r="Q189" i="1139"/>
  <c r="Q190" i="1139"/>
  <c r="Q191" i="1139"/>
  <c r="Q192" i="1139"/>
  <c r="Q193" i="1139"/>
  <c r="Q194" i="1139"/>
  <c r="Q195" i="1139"/>
  <c r="Q196" i="1139"/>
  <c r="Q197" i="1139"/>
  <c r="Q198" i="1139"/>
  <c r="Q199" i="1139"/>
  <c r="Q200" i="1139"/>
  <c r="Q203" i="1139"/>
  <c r="Q204" i="1139"/>
  <c r="Q205" i="1139"/>
  <c r="Q206" i="1139"/>
  <c r="Q207" i="1139"/>
  <c r="Q208" i="1139"/>
  <c r="Q209" i="1139"/>
  <c r="Q210" i="1139"/>
  <c r="Q211" i="1139"/>
  <c r="Q212" i="1139"/>
  <c r="Q213" i="1139"/>
  <c r="Q214" i="1139"/>
  <c r="Q215" i="1139"/>
  <c r="Q216" i="1139"/>
  <c r="Q217" i="1139"/>
  <c r="Q218" i="1139"/>
  <c r="Q219" i="1139"/>
  <c r="Q220" i="1139"/>
  <c r="Q221" i="1139"/>
  <c r="Q222" i="1139"/>
  <c r="Q223" i="1139"/>
  <c r="Q224" i="1139"/>
  <c r="Q233" i="1139"/>
  <c r="O13" i="1139"/>
  <c r="O14" i="1139"/>
  <c r="O15" i="1139"/>
  <c r="O16" i="1139"/>
  <c r="O17" i="1139"/>
  <c r="O18" i="1139"/>
  <c r="O19" i="1139"/>
  <c r="O20" i="1139"/>
  <c r="O21" i="1139"/>
  <c r="O22" i="1139"/>
  <c r="O23" i="1139"/>
  <c r="O24" i="1139"/>
  <c r="O25" i="1139"/>
  <c r="O26" i="1139"/>
  <c r="O27" i="1139"/>
  <c r="O28" i="1139"/>
  <c r="O29" i="1139"/>
  <c r="O30" i="1139"/>
  <c r="O31" i="1139"/>
  <c r="O32" i="1139"/>
  <c r="O33" i="1139"/>
  <c r="O34" i="1139"/>
  <c r="O35" i="1139"/>
  <c r="O36" i="1139"/>
  <c r="O37" i="1139"/>
  <c r="O38" i="1139"/>
  <c r="O39" i="1139"/>
  <c r="O40" i="1139"/>
  <c r="O41" i="1139"/>
  <c r="O42" i="1139"/>
  <c r="O43" i="1139"/>
  <c r="O44" i="1139"/>
  <c r="O45" i="1139"/>
  <c r="O46" i="1139"/>
  <c r="O47" i="1139"/>
  <c r="O48" i="1139"/>
  <c r="O49" i="1139"/>
  <c r="O50" i="1139"/>
  <c r="O51" i="1139"/>
  <c r="O52" i="1139"/>
  <c r="O53" i="1139"/>
  <c r="O54" i="1139"/>
  <c r="O55" i="1139"/>
  <c r="O56" i="1139"/>
  <c r="O57" i="1139"/>
  <c r="O58" i="1139"/>
  <c r="O59" i="1139"/>
  <c r="O60" i="1139"/>
  <c r="O61" i="1139"/>
  <c r="O62" i="1139"/>
  <c r="O63" i="1139"/>
  <c r="O64" i="1139"/>
  <c r="O65" i="1139"/>
  <c r="O66" i="1139"/>
  <c r="Q66" i="1139" s="1"/>
  <c r="O68" i="1139"/>
  <c r="O69" i="1139"/>
  <c r="O70" i="1139"/>
  <c r="O71" i="1139"/>
  <c r="O72" i="1139"/>
  <c r="O73" i="1139"/>
  <c r="O74" i="1139"/>
  <c r="O75" i="1139"/>
  <c r="O76" i="1139"/>
  <c r="O77" i="1139"/>
  <c r="O78" i="1139"/>
  <c r="O79" i="1139"/>
  <c r="O82" i="1139"/>
  <c r="O83" i="1139"/>
  <c r="O84" i="1139"/>
  <c r="O85" i="1139"/>
  <c r="O86" i="1139"/>
  <c r="O87" i="1139"/>
  <c r="O88" i="1139"/>
  <c r="O89" i="1139"/>
  <c r="O90" i="1139"/>
  <c r="O91" i="1139"/>
  <c r="O92" i="1139"/>
  <c r="O93" i="1139"/>
  <c r="O94" i="1139"/>
  <c r="O95" i="1139"/>
  <c r="O96" i="1139"/>
  <c r="O97" i="1139"/>
  <c r="O98" i="1139"/>
  <c r="O99" i="1139"/>
  <c r="O100" i="1139"/>
  <c r="O101" i="1139"/>
  <c r="O102" i="1139"/>
  <c r="O103" i="1139"/>
  <c r="O104" i="1139"/>
  <c r="O106" i="1139"/>
  <c r="O107" i="1139"/>
  <c r="O108" i="1139"/>
  <c r="O109" i="1139"/>
  <c r="O110" i="1139"/>
  <c r="O111" i="1139"/>
  <c r="O112" i="1139"/>
  <c r="O113" i="1139"/>
  <c r="O114" i="1139"/>
  <c r="O115" i="1139"/>
  <c r="O116" i="1139"/>
  <c r="O117" i="1139"/>
  <c r="O120" i="1139"/>
  <c r="O121" i="1139"/>
  <c r="O122" i="1139"/>
  <c r="O123" i="1139"/>
  <c r="O124" i="1139"/>
  <c r="O125" i="1139"/>
  <c r="O126" i="1139"/>
  <c r="O127" i="1139"/>
  <c r="O128" i="1139"/>
  <c r="O129" i="1139"/>
  <c r="O130" i="1139"/>
  <c r="O131" i="1139"/>
  <c r="O132" i="1139"/>
  <c r="O133" i="1139"/>
  <c r="O134" i="1139"/>
  <c r="O135" i="1139"/>
  <c r="O136" i="1139"/>
  <c r="O137" i="1139"/>
  <c r="O138" i="1139"/>
  <c r="O139" i="1139"/>
  <c r="O140" i="1139"/>
  <c r="O141" i="1139"/>
  <c r="O142" i="1139"/>
  <c r="O143" i="1139"/>
  <c r="O144" i="1139"/>
  <c r="O145" i="1139"/>
  <c r="O146" i="1139"/>
  <c r="O147" i="1139"/>
  <c r="O148" i="1139"/>
  <c r="O149" i="1139"/>
  <c r="O150" i="1139"/>
  <c r="O151" i="1139"/>
  <c r="O152" i="1139"/>
  <c r="O153" i="1139"/>
  <c r="O154" i="1139"/>
  <c r="O155" i="1139"/>
  <c r="O156" i="1139"/>
  <c r="O157" i="1139"/>
  <c r="O158" i="1139"/>
  <c r="O159" i="1139"/>
  <c r="O160" i="1139"/>
  <c r="O161" i="1139"/>
  <c r="O162" i="1139"/>
  <c r="O163" i="1139"/>
  <c r="O164" i="1139"/>
  <c r="O165" i="1139"/>
  <c r="O166" i="1139"/>
  <c r="O167" i="1139"/>
  <c r="O168" i="1139"/>
  <c r="O169" i="1139"/>
  <c r="O170" i="1139"/>
  <c r="O171" i="1139"/>
  <c r="O172" i="1139"/>
  <c r="O173" i="1139"/>
  <c r="O174" i="1139"/>
  <c r="O175" i="1139"/>
  <c r="O176" i="1139"/>
  <c r="O177" i="1139"/>
  <c r="O178" i="1139"/>
  <c r="O179" i="1139"/>
  <c r="O180" i="1139"/>
  <c r="O181" i="1139"/>
  <c r="O182" i="1139"/>
  <c r="O183" i="1139"/>
  <c r="O184" i="1139"/>
  <c r="O185" i="1139"/>
  <c r="O186" i="1139"/>
  <c r="O188" i="1139"/>
  <c r="O189" i="1139"/>
  <c r="O190" i="1139"/>
  <c r="O191" i="1139"/>
  <c r="O192" i="1139"/>
  <c r="O193" i="1139"/>
  <c r="O194" i="1139"/>
  <c r="O195" i="1139"/>
  <c r="O196" i="1139"/>
  <c r="O197" i="1139"/>
  <c r="O198" i="1139"/>
  <c r="O199" i="1139"/>
  <c r="O200" i="1139"/>
  <c r="O203" i="1139"/>
  <c r="O204" i="1139"/>
  <c r="O205" i="1139"/>
  <c r="O206" i="1139"/>
  <c r="O207" i="1139"/>
  <c r="O208" i="1139"/>
  <c r="O209" i="1139"/>
  <c r="O210" i="1139"/>
  <c r="O211" i="1139"/>
  <c r="O212" i="1139"/>
  <c r="O213" i="1139"/>
  <c r="O214" i="1139"/>
  <c r="O215" i="1139"/>
  <c r="O216" i="1139"/>
  <c r="O217" i="1139"/>
  <c r="O218" i="1139"/>
  <c r="O219" i="1139"/>
  <c r="O220" i="1139"/>
  <c r="O221" i="1139"/>
  <c r="O222" i="1139"/>
  <c r="O223" i="1139"/>
  <c r="O224" i="1139"/>
  <c r="O225" i="1139"/>
  <c r="O226" i="1139"/>
  <c r="O227" i="1139"/>
  <c r="O228" i="1139"/>
  <c r="O231" i="1139"/>
  <c r="O232" i="1139"/>
  <c r="O233" i="1139"/>
  <c r="K13" i="1139"/>
  <c r="K14" i="1139"/>
  <c r="K15" i="1139"/>
  <c r="K16" i="1139"/>
  <c r="K17" i="1139"/>
  <c r="K18" i="1139"/>
  <c r="K19" i="1139"/>
  <c r="K20" i="1139"/>
  <c r="K21" i="1139"/>
  <c r="K22" i="1139"/>
  <c r="K23" i="1139"/>
  <c r="K24" i="1139"/>
  <c r="K25" i="1139"/>
  <c r="K26" i="1139"/>
  <c r="K27" i="1139"/>
  <c r="K28" i="1139"/>
  <c r="K29" i="1139"/>
  <c r="K30" i="1139"/>
  <c r="K31" i="1139"/>
  <c r="K32" i="1139"/>
  <c r="K33" i="1139"/>
  <c r="K34" i="1139"/>
  <c r="K35" i="1139"/>
  <c r="K36" i="1139"/>
  <c r="K37" i="1139"/>
  <c r="K38" i="1139"/>
  <c r="K39" i="1139"/>
  <c r="K40" i="1139"/>
  <c r="K41" i="1139"/>
  <c r="K42" i="1139"/>
  <c r="K43" i="1139"/>
  <c r="K44" i="1139"/>
  <c r="K45" i="1139"/>
  <c r="K46" i="1139"/>
  <c r="K47" i="1139"/>
  <c r="K48" i="1139"/>
  <c r="K49" i="1139"/>
  <c r="K50" i="1139"/>
  <c r="K51" i="1139"/>
  <c r="K52" i="1139"/>
  <c r="K53" i="1139"/>
  <c r="K54" i="1139"/>
  <c r="K55" i="1139"/>
  <c r="K56" i="1139"/>
  <c r="K57" i="1139"/>
  <c r="K58" i="1139"/>
  <c r="K59" i="1139"/>
  <c r="K60" i="1139"/>
  <c r="K61" i="1139"/>
  <c r="Q61" i="1139" s="1"/>
  <c r="K62" i="1139"/>
  <c r="Q62" i="1139" s="1"/>
  <c r="K63" i="1139"/>
  <c r="Q63" i="1139" s="1"/>
  <c r="K64" i="1139"/>
  <c r="Q64" i="1139" s="1"/>
  <c r="K65" i="1139"/>
  <c r="K66" i="1139"/>
  <c r="K68" i="1139"/>
  <c r="K69" i="1139"/>
  <c r="K70" i="1139"/>
  <c r="K71" i="1139"/>
  <c r="Q71" i="1139" s="1"/>
  <c r="K72" i="1139"/>
  <c r="K73" i="1139"/>
  <c r="K74" i="1139"/>
  <c r="K75" i="1139"/>
  <c r="K77" i="1139"/>
  <c r="K78" i="1139"/>
  <c r="K79" i="1139"/>
  <c r="K82" i="1139"/>
  <c r="K83" i="1139"/>
  <c r="K84" i="1139"/>
  <c r="K85" i="1139"/>
  <c r="K86" i="1139"/>
  <c r="K87" i="1139"/>
  <c r="K88" i="1139"/>
  <c r="K89" i="1139"/>
  <c r="K90" i="1139"/>
  <c r="K91" i="1139"/>
  <c r="K92" i="1139"/>
  <c r="K93" i="1139"/>
  <c r="K94" i="1139"/>
  <c r="K95" i="1139"/>
  <c r="K96" i="1139"/>
  <c r="K97" i="1139"/>
  <c r="K98" i="1139"/>
  <c r="K99" i="1139"/>
  <c r="K100" i="1139"/>
  <c r="K101" i="1139"/>
  <c r="K102" i="1139"/>
  <c r="K103" i="1139"/>
  <c r="K104" i="1139"/>
  <c r="K106" i="1139"/>
  <c r="K107" i="1139"/>
  <c r="K108" i="1139"/>
  <c r="K109" i="1139"/>
  <c r="K110" i="1139"/>
  <c r="K111" i="1139"/>
  <c r="K112" i="1139"/>
  <c r="K113" i="1139"/>
  <c r="K114" i="1139"/>
  <c r="K115" i="1139"/>
  <c r="K116" i="1139"/>
  <c r="K117" i="1139"/>
  <c r="Q117" i="1139" s="1"/>
  <c r="K120" i="1139"/>
  <c r="K121" i="1139"/>
  <c r="K122" i="1139"/>
  <c r="K123" i="1139"/>
  <c r="K124" i="1139"/>
  <c r="K125" i="1139"/>
  <c r="K126" i="1139"/>
  <c r="K127" i="1139"/>
  <c r="K128" i="1139"/>
  <c r="K129" i="1139"/>
  <c r="K130" i="1139"/>
  <c r="K131" i="1139"/>
  <c r="K132" i="1139"/>
  <c r="K133" i="1139"/>
  <c r="K134" i="1139"/>
  <c r="K135" i="1139"/>
  <c r="K136" i="1139"/>
  <c r="K137" i="1139"/>
  <c r="K138" i="1139"/>
  <c r="K139" i="1139"/>
  <c r="K140" i="1139"/>
  <c r="K141" i="1139"/>
  <c r="K142" i="1139"/>
  <c r="K143" i="1139"/>
  <c r="K144" i="1139"/>
  <c r="K145" i="1139"/>
  <c r="K146" i="1139"/>
  <c r="K147" i="1139"/>
  <c r="K148" i="1139"/>
  <c r="K149" i="1139"/>
  <c r="K150" i="1139"/>
  <c r="K151" i="1139"/>
  <c r="K152" i="1139"/>
  <c r="K153" i="1139"/>
  <c r="K154" i="1139"/>
  <c r="K155" i="1139"/>
  <c r="K156" i="1139"/>
  <c r="K157" i="1139"/>
  <c r="K158" i="1139"/>
  <c r="K159" i="1139"/>
  <c r="K160" i="1139"/>
  <c r="K161" i="1139"/>
  <c r="K162" i="1139"/>
  <c r="K163" i="1139"/>
  <c r="K164" i="1139"/>
  <c r="K165" i="1139"/>
  <c r="K166" i="1139"/>
  <c r="K167" i="1139"/>
  <c r="K168" i="1139"/>
  <c r="K169" i="1139"/>
  <c r="K170" i="1139"/>
  <c r="K171" i="1139"/>
  <c r="K172" i="1139"/>
  <c r="K173" i="1139"/>
  <c r="K174" i="1139"/>
  <c r="K175" i="1139"/>
  <c r="Q175" i="1139" s="1"/>
  <c r="K176" i="1139"/>
  <c r="Q176" i="1139" s="1"/>
  <c r="K177" i="1139"/>
  <c r="K178" i="1139"/>
  <c r="K179" i="1139"/>
  <c r="K180" i="1139"/>
  <c r="K181" i="1139"/>
  <c r="K182" i="1139"/>
  <c r="K183" i="1139"/>
  <c r="K184" i="1139"/>
  <c r="K185" i="1139"/>
  <c r="K186" i="1139"/>
  <c r="K188" i="1139"/>
  <c r="K189" i="1139"/>
  <c r="K190" i="1139"/>
  <c r="K191" i="1139"/>
  <c r="K192" i="1139"/>
  <c r="K193" i="1139"/>
  <c r="K194" i="1139"/>
  <c r="K195" i="1139"/>
  <c r="K196" i="1139"/>
  <c r="K197" i="1139"/>
  <c r="K198" i="1139"/>
  <c r="K199" i="1139"/>
  <c r="K200" i="1139"/>
  <c r="K203" i="1139"/>
  <c r="K204" i="1139"/>
  <c r="K205" i="1139"/>
  <c r="K206" i="1139"/>
  <c r="K207" i="1139"/>
  <c r="K208" i="1139"/>
  <c r="K209" i="1139"/>
  <c r="K210" i="1139"/>
  <c r="K211" i="1139"/>
  <c r="K212" i="1139"/>
  <c r="K213" i="1139"/>
  <c r="K214" i="1139"/>
  <c r="K215" i="1139"/>
  <c r="K216" i="1139"/>
  <c r="K217" i="1139"/>
  <c r="K218" i="1139"/>
  <c r="K219" i="1139"/>
  <c r="K220" i="1139"/>
  <c r="K221" i="1139"/>
  <c r="K222" i="1139"/>
  <c r="K223" i="1139"/>
  <c r="K224" i="1139"/>
  <c r="K225" i="1139"/>
  <c r="Q225" i="1139" s="1"/>
  <c r="K226" i="1139"/>
  <c r="K227" i="1139"/>
  <c r="Q227" i="1139" s="1"/>
  <c r="K228" i="1139"/>
  <c r="Q228" i="1139" s="1"/>
  <c r="K232" i="1139"/>
  <c r="Q232" i="1139" s="1"/>
  <c r="K233" i="1139"/>
  <c r="L174" i="1142"/>
  <c r="L177" i="1142" s="1"/>
  <c r="L168" i="1142"/>
  <c r="L169" i="1142" s="1"/>
  <c r="L157" i="1142"/>
  <c r="L153" i="1142"/>
  <c r="L158" i="1142" s="1"/>
  <c r="L128" i="1142"/>
  <c r="L122" i="1142"/>
  <c r="L107" i="1142"/>
  <c r="L104" i="1142"/>
  <c r="L101" i="1142"/>
  <c r="L88" i="1142"/>
  <c r="L80" i="1142"/>
  <c r="L72" i="1142"/>
  <c r="L61" i="1142"/>
  <c r="L57" i="1142"/>
  <c r="L52" i="1142"/>
  <c r="L45" i="1142"/>
  <c r="L32" i="1142"/>
  <c r="L33" i="1142" s="1"/>
  <c r="L34" i="1142" s="1"/>
  <c r="L35" i="1142" s="1"/>
  <c r="L17" i="1142"/>
  <c r="L18" i="1142" s="1"/>
  <c r="J174" i="1142"/>
  <c r="J177" i="1142" s="1"/>
  <c r="J168" i="1142"/>
  <c r="J169" i="1142" s="1"/>
  <c r="J157" i="1142"/>
  <c r="J153" i="1142"/>
  <c r="J128" i="1142"/>
  <c r="J122" i="1142"/>
  <c r="J107" i="1142"/>
  <c r="J104" i="1142"/>
  <c r="J101" i="1142"/>
  <c r="J88" i="1142"/>
  <c r="J80" i="1142"/>
  <c r="J72" i="1142"/>
  <c r="J61" i="1142"/>
  <c r="J57" i="1142"/>
  <c r="J52" i="1142"/>
  <c r="J45" i="1142"/>
  <c r="J32" i="1142"/>
  <c r="J33" i="1142" s="1"/>
  <c r="J34" i="1142" s="1"/>
  <c r="J35" i="1142" s="1"/>
  <c r="K35" i="1142" s="1"/>
  <c r="J17" i="1142"/>
  <c r="J18" i="1142" s="1"/>
  <c r="K18" i="1142" s="1"/>
  <c r="P229" i="1139"/>
  <c r="P230" i="1139" s="1"/>
  <c r="P218" i="1139"/>
  <c r="P214" i="1139"/>
  <c r="P196" i="1139"/>
  <c r="P191" i="1139"/>
  <c r="P187" i="1139"/>
  <c r="P169" i="1139"/>
  <c r="P172" i="1139" s="1"/>
  <c r="P160" i="1139"/>
  <c r="P152" i="1139"/>
  <c r="P142" i="1139"/>
  <c r="P143" i="1139" s="1"/>
  <c r="P118" i="1139"/>
  <c r="P113" i="1139"/>
  <c r="P115" i="1139" s="1"/>
  <c r="P102" i="1139"/>
  <c r="P98" i="1139"/>
  <c r="P94" i="1139"/>
  <c r="P90" i="1139"/>
  <c r="P86" i="1139"/>
  <c r="P76" i="1139"/>
  <c r="P67" i="1139"/>
  <c r="P53" i="1139"/>
  <c r="P49" i="1139"/>
  <c r="P50" i="1139" s="1"/>
  <c r="P40" i="1139"/>
  <c r="P41" i="1139" s="1"/>
  <c r="P33" i="1139"/>
  <c r="P34" i="1139" s="1"/>
  <c r="N229" i="1139"/>
  <c r="N230" i="1139" s="1"/>
  <c r="N234" i="1139" s="1"/>
  <c r="O234" i="1139" s="1"/>
  <c r="N218" i="1139"/>
  <c r="N214" i="1139"/>
  <c r="N196" i="1139"/>
  <c r="N191" i="1139"/>
  <c r="N187" i="1139"/>
  <c r="O187" i="1139" s="1"/>
  <c r="N169" i="1139"/>
  <c r="N172" i="1139" s="1"/>
  <c r="N160" i="1139"/>
  <c r="N161" i="1139" s="1"/>
  <c r="N152" i="1139"/>
  <c r="N142" i="1139"/>
  <c r="N143" i="1139" s="1"/>
  <c r="N118" i="1139"/>
  <c r="O118" i="1139" s="1"/>
  <c r="N113" i="1139"/>
  <c r="N115" i="1139" s="1"/>
  <c r="N102" i="1139"/>
  <c r="N98" i="1139"/>
  <c r="N94" i="1139"/>
  <c r="N90" i="1139"/>
  <c r="N86" i="1139"/>
  <c r="N76" i="1139"/>
  <c r="N67" i="1139"/>
  <c r="O67" i="1139" s="1"/>
  <c r="N53" i="1139"/>
  <c r="N49" i="1139"/>
  <c r="N50" i="1139" s="1"/>
  <c r="N40" i="1139"/>
  <c r="N41" i="1139" s="1"/>
  <c r="N33" i="1139"/>
  <c r="N34" i="1139" s="1"/>
  <c r="J229" i="1139"/>
  <c r="J230" i="1139" s="1"/>
  <c r="J234" i="1139" s="1"/>
  <c r="K234" i="1139" s="1"/>
  <c r="J218" i="1139"/>
  <c r="J214" i="1139"/>
  <c r="J219" i="1139" s="1"/>
  <c r="J221" i="1139" s="1"/>
  <c r="J196" i="1139"/>
  <c r="J191" i="1139"/>
  <c r="J187" i="1139"/>
  <c r="K187" i="1139" s="1"/>
  <c r="J169" i="1139"/>
  <c r="J172" i="1139" s="1"/>
  <c r="J160" i="1139"/>
  <c r="J152" i="1139"/>
  <c r="J142" i="1139"/>
  <c r="J143" i="1139" s="1"/>
  <c r="J118" i="1139"/>
  <c r="K118" i="1139" s="1"/>
  <c r="J113" i="1139"/>
  <c r="J115" i="1139" s="1"/>
  <c r="J102" i="1139"/>
  <c r="J98" i="1139"/>
  <c r="J94" i="1139"/>
  <c r="J90" i="1139"/>
  <c r="J86" i="1139"/>
  <c r="J76" i="1139"/>
  <c r="K76" i="1139" s="1"/>
  <c r="J67" i="1139"/>
  <c r="K67" i="1139" s="1"/>
  <c r="J53" i="1139"/>
  <c r="J49" i="1139"/>
  <c r="J50" i="1139" s="1"/>
  <c r="J40" i="1139"/>
  <c r="J41" i="1139" s="1"/>
  <c r="J33" i="1139"/>
  <c r="J34" i="1139" s="1"/>
  <c r="I174" i="1142"/>
  <c r="I177" i="1142" s="1"/>
  <c r="H174" i="1142"/>
  <c r="H177" i="1142" s="1"/>
  <c r="G174" i="1142"/>
  <c r="G177" i="1142" s="1"/>
  <c r="F174" i="1142"/>
  <c r="F177" i="1142" s="1"/>
  <c r="E174" i="1142"/>
  <c r="E177" i="1142" s="1"/>
  <c r="D174" i="1142"/>
  <c r="D177" i="1142" s="1"/>
  <c r="C174" i="1142"/>
  <c r="C177" i="1142" s="1"/>
  <c r="B174" i="1142"/>
  <c r="B177" i="1142" s="1"/>
  <c r="I168" i="1142"/>
  <c r="I169" i="1142" s="1"/>
  <c r="H168" i="1142"/>
  <c r="H169" i="1142" s="1"/>
  <c r="G168" i="1142"/>
  <c r="G169" i="1142" s="1"/>
  <c r="F168" i="1142"/>
  <c r="F169" i="1142" s="1"/>
  <c r="E168" i="1142"/>
  <c r="E169" i="1142" s="1"/>
  <c r="D168" i="1142"/>
  <c r="D169" i="1142" s="1"/>
  <c r="C168" i="1142"/>
  <c r="C169" i="1142" s="1"/>
  <c r="B168" i="1142"/>
  <c r="B169" i="1142" s="1"/>
  <c r="I157" i="1142"/>
  <c r="H157" i="1142"/>
  <c r="G157" i="1142"/>
  <c r="F157" i="1142"/>
  <c r="E157" i="1142"/>
  <c r="D157" i="1142"/>
  <c r="C157" i="1142"/>
  <c r="B157" i="1142"/>
  <c r="I153" i="1142"/>
  <c r="H153" i="1142"/>
  <c r="G153" i="1142"/>
  <c r="F153" i="1142"/>
  <c r="E153" i="1142"/>
  <c r="D153" i="1142"/>
  <c r="C153" i="1142"/>
  <c r="B153" i="1142"/>
  <c r="B158" i="1142" s="1"/>
  <c r="I128" i="1142"/>
  <c r="H128" i="1142"/>
  <c r="G128" i="1142"/>
  <c r="F128" i="1142"/>
  <c r="E128" i="1142"/>
  <c r="D128" i="1142"/>
  <c r="C128" i="1142"/>
  <c r="B128" i="1142"/>
  <c r="I122" i="1142"/>
  <c r="H122" i="1142"/>
  <c r="G122" i="1142"/>
  <c r="F122" i="1142"/>
  <c r="E122" i="1142"/>
  <c r="D122" i="1142"/>
  <c r="C122" i="1142"/>
  <c r="B122" i="1142"/>
  <c r="I107" i="1142"/>
  <c r="H107" i="1142"/>
  <c r="G107" i="1142"/>
  <c r="F107" i="1142"/>
  <c r="E107" i="1142"/>
  <c r="D107" i="1142"/>
  <c r="C107" i="1142"/>
  <c r="B107" i="1142"/>
  <c r="I104" i="1142"/>
  <c r="H104" i="1142"/>
  <c r="G104" i="1142"/>
  <c r="F104" i="1142"/>
  <c r="E104" i="1142"/>
  <c r="D104" i="1142"/>
  <c r="C104" i="1142"/>
  <c r="B104" i="1142"/>
  <c r="I101" i="1142"/>
  <c r="H101" i="1142"/>
  <c r="G101" i="1142"/>
  <c r="F101" i="1142"/>
  <c r="E101" i="1142"/>
  <c r="D101" i="1142"/>
  <c r="C101" i="1142"/>
  <c r="B101" i="1142"/>
  <c r="I88" i="1142"/>
  <c r="H88" i="1142"/>
  <c r="G88" i="1142"/>
  <c r="F88" i="1142"/>
  <c r="E88" i="1142"/>
  <c r="D88" i="1142"/>
  <c r="C88" i="1142"/>
  <c r="B88" i="1142"/>
  <c r="I80" i="1142"/>
  <c r="H80" i="1142"/>
  <c r="G80" i="1142"/>
  <c r="F80" i="1142"/>
  <c r="E80" i="1142"/>
  <c r="D80" i="1142"/>
  <c r="C80" i="1142"/>
  <c r="B80" i="1142"/>
  <c r="I72" i="1142"/>
  <c r="H72" i="1142"/>
  <c r="G72" i="1142"/>
  <c r="F72" i="1142"/>
  <c r="E72" i="1142"/>
  <c r="D72" i="1142"/>
  <c r="C72" i="1142"/>
  <c r="B72" i="1142"/>
  <c r="I61" i="1142"/>
  <c r="H61" i="1142"/>
  <c r="G61" i="1142"/>
  <c r="F61" i="1142"/>
  <c r="E61" i="1142"/>
  <c r="D61" i="1142"/>
  <c r="C61" i="1142"/>
  <c r="B61" i="1142"/>
  <c r="I57" i="1142"/>
  <c r="H57" i="1142"/>
  <c r="G57" i="1142"/>
  <c r="F57" i="1142"/>
  <c r="E57" i="1142"/>
  <c r="D57" i="1142"/>
  <c r="C57" i="1142"/>
  <c r="B57" i="1142"/>
  <c r="I52" i="1142"/>
  <c r="H52" i="1142"/>
  <c r="G52" i="1142"/>
  <c r="F52" i="1142"/>
  <c r="E52" i="1142"/>
  <c r="D52" i="1142"/>
  <c r="C52" i="1142"/>
  <c r="B52" i="1142"/>
  <c r="I45" i="1142"/>
  <c r="H45" i="1142"/>
  <c r="G45" i="1142"/>
  <c r="F45" i="1142"/>
  <c r="E45" i="1142"/>
  <c r="D45" i="1142"/>
  <c r="C45" i="1142"/>
  <c r="B45" i="1142"/>
  <c r="I32" i="1142"/>
  <c r="I33" i="1142" s="1"/>
  <c r="I34" i="1142" s="1"/>
  <c r="H32" i="1142"/>
  <c r="H33" i="1142" s="1"/>
  <c r="H34" i="1142" s="1"/>
  <c r="G32" i="1142"/>
  <c r="G33" i="1142" s="1"/>
  <c r="G34" i="1142" s="1"/>
  <c r="F32" i="1142"/>
  <c r="F33" i="1142" s="1"/>
  <c r="F34" i="1142" s="1"/>
  <c r="E32" i="1142"/>
  <c r="E33" i="1142" s="1"/>
  <c r="E34" i="1142" s="1"/>
  <c r="D32" i="1142"/>
  <c r="D33" i="1142" s="1"/>
  <c r="C32" i="1142"/>
  <c r="C33" i="1142" s="1"/>
  <c r="B32" i="1142"/>
  <c r="B33" i="1142" s="1"/>
  <c r="I17" i="1142"/>
  <c r="I18" i="1142" s="1"/>
  <c r="H17" i="1142"/>
  <c r="H18" i="1142" s="1"/>
  <c r="G17" i="1142"/>
  <c r="G18" i="1142" s="1"/>
  <c r="F17" i="1142"/>
  <c r="F18" i="1142" s="1"/>
  <c r="E17" i="1142"/>
  <c r="E18" i="1142" s="1"/>
  <c r="D17" i="1142"/>
  <c r="D18" i="1142" s="1"/>
  <c r="C17" i="1142"/>
  <c r="C18" i="1142" s="1"/>
  <c r="B17" i="1142"/>
  <c r="B18" i="1142" s="1"/>
  <c r="M229" i="1139"/>
  <c r="M230" i="1139" s="1"/>
  <c r="M234" i="1139" s="1"/>
  <c r="L229" i="1139"/>
  <c r="L230" i="1139" s="1"/>
  <c r="L234" i="1139" s="1"/>
  <c r="I229" i="1139"/>
  <c r="I230" i="1139" s="1"/>
  <c r="I234" i="1139" s="1"/>
  <c r="H229" i="1139"/>
  <c r="H230" i="1139" s="1"/>
  <c r="H234" i="1139" s="1"/>
  <c r="G229" i="1139"/>
  <c r="G230" i="1139" s="1"/>
  <c r="G234" i="1139" s="1"/>
  <c r="F229" i="1139"/>
  <c r="F230" i="1139" s="1"/>
  <c r="F234" i="1139" s="1"/>
  <c r="E229" i="1139"/>
  <c r="E230" i="1139" s="1"/>
  <c r="E234" i="1139" s="1"/>
  <c r="D229" i="1139"/>
  <c r="D230" i="1139" s="1"/>
  <c r="D234" i="1139" s="1"/>
  <c r="C229" i="1139"/>
  <c r="C230" i="1139" s="1"/>
  <c r="C234" i="1139" s="1"/>
  <c r="B229" i="1139"/>
  <c r="B230" i="1139" s="1"/>
  <c r="B234" i="1139" s="1"/>
  <c r="M218" i="1139"/>
  <c r="L218" i="1139"/>
  <c r="I218" i="1139"/>
  <c r="H218" i="1139"/>
  <c r="G218" i="1139"/>
  <c r="F218" i="1139"/>
  <c r="E218" i="1139"/>
  <c r="D218" i="1139"/>
  <c r="C218" i="1139"/>
  <c r="B218" i="1139"/>
  <c r="M214" i="1139"/>
  <c r="L214" i="1139"/>
  <c r="I214" i="1139"/>
  <c r="H214" i="1139"/>
  <c r="G214" i="1139"/>
  <c r="F214" i="1139"/>
  <c r="F219" i="1139" s="1"/>
  <c r="F221" i="1139" s="1"/>
  <c r="E214" i="1139"/>
  <c r="D214" i="1139"/>
  <c r="C214" i="1139"/>
  <c r="B214" i="1139"/>
  <c r="M196" i="1139"/>
  <c r="L196" i="1139"/>
  <c r="I196" i="1139"/>
  <c r="H196" i="1139"/>
  <c r="G196" i="1139"/>
  <c r="F196" i="1139"/>
  <c r="E196" i="1139"/>
  <c r="D196" i="1139"/>
  <c r="C196" i="1139"/>
  <c r="B196" i="1139"/>
  <c r="M191" i="1139"/>
  <c r="L191" i="1139"/>
  <c r="I191" i="1139"/>
  <c r="H191" i="1139"/>
  <c r="G191" i="1139"/>
  <c r="F191" i="1139"/>
  <c r="E191" i="1139"/>
  <c r="D191" i="1139"/>
  <c r="C191" i="1139"/>
  <c r="B191" i="1139"/>
  <c r="M187" i="1139"/>
  <c r="L187" i="1139"/>
  <c r="I187" i="1139"/>
  <c r="H187" i="1139"/>
  <c r="G187" i="1139"/>
  <c r="F187" i="1139"/>
  <c r="E187" i="1139"/>
  <c r="D187" i="1139"/>
  <c r="C187" i="1139"/>
  <c r="B187" i="1139"/>
  <c r="M169" i="1139"/>
  <c r="M172" i="1139" s="1"/>
  <c r="L169" i="1139"/>
  <c r="L172" i="1139" s="1"/>
  <c r="I169" i="1139"/>
  <c r="I172" i="1139" s="1"/>
  <c r="H169" i="1139"/>
  <c r="H172" i="1139" s="1"/>
  <c r="G169" i="1139"/>
  <c r="G172" i="1139" s="1"/>
  <c r="F169" i="1139"/>
  <c r="F172" i="1139" s="1"/>
  <c r="E169" i="1139"/>
  <c r="E172" i="1139" s="1"/>
  <c r="D169" i="1139"/>
  <c r="D172" i="1139" s="1"/>
  <c r="C169" i="1139"/>
  <c r="C172" i="1139" s="1"/>
  <c r="B169" i="1139"/>
  <c r="B172" i="1139" s="1"/>
  <c r="M160" i="1139"/>
  <c r="L160" i="1139"/>
  <c r="I160" i="1139"/>
  <c r="H160" i="1139"/>
  <c r="G160" i="1139"/>
  <c r="F160" i="1139"/>
  <c r="E160" i="1139"/>
  <c r="D160" i="1139"/>
  <c r="C160" i="1139"/>
  <c r="B160" i="1139"/>
  <c r="M152" i="1139"/>
  <c r="L152" i="1139"/>
  <c r="I152" i="1139"/>
  <c r="H152" i="1139"/>
  <c r="H161" i="1139" s="1"/>
  <c r="G152" i="1139"/>
  <c r="F152" i="1139"/>
  <c r="E152" i="1139"/>
  <c r="D152" i="1139"/>
  <c r="C152" i="1139"/>
  <c r="B152" i="1139"/>
  <c r="M142" i="1139"/>
  <c r="M143" i="1139" s="1"/>
  <c r="L142" i="1139"/>
  <c r="L143" i="1139" s="1"/>
  <c r="I142" i="1139"/>
  <c r="I143" i="1139" s="1"/>
  <c r="H142" i="1139"/>
  <c r="H143" i="1139" s="1"/>
  <c r="G142" i="1139"/>
  <c r="G143" i="1139" s="1"/>
  <c r="F142" i="1139"/>
  <c r="F143" i="1139" s="1"/>
  <c r="E142" i="1139"/>
  <c r="E143" i="1139" s="1"/>
  <c r="D142" i="1139"/>
  <c r="D143" i="1139" s="1"/>
  <c r="C142" i="1139"/>
  <c r="C143" i="1139" s="1"/>
  <c r="B142" i="1139"/>
  <c r="B143" i="1139" s="1"/>
  <c r="M118" i="1139"/>
  <c r="L118" i="1139"/>
  <c r="I118" i="1139"/>
  <c r="H118" i="1139"/>
  <c r="G118" i="1139"/>
  <c r="F118" i="1139"/>
  <c r="E118" i="1139"/>
  <c r="D118" i="1139"/>
  <c r="C118" i="1139"/>
  <c r="B118" i="1139"/>
  <c r="M113" i="1139"/>
  <c r="M115" i="1139" s="1"/>
  <c r="L113" i="1139"/>
  <c r="L115" i="1139" s="1"/>
  <c r="I113" i="1139"/>
  <c r="I115" i="1139" s="1"/>
  <c r="H113" i="1139"/>
  <c r="H115" i="1139" s="1"/>
  <c r="G113" i="1139"/>
  <c r="G115" i="1139" s="1"/>
  <c r="F113" i="1139"/>
  <c r="F115" i="1139" s="1"/>
  <c r="F119" i="1139" s="1"/>
  <c r="E113" i="1139"/>
  <c r="E115" i="1139" s="1"/>
  <c r="D113" i="1139"/>
  <c r="D115" i="1139" s="1"/>
  <c r="C113" i="1139"/>
  <c r="C115" i="1139" s="1"/>
  <c r="B113" i="1139"/>
  <c r="B115" i="1139" s="1"/>
  <c r="M102" i="1139"/>
  <c r="L102" i="1139"/>
  <c r="I102" i="1139"/>
  <c r="H102" i="1139"/>
  <c r="G102" i="1139"/>
  <c r="F102" i="1139"/>
  <c r="E102" i="1139"/>
  <c r="D102" i="1139"/>
  <c r="C102" i="1139"/>
  <c r="B102" i="1139"/>
  <c r="M98" i="1139"/>
  <c r="L98" i="1139"/>
  <c r="I98" i="1139"/>
  <c r="H98" i="1139"/>
  <c r="G98" i="1139"/>
  <c r="F98" i="1139"/>
  <c r="E98" i="1139"/>
  <c r="D98" i="1139"/>
  <c r="C98" i="1139"/>
  <c r="B98" i="1139"/>
  <c r="M94" i="1139"/>
  <c r="L94" i="1139"/>
  <c r="I94" i="1139"/>
  <c r="H94" i="1139"/>
  <c r="G94" i="1139"/>
  <c r="F94" i="1139"/>
  <c r="E94" i="1139"/>
  <c r="D94" i="1139"/>
  <c r="C94" i="1139"/>
  <c r="B94" i="1139"/>
  <c r="M90" i="1139"/>
  <c r="L90" i="1139"/>
  <c r="I90" i="1139"/>
  <c r="H90" i="1139"/>
  <c r="G90" i="1139"/>
  <c r="F90" i="1139"/>
  <c r="E90" i="1139"/>
  <c r="D90" i="1139"/>
  <c r="C90" i="1139"/>
  <c r="B90" i="1139"/>
  <c r="M86" i="1139"/>
  <c r="L86" i="1139"/>
  <c r="I86" i="1139"/>
  <c r="H86" i="1139"/>
  <c r="G86" i="1139"/>
  <c r="F86" i="1139"/>
  <c r="E86" i="1139"/>
  <c r="D86" i="1139"/>
  <c r="C86" i="1139"/>
  <c r="B86" i="1139"/>
  <c r="M76" i="1139"/>
  <c r="L76" i="1139"/>
  <c r="I76" i="1139"/>
  <c r="H76" i="1139"/>
  <c r="G76" i="1139"/>
  <c r="F76" i="1139"/>
  <c r="E76" i="1139"/>
  <c r="D76" i="1139"/>
  <c r="C76" i="1139"/>
  <c r="B76" i="1139"/>
  <c r="M67" i="1139"/>
  <c r="L67" i="1139"/>
  <c r="I67" i="1139"/>
  <c r="H67" i="1139"/>
  <c r="G67" i="1139"/>
  <c r="F67" i="1139"/>
  <c r="E67" i="1139"/>
  <c r="D67" i="1139"/>
  <c r="C67" i="1139"/>
  <c r="B67" i="1139"/>
  <c r="M53" i="1139"/>
  <c r="L53" i="1139"/>
  <c r="I53" i="1139"/>
  <c r="H53" i="1139"/>
  <c r="G53" i="1139"/>
  <c r="F53" i="1139"/>
  <c r="E53" i="1139"/>
  <c r="D53" i="1139"/>
  <c r="C53" i="1139"/>
  <c r="B53" i="1139"/>
  <c r="M49" i="1139"/>
  <c r="M50" i="1139" s="1"/>
  <c r="L49" i="1139"/>
  <c r="L50" i="1139" s="1"/>
  <c r="I49" i="1139"/>
  <c r="I50" i="1139" s="1"/>
  <c r="H49" i="1139"/>
  <c r="H50" i="1139" s="1"/>
  <c r="G49" i="1139"/>
  <c r="G50" i="1139" s="1"/>
  <c r="F49" i="1139"/>
  <c r="F50" i="1139" s="1"/>
  <c r="E49" i="1139"/>
  <c r="E50" i="1139" s="1"/>
  <c r="D49" i="1139"/>
  <c r="D50" i="1139" s="1"/>
  <c r="C49" i="1139"/>
  <c r="C50" i="1139" s="1"/>
  <c r="B49" i="1139"/>
  <c r="B50" i="1139" s="1"/>
  <c r="M40" i="1139"/>
  <c r="M41" i="1139" s="1"/>
  <c r="L40" i="1139"/>
  <c r="L41" i="1139" s="1"/>
  <c r="I40" i="1139"/>
  <c r="I41" i="1139" s="1"/>
  <c r="H40" i="1139"/>
  <c r="H41" i="1139" s="1"/>
  <c r="G40" i="1139"/>
  <c r="G41" i="1139" s="1"/>
  <c r="F40" i="1139"/>
  <c r="F41" i="1139" s="1"/>
  <c r="E40" i="1139"/>
  <c r="E41" i="1139" s="1"/>
  <c r="D40" i="1139"/>
  <c r="D41" i="1139" s="1"/>
  <c r="C40" i="1139"/>
  <c r="C41" i="1139" s="1"/>
  <c r="B40" i="1139"/>
  <c r="B41" i="1139" s="1"/>
  <c r="M33" i="1139"/>
  <c r="M34" i="1139" s="1"/>
  <c r="L33" i="1139"/>
  <c r="L34" i="1139" s="1"/>
  <c r="I33" i="1139"/>
  <c r="I34" i="1139" s="1"/>
  <c r="H33" i="1139"/>
  <c r="H34" i="1139" s="1"/>
  <c r="G33" i="1139"/>
  <c r="G34" i="1139" s="1"/>
  <c r="F33" i="1139"/>
  <c r="F34" i="1139" s="1"/>
  <c r="E33" i="1139"/>
  <c r="E34" i="1139" s="1"/>
  <c r="D33" i="1139"/>
  <c r="D34" i="1139" s="1"/>
  <c r="C33" i="1139"/>
  <c r="C34" i="1139" s="1"/>
  <c r="B33" i="1139"/>
  <c r="B34" i="1139" s="1"/>
  <c r="Q231" i="1139" l="1"/>
  <c r="P234" i="1139"/>
  <c r="Q76" i="1139"/>
  <c r="Q226" i="1139"/>
  <c r="O230" i="1139"/>
  <c r="O229" i="1139"/>
  <c r="K230" i="1139"/>
  <c r="K229" i="1139"/>
  <c r="Q186" i="1139"/>
  <c r="Q185" i="1139"/>
  <c r="Q184" i="1139"/>
  <c r="Q183" i="1139"/>
  <c r="Q182" i="1139"/>
  <c r="Q181" i="1139"/>
  <c r="Q180" i="1139"/>
  <c r="Q179" i="1139"/>
  <c r="Q178" i="1139"/>
  <c r="Q177" i="1139"/>
  <c r="Q174" i="1139"/>
  <c r="N201" i="1139"/>
  <c r="O201" i="1139" s="1"/>
  <c r="Q187" i="1139"/>
  <c r="N119" i="1139"/>
  <c r="O119" i="1139" s="1"/>
  <c r="Q118" i="1139"/>
  <c r="P119" i="1139"/>
  <c r="Q65" i="1139"/>
  <c r="Q60" i="1139"/>
  <c r="Q59" i="1139"/>
  <c r="Q58" i="1139"/>
  <c r="Q57" i="1139"/>
  <c r="Q56" i="1139"/>
  <c r="Q55" i="1139"/>
  <c r="Q67" i="1139"/>
  <c r="Q234" i="1139"/>
  <c r="K34" i="1142"/>
  <c r="M34" i="1142" s="1"/>
  <c r="M35" i="1142"/>
  <c r="M18" i="1142"/>
  <c r="K17" i="1142"/>
  <c r="M17" i="1142" s="1"/>
  <c r="L178" i="1142"/>
  <c r="L129" i="1142"/>
  <c r="L160" i="1142" s="1"/>
  <c r="L36" i="1142"/>
  <c r="M36" i="1142" s="1"/>
  <c r="J178" i="1142"/>
  <c r="J158" i="1142"/>
  <c r="K158" i="1142" s="1"/>
  <c r="M158" i="1142" s="1"/>
  <c r="J129" i="1142"/>
  <c r="J36" i="1142"/>
  <c r="K36" i="1142" s="1"/>
  <c r="J160" i="1142"/>
  <c r="K160" i="1142" s="1"/>
  <c r="D178" i="1142"/>
  <c r="I158" i="1142"/>
  <c r="C158" i="1142"/>
  <c r="D158" i="1142"/>
  <c r="G104" i="1139"/>
  <c r="N80" i="1139"/>
  <c r="O80" i="1139" s="1"/>
  <c r="P80" i="1139"/>
  <c r="H104" i="1139"/>
  <c r="C161" i="1139"/>
  <c r="M161" i="1139"/>
  <c r="I219" i="1139"/>
  <c r="I221" i="1139" s="1"/>
  <c r="E219" i="1139"/>
  <c r="E221" i="1139" s="1"/>
  <c r="N219" i="1139"/>
  <c r="N221" i="1139" s="1"/>
  <c r="J161" i="1139"/>
  <c r="J201" i="1139" s="1"/>
  <c r="K201" i="1139" s="1"/>
  <c r="P161" i="1139"/>
  <c r="P219" i="1139"/>
  <c r="P221" i="1139" s="1"/>
  <c r="P201" i="1139"/>
  <c r="P104" i="1139"/>
  <c r="N104" i="1139"/>
  <c r="J119" i="1139"/>
  <c r="K119" i="1139" s="1"/>
  <c r="J104" i="1139"/>
  <c r="J80" i="1139"/>
  <c r="H119" i="1139"/>
  <c r="G161" i="1139"/>
  <c r="G201" i="1139" s="1"/>
  <c r="G202" i="1139" s="1"/>
  <c r="B104" i="1139"/>
  <c r="I104" i="1139"/>
  <c r="F80" i="1139"/>
  <c r="F81" i="1139" s="1"/>
  <c r="L104" i="1139"/>
  <c r="C104" i="1139"/>
  <c r="M104" i="1139"/>
  <c r="I161" i="1139"/>
  <c r="I201" i="1139" s="1"/>
  <c r="D104" i="1139"/>
  <c r="B161" i="1139"/>
  <c r="B201" i="1139" s="1"/>
  <c r="L161" i="1139"/>
  <c r="E104" i="1139"/>
  <c r="F104" i="1139"/>
  <c r="B80" i="1139"/>
  <c r="B81" i="1139" s="1"/>
  <c r="B105" i="1139" s="1"/>
  <c r="L80" i="1139"/>
  <c r="E119" i="1139"/>
  <c r="C80" i="1139"/>
  <c r="C81" i="1139" s="1"/>
  <c r="M80" i="1139"/>
  <c r="D80" i="1139"/>
  <c r="D81" i="1139" s="1"/>
  <c r="G119" i="1139"/>
  <c r="H219" i="1139"/>
  <c r="H221" i="1139" s="1"/>
  <c r="I119" i="1139"/>
  <c r="B219" i="1139"/>
  <c r="B221" i="1139" s="1"/>
  <c r="I35" i="1142"/>
  <c r="I36" i="1142" s="1"/>
  <c r="H35" i="1142"/>
  <c r="H36" i="1142" s="1"/>
  <c r="D34" i="1142"/>
  <c r="D35" i="1142" s="1"/>
  <c r="D36" i="1142" s="1"/>
  <c r="E35" i="1142"/>
  <c r="C34" i="1142"/>
  <c r="C35" i="1142" s="1"/>
  <c r="C36" i="1142" s="1"/>
  <c r="C161" i="1142" s="1"/>
  <c r="B34" i="1142"/>
  <c r="B35" i="1142" s="1"/>
  <c r="B36" i="1142" s="1"/>
  <c r="L81" i="1139"/>
  <c r="C201" i="1139"/>
  <c r="M201" i="1139"/>
  <c r="L219" i="1139"/>
  <c r="L221" i="1139" s="1"/>
  <c r="M81" i="1139"/>
  <c r="E80" i="1139"/>
  <c r="E81" i="1139" s="1"/>
  <c r="B119" i="1139"/>
  <c r="L119" i="1139"/>
  <c r="D161" i="1139"/>
  <c r="D201" i="1139" s="1"/>
  <c r="C219" i="1139"/>
  <c r="C221" i="1139" s="1"/>
  <c r="M219" i="1139"/>
  <c r="M221" i="1139" s="1"/>
  <c r="C119" i="1139"/>
  <c r="M119" i="1139"/>
  <c r="E161" i="1139"/>
  <c r="E201" i="1139" s="1"/>
  <c r="G80" i="1139"/>
  <c r="G81" i="1139" s="1"/>
  <c r="G105" i="1139" s="1"/>
  <c r="D119" i="1139"/>
  <c r="F161" i="1139"/>
  <c r="F201" i="1139" s="1"/>
  <c r="F202" i="1139" s="1"/>
  <c r="F235" i="1139" s="1"/>
  <c r="H80" i="1139"/>
  <c r="H81" i="1139" s="1"/>
  <c r="H105" i="1139" s="1"/>
  <c r="I80" i="1139"/>
  <c r="I81" i="1139" s="1"/>
  <c r="G219" i="1139"/>
  <c r="G221" i="1139" s="1"/>
  <c r="G35" i="1142"/>
  <c r="G36" i="1142" s="1"/>
  <c r="F35" i="1142"/>
  <c r="F36" i="1142" s="1"/>
  <c r="G158" i="1142"/>
  <c r="H158" i="1142"/>
  <c r="E36" i="1142"/>
  <c r="E178" i="1142"/>
  <c r="F158" i="1142"/>
  <c r="B129" i="1142"/>
  <c r="B160" i="1142" s="1"/>
  <c r="D129" i="1142"/>
  <c r="I129" i="1142"/>
  <c r="I160" i="1142" s="1"/>
  <c r="H129" i="1142"/>
  <c r="C129" i="1142"/>
  <c r="C160" i="1142" s="1"/>
  <c r="E129" i="1142"/>
  <c r="I178" i="1142"/>
  <c r="G178" i="1142"/>
  <c r="F129" i="1142"/>
  <c r="G129" i="1142"/>
  <c r="G160" i="1142" s="1"/>
  <c r="E158" i="1142"/>
  <c r="C178" i="1142"/>
  <c r="H178" i="1142"/>
  <c r="B178" i="1142"/>
  <c r="F178" i="1142"/>
  <c r="D219" i="1139"/>
  <c r="D221" i="1139" s="1"/>
  <c r="L201" i="1139"/>
  <c r="H201" i="1139"/>
  <c r="H202" i="1139" s="1"/>
  <c r="M160" i="1142" l="1"/>
  <c r="Q230" i="1139"/>
  <c r="Q229" i="1139"/>
  <c r="N202" i="1139"/>
  <c r="O202" i="1139" s="1"/>
  <c r="Q201" i="1139"/>
  <c r="Q119" i="1139"/>
  <c r="P202" i="1139"/>
  <c r="P235" i="1139" s="1"/>
  <c r="N81" i="1139"/>
  <c r="O81" i="1139" s="1"/>
  <c r="J81" i="1139"/>
  <c r="K81" i="1139" s="1"/>
  <c r="K80" i="1139"/>
  <c r="Q80" i="1139" s="1"/>
  <c r="P81" i="1139"/>
  <c r="L161" i="1142"/>
  <c r="J161" i="1142"/>
  <c r="D160" i="1142"/>
  <c r="D161" i="1142" s="1"/>
  <c r="D179" i="1142" s="1"/>
  <c r="H160" i="1142"/>
  <c r="H161" i="1142" s="1"/>
  <c r="H179" i="1142" s="1"/>
  <c r="F160" i="1142"/>
  <c r="F161" i="1142" s="1"/>
  <c r="F179" i="1142" s="1"/>
  <c r="E160" i="1142"/>
  <c r="E161" i="1142" s="1"/>
  <c r="E179" i="1142" s="1"/>
  <c r="E105" i="1139"/>
  <c r="E202" i="1139"/>
  <c r="E235" i="1139" s="1"/>
  <c r="M105" i="1139"/>
  <c r="I105" i="1139"/>
  <c r="J202" i="1139"/>
  <c r="G235" i="1139"/>
  <c r="B202" i="1139"/>
  <c r="B235" i="1139" s="1"/>
  <c r="C202" i="1139"/>
  <c r="H235" i="1139"/>
  <c r="I202" i="1139"/>
  <c r="I235" i="1139" s="1"/>
  <c r="L202" i="1139"/>
  <c r="L235" i="1139" s="1"/>
  <c r="D202" i="1139"/>
  <c r="D235" i="1139" s="1"/>
  <c r="C235" i="1139"/>
  <c r="I161" i="1142"/>
  <c r="I179" i="1142" s="1"/>
  <c r="L105" i="1139"/>
  <c r="D105" i="1139"/>
  <c r="M202" i="1139"/>
  <c r="M235" i="1139" s="1"/>
  <c r="C105" i="1139"/>
  <c r="B161" i="1142"/>
  <c r="B179" i="1142" s="1"/>
  <c r="C179" i="1142"/>
  <c r="G161" i="1142"/>
  <c r="G179" i="1142" s="1"/>
  <c r="F105" i="1139"/>
  <c r="N235" i="1139" l="1"/>
  <c r="O235" i="1139" s="1"/>
  <c r="J235" i="1139"/>
  <c r="K235" i="1139" s="1"/>
  <c r="K202" i="1139"/>
  <c r="Q202" i="1139" s="1"/>
  <c r="N105" i="1139"/>
  <c r="O105" i="1139" s="1"/>
  <c r="Q81" i="1139"/>
  <c r="J105" i="1139"/>
  <c r="K105" i="1139" s="1"/>
  <c r="P105" i="1139"/>
  <c r="J179" i="1142"/>
  <c r="K179" i="1142" s="1"/>
  <c r="K161" i="1142"/>
  <c r="M161" i="1142" s="1"/>
  <c r="L179" i="1142"/>
  <c r="Q235" i="1139" l="1"/>
  <c r="Q105" i="1139"/>
  <c r="M179" i="1142"/>
</calcChain>
</file>

<file path=xl/sharedStrings.xml><?xml version="1.0" encoding="utf-8"?>
<sst xmlns="http://schemas.openxmlformats.org/spreadsheetml/2006/main" count="2503" uniqueCount="626">
  <si>
    <t>Intrepid Spirits Limited</t>
  </si>
  <si>
    <t>Parent Company : Intrepid Spirits Holdings Inc (Consolidated)</t>
  </si>
  <si>
    <t>Balance Sheet</t>
  </si>
  <si>
    <t/>
  </si>
  <si>
    <t>Financial Row</t>
  </si>
  <si>
    <t> </t>
  </si>
  <si>
    <t>Amount</t>
  </si>
  <si>
    <t>Intrepid Spirits Holdings Inc</t>
  </si>
  <si>
    <t>Total</t>
  </si>
  <si>
    <t>Cocalero International HK Limited</t>
  </si>
  <si>
    <t>Mad March Hare International Holdings Limited</t>
  </si>
  <si>
    <t>Cocalero Productions Limited</t>
  </si>
  <si>
    <t>Intrepid Australia Ltd</t>
  </si>
  <si>
    <t>Intrepid Japan</t>
  </si>
  <si>
    <t>Intrepid Spirits Ireland Ltd.</t>
  </si>
  <si>
    <t>Intrepid Spirits USA Inc</t>
  </si>
  <si>
    <t>Mad March Hare International Brands Ltd</t>
  </si>
  <si>
    <t>ASSETS</t>
  </si>
  <si>
    <t>Current Assets</t>
  </si>
  <si>
    <t>Bank</t>
  </si>
  <si>
    <t>10000 - - BANK -</t>
  </si>
  <si>
    <t>10010 - Intrepid Spirits MHW USD</t>
  </si>
  <si>
    <t>10020 - Intrepid Spirits Ltd AIB</t>
  </si>
  <si>
    <t>10030 - Petty Cash</t>
  </si>
  <si>
    <t>10040 - Accelerated Payments (Intrepid Spirits Ltd)</t>
  </si>
  <si>
    <t>10050 - Spendesk</t>
  </si>
  <si>
    <t>10110 - Cocalero AIB Bank Account</t>
  </si>
  <si>
    <t>10210 - Intrepid Spirits USA Chase Chk</t>
  </si>
  <si>
    <t>10310 - Intrepid Spirits Holding Check</t>
  </si>
  <si>
    <t>10320 - Intrepid Spirits Holding Check (new)</t>
  </si>
  <si>
    <t>10330 - Intrepid Spirits Holding Savings (new)</t>
  </si>
  <si>
    <t>10360 - Intrepid Spirits Ireland AIB</t>
  </si>
  <si>
    <t>10620 - MHW Bank Account</t>
  </si>
  <si>
    <t>10660 - Westpac</t>
  </si>
  <si>
    <t>10680 - BacMar</t>
  </si>
  <si>
    <t>10700 - RAKUTEN BANK LTD</t>
  </si>
  <si>
    <t>10710 - Resona Bank Limited</t>
  </si>
  <si>
    <t>10715 - Interco Offset Account AUS</t>
  </si>
  <si>
    <t>Total - 10000 - - BANK -</t>
  </si>
  <si>
    <t>Total Bank</t>
  </si>
  <si>
    <t>Accounts Receivable</t>
  </si>
  <si>
    <t>11000 - - ACCOUNTS RECEIVABLE -</t>
  </si>
  <si>
    <t>11010 - Trade Receivable</t>
  </si>
  <si>
    <t>11050 - Provision for Doubtful Debt</t>
  </si>
  <si>
    <t>11051 - Provision for Credit Notes</t>
  </si>
  <si>
    <t>Total - 11000 - - ACCOUNTS RECEIVABLE -</t>
  </si>
  <si>
    <t>Total Accounts Receivable</t>
  </si>
  <si>
    <t>Other Current Asset</t>
  </si>
  <si>
    <t>11300 - - PREPAYMENTS -</t>
  </si>
  <si>
    <t>11310 - Prepayments</t>
  </si>
  <si>
    <t>11330 - Labor Insurance</t>
  </si>
  <si>
    <t>11350 - Supplier Advance Payments</t>
  </si>
  <si>
    <t>Total - 11310 - Prepayments</t>
  </si>
  <si>
    <t>Total - 11300 - - PREPAYMENTS -</t>
  </si>
  <si>
    <t>11500 - - ADVANCES -</t>
  </si>
  <si>
    <t>11510 - Employee Advances Paid</t>
  </si>
  <si>
    <t>Total - 11500 - - ADVANCES -</t>
  </si>
  <si>
    <t>13000 - - INTERCOMPANY INVESTMENTS -</t>
  </si>
  <si>
    <t>13020 - InterCo. Investments - Cocalero HK</t>
  </si>
  <si>
    <t>13021 - InterCo. Investments - Cocalero Productions</t>
  </si>
  <si>
    <t>13030 - InterCo. Investments - Mad March Hare Holdings</t>
  </si>
  <si>
    <t>13031 - InterCo. Investments - Mad March Hare Int. Brands</t>
  </si>
  <si>
    <t>13040 - InterCo. Investments - Intrepid Spirits Ltd</t>
  </si>
  <si>
    <t>13041 - InterCo. Investments - Intrepid Spirit USA</t>
  </si>
  <si>
    <t>13050 - InterCo. Investments - Intrepid Spirits Japan K.K.</t>
  </si>
  <si>
    <t>13200 - InterCo. Investments - P&amp;H Egan</t>
  </si>
  <si>
    <t>13300 - InterCo. Investments - The Rogue Group HK</t>
  </si>
  <si>
    <t>13400 - InterCo. Investments - Intrepid Spirits Australia PTY Ltd</t>
  </si>
  <si>
    <t>13500 - INTERCO INVESTMENT -: Intrepid Rooster LLC</t>
  </si>
  <si>
    <t>Total - 13000 - - INTERCOMPANY INVESTMENTS -</t>
  </si>
  <si>
    <t>14000 - - INVENTORY -</t>
  </si>
  <si>
    <t>14010 - Raw Material Inventory</t>
  </si>
  <si>
    <t>14011 - Inventory In Transit</t>
  </si>
  <si>
    <t>14020 - Finished Goods Inventory</t>
  </si>
  <si>
    <t>14030 - Point of Sales Stock</t>
  </si>
  <si>
    <t>14040 - Consignment Stock</t>
  </si>
  <si>
    <t>14050 - Sundry Stock</t>
  </si>
  <si>
    <t>14051 - Provision for damaged or obsolete stock</t>
  </si>
  <si>
    <t>Total - 14000 - - INVENTORY -</t>
  </si>
  <si>
    <t>IEVOP - IE VAT on Purchases</t>
  </si>
  <si>
    <t>GST Paid</t>
  </si>
  <si>
    <t>Intercompany Clearing Account</t>
  </si>
  <si>
    <t>Total Other Current Asset</t>
  </si>
  <si>
    <t>Total Current Assets</t>
  </si>
  <si>
    <t>Fixed Assets</t>
  </si>
  <si>
    <t>01000 - - OFFICE EQUIPMENT -</t>
  </si>
  <si>
    <t>01010 - Office Equipment at Cost</t>
  </si>
  <si>
    <t>01020 - Office Equipment Depreciation</t>
  </si>
  <si>
    <t>Total - 01000 - - OFFICE EQUIPMENT -</t>
  </si>
  <si>
    <t>01100 - - COMPUTER EQUIPMENT -</t>
  </si>
  <si>
    <t>01110 - Computer Equipment at Cost</t>
  </si>
  <si>
    <t>01120 - Computer Equipment Depreciation</t>
  </si>
  <si>
    <t>Total - 01100 - - COMPUTER EQUIPMENT -</t>
  </si>
  <si>
    <t>01200 - - FIXTURES &amp; FITTINGS -</t>
  </si>
  <si>
    <t>01210 - Fixtures &amp; Fittings at Cost</t>
  </si>
  <si>
    <t>01220 - Fixtures &amp; Fittings Depreciation</t>
  </si>
  <si>
    <t>Total - 01200 - - FIXTURES &amp; FITTINGS -</t>
  </si>
  <si>
    <t>02000 - - IP BLEND -</t>
  </si>
  <si>
    <t>02010 - IP Blend</t>
  </si>
  <si>
    <t>02020 - IP Blend Amortisation</t>
  </si>
  <si>
    <t>Total - 02000 - - IP BLEND -</t>
  </si>
  <si>
    <t>02100 - - BOTTLE MOULD -</t>
  </si>
  <si>
    <t>02110 - Bottle Mould Cost</t>
  </si>
  <si>
    <t>02120 - Bottle Mould Amortisation</t>
  </si>
  <si>
    <t>Total - 02100 - - BOTTLE MOULD -</t>
  </si>
  <si>
    <t>Total Fixed Assets</t>
  </si>
  <si>
    <t>Total ASSETS</t>
  </si>
  <si>
    <t>Liabilities &amp; Equity</t>
  </si>
  <si>
    <t>Current Liabilities</t>
  </si>
  <si>
    <t>Accounts Payable</t>
  </si>
  <si>
    <t>20000 - - ACCOUNTS PAYABLE -</t>
  </si>
  <si>
    <t>20010 - Accounts Payable</t>
  </si>
  <si>
    <t>20030 - Account Payable Other</t>
  </si>
  <si>
    <t>Total - 20010 - Accounts Payable</t>
  </si>
  <si>
    <t>20020 - Unpaid Expense Claims</t>
  </si>
  <si>
    <t>Total - 20000 - - ACCOUNTS PAYABLE -</t>
  </si>
  <si>
    <t>20100 - - INTERCOMPANY ACCOUNTS PAYABLE -</t>
  </si>
  <si>
    <t>20110 - Intercompany Accounts Payable</t>
  </si>
  <si>
    <t>Total - 20100 - - INTERCOMPANY ACCOUNTS PAYABLE -</t>
  </si>
  <si>
    <t>Total Accounts Payable</t>
  </si>
  <si>
    <t>Credit Card</t>
  </si>
  <si>
    <t>21000 - - CREDIT CARD -</t>
  </si>
  <si>
    <t>21010 - AIB Intrepid Credit Card ID</t>
  </si>
  <si>
    <t>21020 - AIB Intrepid Credit Card FMcG</t>
  </si>
  <si>
    <t>21030 - AIB Intrepid Credit Card JR</t>
  </si>
  <si>
    <t>21040 - AIB Intrepid Credit Card MS</t>
  </si>
  <si>
    <t>21110 - AIB Cocalero Credit Card - JS</t>
  </si>
  <si>
    <t>21120 - AIB Cocalero Credit Card - AM</t>
  </si>
  <si>
    <t>21130 - AIB Cocalero Credit Card - JT</t>
  </si>
  <si>
    <t>21140 - AIB Cocalero Credit Card - CD</t>
  </si>
  <si>
    <t>21150 - AIB Cocalero Credit Card - JR</t>
  </si>
  <si>
    <t>21210 - Intrepid Spirits USA Business CC</t>
  </si>
  <si>
    <t>21220 - AMEX Intrepid Spirits Card</t>
  </si>
  <si>
    <t>21230 - John B Ralph</t>
  </si>
  <si>
    <t>21240 - Intrepid Spirits USA Divvy Account</t>
  </si>
  <si>
    <t>21250 - AMEX Platinum  JR Intrepid Spirits Card (01003)</t>
  </si>
  <si>
    <t>21260 - AMEX Platinum MS Intrepid Spirits Card (01029)</t>
  </si>
  <si>
    <t>21270 - AMEX Gold JR Intrepid Spirits Card (91002)</t>
  </si>
  <si>
    <t>21610 - International Business Vantage</t>
  </si>
  <si>
    <t>21620 - International</t>
  </si>
  <si>
    <t>Total - 21000 - - CREDIT CARD -</t>
  </si>
  <si>
    <t>Total Credit Card</t>
  </si>
  <si>
    <t>Other Current Liability</t>
  </si>
  <si>
    <t>22000 - - OTHER CURRENT LIABILITIES -</t>
  </si>
  <si>
    <t>22020 - Withholding Income Tax for Reward</t>
  </si>
  <si>
    <t>22100 - Accrued Purchases</t>
  </si>
  <si>
    <t>22250 - Manufacturing Accrual</t>
  </si>
  <si>
    <t>22270 - Duty Accruals</t>
  </si>
  <si>
    <t>22300 - Accruals</t>
  </si>
  <si>
    <t>Total - 22300 - Accruals</t>
  </si>
  <si>
    <t>22400 - - AMP ACCRUALS -</t>
  </si>
  <si>
    <t>22410 - AMP Accruals - Japan</t>
  </si>
  <si>
    <t>22420 - AMP Accruals - China</t>
  </si>
  <si>
    <t>22430 - AMP Accruals - Europe</t>
  </si>
  <si>
    <t>22440 - AMP Accruals - USA</t>
  </si>
  <si>
    <t>22470 - AMP Accruals - EMEA</t>
  </si>
  <si>
    <t>22480 - AMP Accruals - AUS</t>
  </si>
  <si>
    <t>Total - 22400 - - AMP ACCRUALS -</t>
  </si>
  <si>
    <t>Total - 22000 - - OTHER CURRENT LIABILITIES -</t>
  </si>
  <si>
    <t>22360 - Corporation Tax Liability</t>
  </si>
  <si>
    <t>23000 - - PAYROLL LIABILITY -</t>
  </si>
  <si>
    <t>23010 - Net Salaries Payable</t>
  </si>
  <si>
    <t>23020 - Employee Tax Payable</t>
  </si>
  <si>
    <t>23021 - Withholding Income Tax</t>
  </si>
  <si>
    <t>Total - 23020 - Employee Tax Payable</t>
  </si>
  <si>
    <t>23030 - Superannuation Payable</t>
  </si>
  <si>
    <t>Total - 23000 - - PAYROLL LIABILITY -</t>
  </si>
  <si>
    <t>27000 - - INTERCOMPANY LOAN -</t>
  </si>
  <si>
    <t>27010 - InterCo. Loan - Intrepid Spirits Holdings</t>
  </si>
  <si>
    <t>27020 - InterCo. Loan - Cocalero HK</t>
  </si>
  <si>
    <t>27021 - InterCo. Loan - Cocalero Productions</t>
  </si>
  <si>
    <t>27030 - InterCo. Loan - Mad March Hare Holdings</t>
  </si>
  <si>
    <t>27040 - InterCo. Loan - Intrepid Spirits Ltd</t>
  </si>
  <si>
    <t>27041 - InterCo. Loan - Intrepid Spirit USA</t>
  </si>
  <si>
    <t>27042 - InterCo. Loan - Shanghai</t>
  </si>
  <si>
    <t>27200 - InterCo. Loan - P&amp;H Egan</t>
  </si>
  <si>
    <t>27300 - InterCo. Loan - Rogue Group HK</t>
  </si>
  <si>
    <t>27400 - InterCo. Loan - Intrepid Spirits Australia Pty Ltd</t>
  </si>
  <si>
    <t>27500 - InterCo. Loan - Intrepid Spirits Japan K.K.</t>
  </si>
  <si>
    <t>27600 - InterCo. Loan - Intrepid Rooster</t>
  </si>
  <si>
    <t>Total - 27000 - - INTERCOMPANY LOAN -</t>
  </si>
  <si>
    <t>28000 - - DIRECTOR LOANS -</t>
  </si>
  <si>
    <t>28010 - J Ralph</t>
  </si>
  <si>
    <t>28030 - Mark Ward</t>
  </si>
  <si>
    <t>Total - 28000 - - DIRECTOR LOANS -</t>
  </si>
  <si>
    <t>29000 - - SHORT-TERM LOANS -</t>
  </si>
  <si>
    <t>29010 - RKR Finance</t>
  </si>
  <si>
    <t>29015 - Netsuite Finance</t>
  </si>
  <si>
    <t>29020 - Regal Rogue UK Loan</t>
  </si>
  <si>
    <t>Total - 29000 - - SHORT-TERM LOANS -</t>
  </si>
  <si>
    <t>IE-VATLIABILITY - IE VAT Liability</t>
  </si>
  <si>
    <t>IETL - IE Tax Liability</t>
  </si>
  <si>
    <t>PCVOS - IE VAT on Sales</t>
  </si>
  <si>
    <t>GST Collected</t>
  </si>
  <si>
    <t>Total Other Current Liability</t>
  </si>
  <si>
    <t>Total Current Liabilities</t>
  </si>
  <si>
    <t>Long Term Liabilities</t>
  </si>
  <si>
    <t>90000 - - LONG-TERM LOANS -</t>
  </si>
  <si>
    <t>90100 - - LOANS LONG-TERM -</t>
  </si>
  <si>
    <t>90110 - Loan</t>
  </si>
  <si>
    <t>90115 - Bank Loan</t>
  </si>
  <si>
    <t>90120 - J Suttle</t>
  </si>
  <si>
    <t>90140 - Winnowski</t>
  </si>
  <si>
    <t>90160 - Korean loans</t>
  </si>
  <si>
    <t>90170 - Flender Finance</t>
  </si>
  <si>
    <t>90180 - J Toettcher loan</t>
  </si>
  <si>
    <t>Total - 90100 - - LOANS LONG-TERM -</t>
  </si>
  <si>
    <t>90600 - - LOANS DIRECTORS L/T -</t>
  </si>
  <si>
    <t>90610 - J Ralph L/T Loan</t>
  </si>
  <si>
    <t>Total - 90600 - - LOANS DIRECTORS L/T -</t>
  </si>
  <si>
    <t>Total - 90000 - - LONG-TERM LOANS -</t>
  </si>
  <si>
    <t>99999 - Suspense</t>
  </si>
  <si>
    <t>Total Long Term Liabilities</t>
  </si>
  <si>
    <t>Equity</t>
  </si>
  <si>
    <t>30000 - - EQUITY -</t>
  </si>
  <si>
    <t>30010 - Equity - Common Stock</t>
  </si>
  <si>
    <t>30020 - Equity - Preferred Stock</t>
  </si>
  <si>
    <t>30030 - Share Premium</t>
  </si>
  <si>
    <t>33000 - Opening Balance</t>
  </si>
  <si>
    <t>Total - 30000 - - EQUITY -</t>
  </si>
  <si>
    <t>Total - Equity</t>
  </si>
  <si>
    <t>Retained Earnings</t>
  </si>
  <si>
    <t>Net Income</t>
  </si>
  <si>
    <t>Cumulative Translation Adjustment</t>
  </si>
  <si>
    <t>Total Equity</t>
  </si>
  <si>
    <t>Total Liabilities &amp; Equity</t>
  </si>
  <si>
    <t>Type</t>
  </si>
  <si>
    <t>Date</t>
  </si>
  <si>
    <t>Document Number</t>
  </si>
  <si>
    <t>Name</t>
  </si>
  <si>
    <t>Clr</t>
  </si>
  <si>
    <t>Split</t>
  </si>
  <si>
    <t>Region (GL)</t>
  </si>
  <si>
    <t>Brand</t>
  </si>
  <si>
    <t>Ordinary Income/Expense</t>
  </si>
  <si>
    <t>Cost Of Sales</t>
  </si>
  <si>
    <t>50000 - - COST OF GOODS SOLD -</t>
  </si>
  <si>
    <t>50010 - Cost of Goods Sold</t>
  </si>
  <si>
    <t>Item Fulfillment</t>
  </si>
  <si>
    <t>F</t>
  </si>
  <si>
    <t>Egan's</t>
  </si>
  <si>
    <t>Europe</t>
  </si>
  <si>
    <t>Regal Rogue</t>
  </si>
  <si>
    <t>-</t>
  </si>
  <si>
    <t>Mad March Hare</t>
  </si>
  <si>
    <t>Rest Of World/Global</t>
  </si>
  <si>
    <t>Total - 50000 - - COST OF GOODS SOLD -</t>
  </si>
  <si>
    <t>Total - Cost Of Sales</t>
  </si>
  <si>
    <t>Gross Profit</t>
  </si>
  <si>
    <t>Net Ordinary Income</t>
  </si>
  <si>
    <t>Parent Company : Intrepid Spirits Holdings Inc : Intrepid Spirits Limited</t>
  </si>
  <si>
    <t>Inventory Valuation Summary</t>
  </si>
  <si>
    <t>Item</t>
  </si>
  <si>
    <t>Description</t>
  </si>
  <si>
    <t>Inv. Value</t>
  </si>
  <si>
    <t>% of Inv. Value</t>
  </si>
  <si>
    <t>On Hand</t>
  </si>
  <si>
    <t>Regal Rogue Bold Red 16.5% 6x500ml</t>
  </si>
  <si>
    <t>RRBR500US</t>
  </si>
  <si>
    <t>Regal Rogue Daring Dry 18% 6x500ml</t>
  </si>
  <si>
    <t>RRDD500UK</t>
  </si>
  <si>
    <t>RRDD500US</t>
  </si>
  <si>
    <t>Regal Rogue Lively White 16.5% 6x500ml</t>
  </si>
  <si>
    <t>RRLW500UK</t>
  </si>
  <si>
    <t>RRLW500US</t>
  </si>
  <si>
    <t>Regal Rogue Wild Rose 16.5% 6x500ml</t>
  </si>
  <si>
    <t>RRWR500UK</t>
  </si>
  <si>
    <t>RRWR500US</t>
  </si>
  <si>
    <t>RRBR5LBIBEUR</t>
  </si>
  <si>
    <t>Regal Rogue Bold Red 5LTR BIB EUR</t>
  </si>
  <si>
    <t>RRDD5LBIBEUR</t>
  </si>
  <si>
    <t>Regal Rogue Daring Dry 5LTR BIB EUR</t>
  </si>
  <si>
    <t>RRLW5LBIBEUR</t>
  </si>
  <si>
    <t>Regal Rogue Lively White 5LTR BIB EUR</t>
  </si>
  <si>
    <t>RROBR500EU</t>
  </si>
  <si>
    <t>Regal Rogue Org Bold Red 6X500ml Europe</t>
  </si>
  <si>
    <t>RRODD500EU</t>
  </si>
  <si>
    <t>Regal Rogue Org Daring Dry 6X500ml Europe</t>
  </si>
  <si>
    <t>RROLW500EU</t>
  </si>
  <si>
    <t>Regal Rogue Org Lively White 6X500ml Europe</t>
  </si>
  <si>
    <t>RROWR500EU</t>
  </si>
  <si>
    <t>Regal Rogue Org Wild Rose 6X500ml Europe</t>
  </si>
  <si>
    <t>RRWR5LBIBEUR</t>
  </si>
  <si>
    <t>Regal Rogue Wild Rose 5LTR BIB EUR</t>
  </si>
  <si>
    <t>RRBR5LBIBLABEUR</t>
  </si>
  <si>
    <t>Regal Rogue Bold Red 5L BIB Label EUR</t>
  </si>
  <si>
    <t>RRBRCUBLEUR</t>
  </si>
  <si>
    <t>Regal Rogue Bold Red COVER UP Back Label 500ml EUR</t>
  </si>
  <si>
    <t>RRDD5LBIBLABEUR</t>
  </si>
  <si>
    <t>Regal Rogue Daring Dry 5L BIB Label EUR</t>
  </si>
  <si>
    <t>RRDDCUBLEUR</t>
  </si>
  <si>
    <t>Regal Rogue Daring Dry COVER UP Back Label 500ml EUR</t>
  </si>
  <si>
    <t>RRLW5LBIBLABEUR</t>
  </si>
  <si>
    <t>Regal Rogue Lively White 5L BIB Label EUR</t>
  </si>
  <si>
    <t>RRLWCUBLEUR</t>
  </si>
  <si>
    <t>Regal Rogue Lively White COVER UP Back Label 500ml EUR</t>
  </si>
  <si>
    <t>RRWR5LBIBLABEUR</t>
  </si>
  <si>
    <t>Regal Rogue Wild Rose 5L BIB Label EUR</t>
  </si>
  <si>
    <t>RRWRCUBLEUR</t>
  </si>
  <si>
    <t>Regal Rogue Wild Rose COVER UP Back Label 500ml EUR</t>
  </si>
  <si>
    <t>Profit and Loss</t>
  </si>
  <si>
    <t>Income</t>
  </si>
  <si>
    <t>40000 - - SALES -</t>
  </si>
  <si>
    <t>40010 - Sales</t>
  </si>
  <si>
    <t>40030 - Sales Point of Sale</t>
  </si>
  <si>
    <t>40050 - Shipping and Handling</t>
  </si>
  <si>
    <t>40100 - Other Revenue</t>
  </si>
  <si>
    <t>Total - 40000 - - SALES -</t>
  </si>
  <si>
    <t>Total - Income</t>
  </si>
  <si>
    <t>50030 - Cost of Goods Sold PoS</t>
  </si>
  <si>
    <t>50050 - Stock Adjustment</t>
  </si>
  <si>
    <t>Expense</t>
  </si>
  <si>
    <t>60000 - - GENERAL ADMIN EXPENSES -</t>
  </si>
  <si>
    <t>60100 - - PAYROLL COSTS -</t>
  </si>
  <si>
    <t>60110 - Wages and Salaries</t>
  </si>
  <si>
    <t>60120 - Salaries - Management</t>
  </si>
  <si>
    <t>60130 - Labor Insurance</t>
  </si>
  <si>
    <t>60140 - Employer Pension Expenses</t>
  </si>
  <si>
    <t>Total - 60100 - - PAYROLL COSTS -</t>
  </si>
  <si>
    <t>60500 - - EMPLOYMENT COSTS -</t>
  </si>
  <si>
    <t>60510 - Staff Welfare</t>
  </si>
  <si>
    <t>60520 - Employee Health Insurance</t>
  </si>
  <si>
    <t>60540 - Bike to Work</t>
  </si>
  <si>
    <t>Total - 60500 - - EMPLOYMENT COSTS -</t>
  </si>
  <si>
    <t>61000 - - RENT &amp; RATES -</t>
  </si>
  <si>
    <t>61010 - Rent</t>
  </si>
  <si>
    <t>61030 - Storage Fees</t>
  </si>
  <si>
    <t>Total - 61000 - - RENT &amp; RATES -</t>
  </si>
  <si>
    <t>61200 - - TRAVEL COSTS -</t>
  </si>
  <si>
    <t>61210 - General Travel - Taxis/Public Transport</t>
  </si>
  <si>
    <t>61220 - General Travel - Hotels</t>
  </si>
  <si>
    <t>61230 - General Travel - Flights</t>
  </si>
  <si>
    <t>61240 - General Travel - Subsistance</t>
  </si>
  <si>
    <t>61260 - Car Rental</t>
  </si>
  <si>
    <t>61270 - Car Lease</t>
  </si>
  <si>
    <t>61280 - General Travel - Fuel</t>
  </si>
  <si>
    <t>61290 - Motor Vehicle Expenses</t>
  </si>
  <si>
    <t>Total - 61200 - - TRAVEL COSTS -</t>
  </si>
  <si>
    <t>61300 - - PROFESSIONAL FEES -</t>
  </si>
  <si>
    <t>61310 - Legal Expenses</t>
  </si>
  <si>
    <t>61315 - Trademark Expenses</t>
  </si>
  <si>
    <t>61320 - Consultancy Fees</t>
  </si>
  <si>
    <t>61330 - Accountancy Fees</t>
  </si>
  <si>
    <t>Total - 61300 - - PROFESSIONAL FEES -</t>
  </si>
  <si>
    <t>61400 - - OFFICE EXPENSES -</t>
  </si>
  <si>
    <t>61410 - Telephone &amp; Internet</t>
  </si>
  <si>
    <t>61420 - Printing &amp; Stationary</t>
  </si>
  <si>
    <t>61430 - Postage</t>
  </si>
  <si>
    <t>61440 - Software Expenses</t>
  </si>
  <si>
    <t>61450 - Office Courier</t>
  </si>
  <si>
    <t>Total - 61400 - - OFFICE EXPENSES -</t>
  </si>
  <si>
    <t>61500 - - GENERAL EXPENSES -</t>
  </si>
  <si>
    <t>61510 - Insurance</t>
  </si>
  <si>
    <t>61520 - Credit Insurance</t>
  </si>
  <si>
    <t>61530 - Subscriptions</t>
  </si>
  <si>
    <t>61535 - Meeting</t>
  </si>
  <si>
    <t>61550 - General Expenses</t>
  </si>
  <si>
    <t>61570 - Donations/Charity</t>
  </si>
  <si>
    <t>Total - 61500 - - GENERAL EXPENSES -</t>
  </si>
  <si>
    <t>62000 - - SELLING &amp; DISTRIBUTION COSTS -</t>
  </si>
  <si>
    <t>62010 - Warehousing Fees</t>
  </si>
  <si>
    <t>62030 - Freight &amp; Courier</t>
  </si>
  <si>
    <t>62050 - Customs Fees</t>
  </si>
  <si>
    <t>62070 - State Tax</t>
  </si>
  <si>
    <t>62120 - Sales Person AUS</t>
  </si>
  <si>
    <t>Total - 62000 - - SELLING &amp; DISTRIBUTION COSTS -</t>
  </si>
  <si>
    <t>63000 - - BANK CHARGES -</t>
  </si>
  <si>
    <t>63010 - Bank Fees</t>
  </si>
  <si>
    <t>63020 - Bank Interest</t>
  </si>
  <si>
    <t>63030 - Finance Charges</t>
  </si>
  <si>
    <t>Total - 63000 - - BANK CHARGES -</t>
  </si>
  <si>
    <t>Total - 60000 - - GENERAL ADMIN EXPENSES -</t>
  </si>
  <si>
    <t>65000 - - MARKETING -</t>
  </si>
  <si>
    <t>65020 - Promotional Events</t>
  </si>
  <si>
    <t>65030 - Marketing - Trade Shows</t>
  </si>
  <si>
    <t>65060 - Sampling Costs</t>
  </si>
  <si>
    <t>65100 - Advertising</t>
  </si>
  <si>
    <t>65105 - E-commerce Discounts</t>
  </si>
  <si>
    <t>65110 - E-commerce Advertising</t>
  </si>
  <si>
    <t>65115 - E-commerce web hosting</t>
  </si>
  <si>
    <t>65120 - Social Media Costs</t>
  </si>
  <si>
    <t>65125 - Email Marketing</t>
  </si>
  <si>
    <t>65130 - Public Relations</t>
  </si>
  <si>
    <t>65135 - Agency Fees</t>
  </si>
  <si>
    <t>65140 - General Marketing</t>
  </si>
  <si>
    <t>65150 - Marketing Consultancy</t>
  </si>
  <si>
    <t>65200 - Entertainment - Marketing</t>
  </si>
  <si>
    <t>65500 - -BRANDING -</t>
  </si>
  <si>
    <t>65510 - Branding &amp; Design Costs</t>
  </si>
  <si>
    <t>Total - 65500 - -BRANDING -</t>
  </si>
  <si>
    <t>66000 - - AMP COSTS -</t>
  </si>
  <si>
    <t>66010 - AMP Accrual</t>
  </si>
  <si>
    <t>66020 - AMP Expenditure</t>
  </si>
  <si>
    <t>Total - 66000 - - AMP COSTS -</t>
  </si>
  <si>
    <t>Total - 65000 - - MARKETING -</t>
  </si>
  <si>
    <t>Total - Expense</t>
  </si>
  <si>
    <t>Other Income and Expenses</t>
  </si>
  <si>
    <t>Other Income</t>
  </si>
  <si>
    <t>80000 - - OTHER INCOME -</t>
  </si>
  <si>
    <t>80010 - Interest Income</t>
  </si>
  <si>
    <t>Total - 80000 - - OTHER INCOME -</t>
  </si>
  <si>
    <t>Total - Other Income</t>
  </si>
  <si>
    <t>Other Expense</t>
  </si>
  <si>
    <t>Rounding Gain/Loss</t>
  </si>
  <si>
    <t>Realized Gain/Loss</t>
  </si>
  <si>
    <t>Total - Other Expense</t>
  </si>
  <si>
    <t>Net Other Income</t>
  </si>
  <si>
    <t>Invoice</t>
  </si>
  <si>
    <t>11110 - - INTERCOMPANY ACCOUNTS RECEIVABLE - : Intercompany Accounts Receivable</t>
  </si>
  <si>
    <t>Goodwill</t>
  </si>
  <si>
    <t>Goodwill Impairment</t>
  </si>
  <si>
    <t>CompanyName</t>
  </si>
  <si>
    <t>InventoryBalance</t>
  </si>
  <si>
    <t>Margin</t>
  </si>
  <si>
    <t>Goodwill Before Impairment</t>
  </si>
  <si>
    <t>Goodwill Previously Impaired By</t>
  </si>
  <si>
    <t>Goodwill Currently Impaired By</t>
  </si>
  <si>
    <t>Goodwill After Impairment</t>
  </si>
  <si>
    <t>Adjustment</t>
  </si>
  <si>
    <t>Total Regal Rogue</t>
  </si>
  <si>
    <t>23035 - 401K Withholding</t>
  </si>
  <si>
    <t>Ireland</t>
  </si>
  <si>
    <t>Plantation</t>
  </si>
  <si>
    <t>Cocalero</t>
  </si>
  <si>
    <t>Fuba</t>
  </si>
  <si>
    <t>Michter's</t>
  </si>
  <si>
    <t>Los Javis</t>
  </si>
  <si>
    <t>United States</t>
  </si>
  <si>
    <t>61285 - Entertainment - Travel</t>
  </si>
  <si>
    <t>62040 - Broker Fees</t>
  </si>
  <si>
    <t>62115 - Entertainment - Sales &amp; Distribution</t>
  </si>
  <si>
    <t>65160 - Web Management</t>
  </si>
  <si>
    <t>La Republica</t>
  </si>
  <si>
    <t>Caleno</t>
  </si>
  <si>
    <t>Ban Poitin</t>
  </si>
  <si>
    <t>61490 - Cleaning</t>
  </si>
  <si>
    <t>65050 - Billbacks</t>
  </si>
  <si>
    <t>10725 - Interco Offset Account JAP</t>
  </si>
  <si>
    <t>23022 - Inhabitant Tax</t>
  </si>
  <si>
    <t>27032 - InterCo. Loan - Intrepid Spirits Ireland</t>
  </si>
  <si>
    <t>65530 - Label Development Costs</t>
  </si>
  <si>
    <t>11340 - Prepayment Rupert Egan Whiskey</t>
  </si>
  <si>
    <t>21215 - Intrepid Spirits USA Credit Card (2033)</t>
  </si>
  <si>
    <t>21265 - AMEX Platinum AB Intrepid Spirits Card (01052)</t>
  </si>
  <si>
    <t>Item Receipt</t>
  </si>
  <si>
    <t>62110 - VAT</t>
  </si>
  <si>
    <t>65550 - PoS Design</t>
  </si>
  <si>
    <t>13032 - InterCo. Investments - Intrepid Spirits Ireland</t>
  </si>
  <si>
    <t>Little &amp; Green</t>
  </si>
  <si>
    <t>60560 - Visa Sponsorship</t>
  </si>
  <si>
    <t>End of Aug 2022</t>
  </si>
  <si>
    <t>90111 - Loan - USA</t>
  </si>
  <si>
    <t>IF02353</t>
  </si>
  <si>
    <t>IF02351</t>
  </si>
  <si>
    <t>IF02354</t>
  </si>
  <si>
    <t>IF02347</t>
  </si>
  <si>
    <t>IF02345</t>
  </si>
  <si>
    <t>IR01191</t>
  </si>
  <si>
    <t>22100 - - OTHER CURRENT LIABILITIES - : Accrued Purchases</t>
  </si>
  <si>
    <t>IR01192</t>
  </si>
  <si>
    <t>IF02376</t>
  </si>
  <si>
    <t>IF02388</t>
  </si>
  <si>
    <t>IF02386</t>
  </si>
  <si>
    <t>IF02392</t>
  </si>
  <si>
    <t>IF02383</t>
  </si>
  <si>
    <t>IF02390</t>
  </si>
  <si>
    <t>IF02403</t>
  </si>
  <si>
    <t>IF02409</t>
  </si>
  <si>
    <t>IF02411</t>
  </si>
  <si>
    <t>IF02417</t>
  </si>
  <si>
    <t>IF02416</t>
  </si>
  <si>
    <t>IF02415</t>
  </si>
  <si>
    <t>IF02427</t>
  </si>
  <si>
    <t>IF02447</t>
  </si>
  <si>
    <t>IF02445</t>
  </si>
  <si>
    <t>IF02456</t>
  </si>
  <si>
    <t>IF02454</t>
  </si>
  <si>
    <t>As of 31 August 2022</t>
  </si>
  <si>
    <t>INV11912</t>
  </si>
  <si>
    <t>INV11914</t>
  </si>
  <si>
    <t>INV11915</t>
  </si>
  <si>
    <t>INV11916</t>
  </si>
  <si>
    <t>INV11926</t>
  </si>
  <si>
    <t>INV11942</t>
  </si>
  <si>
    <t>INV11943</t>
  </si>
  <si>
    <t>INV11939</t>
  </si>
  <si>
    <t>INV11944</t>
  </si>
  <si>
    <t>INV11940</t>
  </si>
  <si>
    <t>INV11954</t>
  </si>
  <si>
    <t>INV11962</t>
  </si>
  <si>
    <t>INV11961</t>
  </si>
  <si>
    <t>INV11965</t>
  </si>
  <si>
    <t>INV11964</t>
  </si>
  <si>
    <t>INV11963</t>
  </si>
  <si>
    <t>INV11975</t>
  </si>
  <si>
    <t>INV11986</t>
  </si>
  <si>
    <t>INV11988</t>
  </si>
  <si>
    <t>INV11992</t>
  </si>
  <si>
    <t>INV11991</t>
  </si>
  <si>
    <t>INV12070</t>
  </si>
  <si>
    <t>INV12071</t>
  </si>
  <si>
    <t>From Jan 2022 to Aug 2022</t>
  </si>
  <si>
    <t>Japan</t>
  </si>
  <si>
    <t>Pusser's</t>
  </si>
  <si>
    <t>Australia</t>
  </si>
  <si>
    <t>Kyro</t>
  </si>
  <si>
    <t>IF01856</t>
  </si>
  <si>
    <t>Merlet</t>
  </si>
  <si>
    <t>IF01916</t>
  </si>
  <si>
    <t>IF01973</t>
  </si>
  <si>
    <t>IF02110</t>
  </si>
  <si>
    <t>IF02109</t>
  </si>
  <si>
    <t>IF02142</t>
  </si>
  <si>
    <t>IF02182</t>
  </si>
  <si>
    <t>IF02190</t>
  </si>
  <si>
    <t>IF02188</t>
  </si>
  <si>
    <t>IF02192</t>
  </si>
  <si>
    <t>IF02196</t>
  </si>
  <si>
    <t>IF02210</t>
  </si>
  <si>
    <t>IF02209</t>
  </si>
  <si>
    <t>IF02211</t>
  </si>
  <si>
    <t>IF02213</t>
  </si>
  <si>
    <t>IF02214</t>
  </si>
  <si>
    <t>IF02216</t>
  </si>
  <si>
    <t>IF02218</t>
  </si>
  <si>
    <t>IF02215</t>
  </si>
  <si>
    <t>IF02217</t>
  </si>
  <si>
    <t>IF02220</t>
  </si>
  <si>
    <t>IF02225</t>
  </si>
  <si>
    <t>IF02251</t>
  </si>
  <si>
    <t>IF02246</t>
  </si>
  <si>
    <t>IF02253</t>
  </si>
  <si>
    <t>IF02270</t>
  </si>
  <si>
    <t>IF02267</t>
  </si>
  <si>
    <t>IF02262</t>
  </si>
  <si>
    <t>IF02263</t>
  </si>
  <si>
    <t>IF02276</t>
  </si>
  <si>
    <t>IF02289</t>
  </si>
  <si>
    <t>IF02296</t>
  </si>
  <si>
    <t>IF02318</t>
  </si>
  <si>
    <t>IF02314</t>
  </si>
  <si>
    <t>50020 - Stock Wastage</t>
  </si>
  <si>
    <t>51000 - - LANDED COST -</t>
  </si>
  <si>
    <t>51100 - Customs Fees</t>
  </si>
  <si>
    <t>51200 - Inbound Freight</t>
  </si>
  <si>
    <t>51400 - Import Consumption Tax</t>
  </si>
  <si>
    <t>51410 - Import National Consumption Tax</t>
  </si>
  <si>
    <t>51420 - Import Local Consumption Tax</t>
  </si>
  <si>
    <t>Total - 51400 - Import Consumption Tax</t>
  </si>
  <si>
    <t>Total - 51000 - - LANDED COST -</t>
  </si>
  <si>
    <t>60001 - Unclassified Expenses</t>
  </si>
  <si>
    <t>60550 - Staff Relocation</t>
  </si>
  <si>
    <t>61020 - Rates</t>
  </si>
  <si>
    <t>61100 - - BUILDING COSTS -</t>
  </si>
  <si>
    <t>61110 - Light, Power, Heating</t>
  </si>
  <si>
    <t>61130 - Repairs &amp; Maintenance</t>
  </si>
  <si>
    <t>Total - 61100 - - BUILDING COSTS -</t>
  </si>
  <si>
    <t>61325 - Company Secretary Fees</t>
  </si>
  <si>
    <t>61340 - Consultant - Directors</t>
  </si>
  <si>
    <t>61525 - Provision for RR Incentive</t>
  </si>
  <si>
    <t>61540 - Licence Fee</t>
  </si>
  <si>
    <t>61545 - Commission Fees</t>
  </si>
  <si>
    <t>61560 - Sundry Taxes</t>
  </si>
  <si>
    <t>61595 - General Write Off</t>
  </si>
  <si>
    <t>61600 - - DEPRECIATION -</t>
  </si>
  <si>
    <t>61620 - Depreciation - Computer Equipment</t>
  </si>
  <si>
    <t>Total - 61600 - - DEPRECIATION -</t>
  </si>
  <si>
    <t>61700 - - RESEARCH &amp; DEVELOPMENT -</t>
  </si>
  <si>
    <t>61710 - R&amp;D Costs</t>
  </si>
  <si>
    <t>Total - 61700 - - RESEARCH &amp; DEVELOPMENT -</t>
  </si>
  <si>
    <t>62080 - Sales Commission</t>
  </si>
  <si>
    <t>62100 - Duty</t>
  </si>
  <si>
    <t>62130 - Sales Person SA</t>
  </si>
  <si>
    <t>62140 - Sales Person EUR</t>
  </si>
  <si>
    <t>62150 - Sales Person CAN</t>
  </si>
  <si>
    <t>63050 - Realised Currency Gains/Losses</t>
  </si>
  <si>
    <t>65090 - Brand Sponsorship</t>
  </si>
  <si>
    <t>65145 - Photography/Video Content</t>
  </si>
  <si>
    <t>80005 - Other Income</t>
  </si>
  <si>
    <t>80015 - Exchange Gain</t>
  </si>
  <si>
    <t>63060 - Exchange Loss</t>
  </si>
  <si>
    <t>70000 - - TAX -</t>
  </si>
  <si>
    <t>70100 - Corporation Tax</t>
  </si>
  <si>
    <t>Total - 70000 - - TAX -</t>
  </si>
  <si>
    <t>INV11373</t>
  </si>
  <si>
    <t>INV11374</t>
  </si>
  <si>
    <t>INV11431</t>
  </si>
  <si>
    <t>INV12065</t>
  </si>
  <si>
    <t>INV11559</t>
  </si>
  <si>
    <t>INV11527</t>
  </si>
  <si>
    <t>INV11566</t>
  </si>
  <si>
    <t>INV12066</t>
  </si>
  <si>
    <t>INV11645</t>
  </si>
  <si>
    <t>INV11687</t>
  </si>
  <si>
    <t>Americas</t>
  </si>
  <si>
    <t>INV12067</t>
  </si>
  <si>
    <t>INV11764</t>
  </si>
  <si>
    <t>INV11773</t>
  </si>
  <si>
    <t>INV11774</t>
  </si>
  <si>
    <t>INV11777</t>
  </si>
  <si>
    <t>INV11775</t>
  </si>
  <si>
    <t>INV11793</t>
  </si>
  <si>
    <t>INV11789</t>
  </si>
  <si>
    <t>INV11795</t>
  </si>
  <si>
    <t>INV11796</t>
  </si>
  <si>
    <t>INV11788</t>
  </si>
  <si>
    <t>INV11790</t>
  </si>
  <si>
    <t>INV11797</t>
  </si>
  <si>
    <t>INV11792</t>
  </si>
  <si>
    <t>INV11794</t>
  </si>
  <si>
    <t>INV11798</t>
  </si>
  <si>
    <t>INV11802</t>
  </si>
  <si>
    <t>INV11821</t>
  </si>
  <si>
    <t>INV11820</t>
  </si>
  <si>
    <t>INV11816</t>
  </si>
  <si>
    <t>INV11823</t>
  </si>
  <si>
    <t>INV11828</t>
  </si>
  <si>
    <t>INV11830</t>
  </si>
  <si>
    <t>INV11829</t>
  </si>
  <si>
    <t>INV11836</t>
  </si>
  <si>
    <t>INV11844</t>
  </si>
  <si>
    <t>INV11852</t>
  </si>
  <si>
    <t>INV11867</t>
  </si>
  <si>
    <t>INV11868</t>
  </si>
  <si>
    <t>INV11874</t>
  </si>
  <si>
    <t>INV12068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</si>
</sst>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€&quot;#,##0.00;\-&quot;€&quot;#,##0.00"/>
    <numFmt numFmtId="164" formatCode="&quot;$&quot;#,##0.00_);\(&quot;$&quot;#,##0.00\)"/>
    <numFmt numFmtId="165" formatCode="&quot;€&quot;#,##0.00"/>
    <numFmt numFmtId="166" formatCode="#,##0.00%"/>
  </numFmts>
  <fonts count="12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8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sz val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b/>
      <sz val="7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8"/>
      <name val="Arial"/>
    </font>
  </fonts>
  <fills count="4">
    <fill>
      <patternFill patternType="none"/>
    </fill>
    <fill>
      <patternFill patternType="gray125"/>
    </fill>
    <fill>
      <patternFill patternType="solid">
        <fgColor rgb="FFD0D0D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 style="dotted">
        <color rgb="FFC0C0C0"/>
      </top>
      <bottom/>
      <diagonal/>
    </border>
    <border>
      <left/>
      <right/>
      <top style="dotted">
        <color rgb="FF96969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0" borderId="0"/>
    <xf numFmtId="0" fontId="2" fillId="0" borderId="0"/>
    <xf numFmtId="0" fontId="3" fillId="0" borderId="0"/>
    <xf numFmtId="0" fontId="5" fillId="0" borderId="0"/>
    <xf numFmtId="0" fontId="11" fillId="0" borderId="0"/>
  </cellStyleXfs>
  <cellXfs count="43">
    <xf numFmtId="0" fontId="0" fillId="0" borderId="0" xfId="0"/>
    <xf numFmtId="0" fontId="1" fillId="0" borderId="0" xfId="1"/>
    <xf numFmtId="0" fontId="8" fillId="2" borderId="0" xfId="1" applyFont="1" applyFill="1" applyAlignment="1">
      <alignment horizontal="left"/>
    </xf>
    <xf numFmtId="0" fontId="8" fillId="2" borderId="0" xfId="1" applyFont="1" applyFill="1" applyAlignment="1">
      <alignment horizontal="right"/>
    </xf>
    <xf numFmtId="0" fontId="9" fillId="0" borderId="0" xfId="1" applyFont="1" applyAlignment="1">
      <alignment horizontal="left" vertical="center"/>
    </xf>
    <xf numFmtId="164" fontId="9" fillId="0" borderId="0" xfId="1" applyNumberFormat="1" applyFont="1" applyAlignment="1">
      <alignment horizontal="right" vertical="center"/>
    </xf>
    <xf numFmtId="0" fontId="9" fillId="0" borderId="0" xfId="1" applyFont="1" applyAlignment="1">
      <alignment horizontal="left" indent="1"/>
    </xf>
    <xf numFmtId="0" fontId="9" fillId="0" borderId="0" xfId="1" applyFont="1" applyAlignment="1">
      <alignment horizontal="left" indent="2"/>
    </xf>
    <xf numFmtId="0" fontId="9" fillId="0" borderId="0" xfId="1" applyFont="1" applyAlignment="1">
      <alignment horizontal="left" indent="3"/>
    </xf>
    <xf numFmtId="0" fontId="10" fillId="0" borderId="0" xfId="1" applyFont="1" applyAlignment="1">
      <alignment horizontal="left" indent="4"/>
    </xf>
    <xf numFmtId="164" fontId="10" fillId="0" borderId="0" xfId="1" applyNumberFormat="1" applyFont="1" applyAlignment="1">
      <alignment horizontal="right" vertical="center"/>
    </xf>
    <xf numFmtId="0" fontId="9" fillId="0" borderId="1" xfId="1" applyFont="1" applyBorder="1" applyAlignment="1">
      <alignment horizontal="left" indent="3"/>
    </xf>
    <xf numFmtId="164" fontId="9" fillId="0" borderId="1" xfId="1" applyNumberFormat="1" applyFont="1" applyBorder="1" applyAlignment="1">
      <alignment horizontal="right" vertical="center"/>
    </xf>
    <xf numFmtId="0" fontId="9" fillId="0" borderId="1" xfId="1" applyFont="1" applyBorder="1" applyAlignment="1">
      <alignment horizontal="left" indent="2"/>
    </xf>
    <xf numFmtId="0" fontId="9" fillId="0" borderId="0" xfId="1" applyFont="1" applyAlignment="1">
      <alignment horizontal="left" indent="4"/>
    </xf>
    <xf numFmtId="0" fontId="10" fillId="0" borderId="0" xfId="1" applyFont="1" applyAlignment="1">
      <alignment horizontal="left" indent="5"/>
    </xf>
    <xf numFmtId="0" fontId="9" fillId="0" borderId="1" xfId="1" applyFont="1" applyBorder="1" applyAlignment="1">
      <alignment horizontal="left" indent="4"/>
    </xf>
    <xf numFmtId="0" fontId="10" fillId="0" borderId="0" xfId="1" applyFont="1" applyAlignment="1">
      <alignment horizontal="left" indent="3"/>
    </xf>
    <xf numFmtId="0" fontId="9" fillId="0" borderId="2" xfId="1" applyFont="1" applyBorder="1" applyAlignment="1">
      <alignment horizontal="left" indent="1"/>
    </xf>
    <xf numFmtId="164" fontId="9" fillId="0" borderId="2" xfId="1" applyNumberFormat="1" applyFont="1" applyBorder="1" applyAlignment="1">
      <alignment horizontal="right" vertical="center"/>
    </xf>
    <xf numFmtId="0" fontId="9" fillId="0" borderId="1" xfId="1" applyFont="1" applyBorder="1" applyAlignment="1">
      <alignment horizontal="left" indent="1"/>
    </xf>
    <xf numFmtId="0" fontId="9" fillId="0" borderId="2" xfId="1" applyFont="1" applyBorder="1" applyAlignment="1">
      <alignment horizontal="left" vertical="center"/>
    </xf>
    <xf numFmtId="0" fontId="10" fillId="0" borderId="0" xfId="1" applyFont="1" applyAlignment="1">
      <alignment horizontal="left" indent="2"/>
    </xf>
    <xf numFmtId="0" fontId="10" fillId="0" borderId="0" xfId="1" applyFont="1" applyAlignment="1">
      <alignment horizontal="left" vertical="center"/>
    </xf>
    <xf numFmtId="14" fontId="10" fillId="0" borderId="0" xfId="1" applyNumberFormat="1" applyFont="1" applyAlignment="1">
      <alignment horizontal="left" vertical="center"/>
    </xf>
    <xf numFmtId="165" fontId="10" fillId="0" borderId="0" xfId="1" applyNumberFormat="1" applyFont="1" applyAlignment="1">
      <alignment horizontal="right" vertical="center"/>
    </xf>
    <xf numFmtId="166" fontId="10" fillId="0" borderId="0" xfId="1" applyNumberFormat="1" applyFont="1" applyAlignment="1">
      <alignment horizontal="right" vertical="center"/>
    </xf>
    <xf numFmtId="4" fontId="10" fillId="0" borderId="0" xfId="1" applyNumberFormat="1" applyFont="1" applyAlignment="1">
      <alignment horizontal="right" vertical="center"/>
    </xf>
    <xf numFmtId="0" fontId="10" fillId="0" borderId="0" xfId="1" applyFont="1" applyAlignment="1">
      <alignment horizontal="left" indent="1"/>
    </xf>
    <xf numFmtId="0" fontId="8" fillId="2" borderId="3" xfId="1" applyFont="1" applyFill="1" applyBorder="1" applyAlignment="1">
      <alignment horizontal="left"/>
    </xf>
    <xf numFmtId="0" fontId="8" fillId="3" borderId="3" xfId="1" applyFont="1" applyFill="1" applyBorder="1" applyAlignment="1">
      <alignment horizontal="right"/>
    </xf>
    <xf numFmtId="164" fontId="9" fillId="3" borderId="0" xfId="1" applyNumberFormat="1" applyFont="1" applyFill="1" applyAlignment="1">
      <alignment horizontal="right" vertical="center"/>
    </xf>
    <xf numFmtId="164" fontId="10" fillId="3" borderId="0" xfId="1" applyNumberFormat="1" applyFont="1" applyFill="1" applyAlignment="1">
      <alignment horizontal="right" vertical="center"/>
    </xf>
    <xf numFmtId="164" fontId="9" fillId="3" borderId="1" xfId="1" applyNumberFormat="1" applyFont="1" applyFill="1" applyBorder="1" applyAlignment="1">
      <alignment horizontal="right" vertical="center"/>
    </xf>
    <xf numFmtId="164" fontId="9" fillId="3" borderId="2" xfId="1" applyNumberFormat="1" applyFont="1" applyFill="1" applyBorder="1" applyAlignment="1">
      <alignment horizontal="right" vertical="center"/>
    </xf>
    <xf numFmtId="165" fontId="1" fillId="0" borderId="0" xfId="1" applyNumberFormat="1"/>
    <xf numFmtId="7" fontId="0" fillId="0" borderId="0" xfId="0" applyNumberFormat="1"/>
    <xf numFmtId="0" fontId="8" fillId="2" borderId="3" xfId="1" applyFont="1" applyFill="1" applyBorder="1" applyAlignment="1">
      <alignment horizontal="right"/>
    </xf>
    <xf numFmtId="0" fontId="8" fillId="2" borderId="3" xfId="1" applyFont="1" applyFill="1" applyBorder="1" applyAlignment="1">
      <alignment horizontal="center"/>
    </xf>
    <xf numFmtId="0" fontId="8" fillId="2" borderId="3" xfId="1" applyFont="1" applyFill="1" applyBorder="1" applyAlignment="1">
      <alignment horizontal="right"/>
    </xf>
    <xf numFmtId="0" fontId="8" fillId="2" borderId="3" xfId="1" applyFont="1" applyFill="1" applyBorder="1" applyAlignment="1">
      <alignment horizontal="center"/>
    </xf>
    <xf numFmtId="0" fontId="6" fillId="0" borderId="0" xfId="1" applyFont="1" applyAlignment="1">
      <alignment horizontal="center"/>
    </xf>
    <xf numFmtId="0" fontId="7" fillId="0" borderId="0" xfId="1" applyFont="1" applyAlignment="1">
      <alignment horizontal="center"/>
    </xf>
  </cellXfs>
  <cellStyles count="6">
    <cellStyle name="Normal" xfId="0" builtinId="0"/>
    <cellStyle name="Normal 2" xfId="1" xr:uid="{AF02BC09-1C02-4B7D-B459-5D5154600EAD}"/>
    <cellStyle name="Normal 3" xfId="2" xr:uid="{3CF90A99-F3D7-43D5-B118-934D55A259B3}"/>
    <cellStyle name="Normal 4" xfId="3" xr:uid="{8952BF35-1861-4AE9-A82F-0B097E7C2D9A}"/>
    <cellStyle name="Normal 5" xfId="4" xr:uid="{0F91B580-BFEB-4E28-9CAB-7333BA9E1E02}"/>
    <cellStyle name="Normal 6" xfId="5" xr:uid="{2D469CC5-9D8F-4480-8C15-73953A095E2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539750</xdr:colOff>
          <xdr:row>4</xdr:row>
          <xdr:rowOff>82550</xdr:rowOff>
        </xdr:from>
        <xdr:to>
          <xdr:col>14</xdr:col>
          <xdr:colOff>127000</xdr:colOff>
          <xdr:row>10</xdr:row>
          <xdr:rowOff>63500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Consolidating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03A3F-952E-4799-B035-00552801F337}">
  <sheetPr codeName="Sheet14"/>
  <dimension ref="A1"/>
  <sheetViews>
    <sheetView workbookViewId="0">
      <selection activeCell="J11" sqref="J11"/>
    </sheetView>
  </sheetViews>
  <sheetFormatPr defaultRowHeight="14.5" x14ac:dyDescent="0.3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terface">
                <anchor moveWithCells="1" sizeWithCells="1">
                  <from>
                    <xdr:col>3</xdr:col>
                    <xdr:colOff>539750</xdr:colOff>
                    <xdr:row>4</xdr:row>
                    <xdr:rowOff>82550</xdr:rowOff>
                  </from>
                  <to>
                    <xdr:col>14</xdr:col>
                    <xdr:colOff>127000</xdr:colOff>
                    <xdr:row>10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0840C-50A6-489B-8AEF-2C1CAD6D20C5}">
  <sheetPr codeName="Sheet1"/>
  <dimension ref="A1:Q235"/>
  <sheetViews>
    <sheetView tabSelected="1" workbookViewId="0">
      <selection activeCell="P12" sqref="P12:P236"/>
    </sheetView>
  </sheetViews>
  <sheetFormatPr defaultRowHeight="14.5" x14ac:dyDescent="0.35"/>
  <cols>
    <col min="1" max="1" width="46.54296875" bestFit="1" customWidth="1"/>
    <col min="2" max="2" width="11" bestFit="1" customWidth="1"/>
    <col min="3" max="3" width="22.26953125" bestFit="1" customWidth="1"/>
    <col min="4" max="4" width="10.54296875" bestFit="1" customWidth="1"/>
    <col min="5" max="5" width="19.6328125" bestFit="1" customWidth="1"/>
    <col min="6" max="6" width="14" bestFit="1" customWidth="1"/>
    <col min="7" max="7" width="9.81640625" bestFit="1" customWidth="1"/>
    <col min="8" max="8" width="17.81640625" bestFit="1" customWidth="1"/>
    <col min="9" max="9" width="15.36328125" bestFit="1" customWidth="1"/>
    <col min="10" max="11" width="11" bestFit="1" customWidth="1"/>
    <col min="12" max="12" width="9.81640625" bestFit="1" customWidth="1"/>
    <col min="13" max="13" width="27.1796875" bestFit="1" customWidth="1"/>
    <col min="14" max="14" width="9" bestFit="1" customWidth="1"/>
    <col min="15" max="15" width="9.81640625" bestFit="1" customWidth="1"/>
    <col min="16" max="17" width="11" bestFit="1" customWidth="1"/>
  </cols>
  <sheetData>
    <row r="1" spans="1:17" s="1" customFormat="1" ht="15.5" x14ac:dyDescent="0.35">
      <c r="A1" s="41" t="s">
        <v>0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</row>
    <row r="2" spans="1:17" s="1" customFormat="1" ht="15.5" x14ac:dyDescent="0.35">
      <c r="A2" s="41" t="s">
        <v>1</v>
      </c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</row>
    <row r="3" spans="1:17" s="1" customFormat="1" ht="18" x14ac:dyDescent="0.4">
      <c r="A3" s="42" t="s">
        <v>2</v>
      </c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</row>
    <row r="4" spans="1:17" s="1" customFormat="1" ht="18" x14ac:dyDescent="0.4">
      <c r="A4" s="42" t="s">
        <v>450</v>
      </c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</row>
    <row r="5" spans="1:17" s="1" customFormat="1" ht="18" x14ac:dyDescent="0.4">
      <c r="A5" s="42" t="s">
        <v>3</v>
      </c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</row>
    <row r="6" spans="1:17" s="1" customFormat="1" ht="18" x14ac:dyDescent="0.4">
      <c r="A6" s="42" t="s">
        <v>3</v>
      </c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</row>
    <row r="7" spans="1:17" s="1" customFormat="1" ht="10" x14ac:dyDescent="0.2">
      <c r="A7" s="29" t="s">
        <v>5</v>
      </c>
      <c r="B7" s="40" t="s">
        <v>7</v>
      </c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</row>
    <row r="8" spans="1:17" s="1" customFormat="1" ht="10" x14ac:dyDescent="0.2">
      <c r="A8" s="29" t="s">
        <v>5</v>
      </c>
      <c r="B8" s="39" t="s">
        <v>6</v>
      </c>
      <c r="C8" s="37" t="s">
        <v>9</v>
      </c>
      <c r="D8" s="40" t="s">
        <v>0</v>
      </c>
      <c r="E8" s="40"/>
      <c r="F8" s="40"/>
      <c r="G8" s="40"/>
      <c r="H8" s="40"/>
      <c r="I8" s="40"/>
      <c r="J8" s="40"/>
      <c r="K8" s="40"/>
      <c r="L8" s="40" t="s">
        <v>10</v>
      </c>
      <c r="M8" s="40"/>
      <c r="N8" s="40"/>
      <c r="O8" s="40"/>
      <c r="P8" s="38"/>
      <c r="Q8" s="37" t="s">
        <v>8</v>
      </c>
    </row>
    <row r="9" spans="1:17" s="1" customFormat="1" ht="10" x14ac:dyDescent="0.2">
      <c r="A9" s="29" t="s">
        <v>5</v>
      </c>
      <c r="B9" s="39"/>
      <c r="C9" s="39" t="s">
        <v>6</v>
      </c>
      <c r="D9" s="39" t="s">
        <v>6</v>
      </c>
      <c r="E9" s="37" t="s">
        <v>11</v>
      </c>
      <c r="F9" s="37" t="s">
        <v>12</v>
      </c>
      <c r="G9" s="37" t="s">
        <v>13</v>
      </c>
      <c r="H9" s="37" t="s">
        <v>14</v>
      </c>
      <c r="I9" s="37" t="s">
        <v>15</v>
      </c>
      <c r="J9" s="37"/>
      <c r="K9" s="37" t="s">
        <v>8</v>
      </c>
      <c r="L9" s="39" t="s">
        <v>6</v>
      </c>
      <c r="M9" s="37" t="s">
        <v>16</v>
      </c>
      <c r="N9" s="37"/>
      <c r="O9" s="37" t="s">
        <v>8</v>
      </c>
      <c r="P9" s="37"/>
      <c r="Q9" s="39" t="s">
        <v>6</v>
      </c>
    </row>
    <row r="10" spans="1:17" s="1" customFormat="1" ht="10" x14ac:dyDescent="0.2">
      <c r="A10" s="29" t="s">
        <v>5</v>
      </c>
      <c r="B10" s="39"/>
      <c r="C10" s="39"/>
      <c r="D10" s="39"/>
      <c r="E10" s="37" t="s">
        <v>6</v>
      </c>
      <c r="F10" s="37" t="s">
        <v>6</v>
      </c>
      <c r="G10" s="37" t="s">
        <v>6</v>
      </c>
      <c r="H10" s="37" t="s">
        <v>6</v>
      </c>
      <c r="I10" s="37" t="s">
        <v>6</v>
      </c>
      <c r="J10" s="30" t="s">
        <v>418</v>
      </c>
      <c r="K10" s="37" t="s">
        <v>6</v>
      </c>
      <c r="L10" s="39"/>
      <c r="M10" s="37" t="s">
        <v>6</v>
      </c>
      <c r="N10" s="30" t="s">
        <v>418</v>
      </c>
      <c r="O10" s="37" t="s">
        <v>6</v>
      </c>
      <c r="P10" s="30" t="s">
        <v>418</v>
      </c>
      <c r="Q10" s="39"/>
    </row>
    <row r="11" spans="1:17" s="1" customFormat="1" ht="10.5" x14ac:dyDescent="0.2">
      <c r="A11" s="4" t="s">
        <v>17</v>
      </c>
      <c r="B11" s="5"/>
      <c r="C11" s="5"/>
      <c r="D11" s="5"/>
      <c r="E11" s="5"/>
      <c r="F11" s="5"/>
      <c r="G11" s="5"/>
      <c r="H11" s="5"/>
      <c r="I11" s="5"/>
      <c r="J11" s="31"/>
      <c r="K11" s="5"/>
      <c r="L11" s="5"/>
      <c r="M11" s="5"/>
      <c r="N11" s="31"/>
      <c r="O11" s="5"/>
      <c r="P11" s="31"/>
      <c r="Q11" s="5"/>
    </row>
    <row r="12" spans="1:17" s="1" customFormat="1" ht="10.5" x14ac:dyDescent="0.25">
      <c r="A12" s="6" t="s">
        <v>18</v>
      </c>
      <c r="B12" s="5"/>
      <c r="C12" s="5"/>
      <c r="D12" s="5"/>
      <c r="E12" s="5"/>
      <c r="F12" s="5"/>
      <c r="G12" s="5"/>
      <c r="H12" s="5"/>
      <c r="I12" s="5"/>
      <c r="J12" s="31"/>
      <c r="K12" s="5"/>
      <c r="L12" s="5"/>
      <c r="M12" s="5"/>
      <c r="N12" s="31"/>
      <c r="O12" s="5"/>
      <c r="P12" s="31"/>
      <c r="Q12" s="5"/>
    </row>
    <row r="13" spans="1:17" s="1" customFormat="1" ht="10.5" x14ac:dyDescent="0.25">
      <c r="A13" s="7" t="s">
        <v>19</v>
      </c>
      <c r="B13" s="5"/>
      <c r="C13" s="5"/>
      <c r="D13" s="5"/>
      <c r="E13" s="5"/>
      <c r="F13" s="5"/>
      <c r="G13" s="5"/>
      <c r="H13" s="5"/>
      <c r="I13" s="5"/>
      <c r="J13" s="31"/>
      <c r="K13" s="5">
        <f t="shared" ref="K13:K76" si="0">SUM(D13:J13)</f>
        <v>0</v>
      </c>
      <c r="L13" s="5"/>
      <c r="M13" s="5"/>
      <c r="N13" s="31"/>
      <c r="O13" s="5">
        <f t="shared" ref="O13:O76" si="1">SUM(L13:N13)</f>
        <v>0</v>
      </c>
      <c r="P13" s="31"/>
      <c r="Q13" s="5">
        <f t="shared" ref="Q13:Q76" si="2">SUM(B13,K13,O13,P13)+C13</f>
        <v>0</v>
      </c>
    </row>
    <row r="14" spans="1:17" s="1" customFormat="1" ht="10.5" x14ac:dyDescent="0.25">
      <c r="A14" s="8" t="s">
        <v>20</v>
      </c>
      <c r="B14" s="5"/>
      <c r="C14" s="5"/>
      <c r="D14" s="5"/>
      <c r="E14" s="5"/>
      <c r="F14" s="5"/>
      <c r="G14" s="5"/>
      <c r="H14" s="5"/>
      <c r="I14" s="5"/>
      <c r="J14" s="31"/>
      <c r="K14" s="5">
        <f t="shared" si="0"/>
        <v>0</v>
      </c>
      <c r="L14" s="5"/>
      <c r="M14" s="5"/>
      <c r="N14" s="31"/>
      <c r="O14" s="5">
        <f t="shared" si="1"/>
        <v>0</v>
      </c>
      <c r="P14" s="31"/>
      <c r="Q14" s="5">
        <f t="shared" si="2"/>
        <v>0</v>
      </c>
    </row>
    <row r="15" spans="1:17" s="1" customFormat="1" ht="10" x14ac:dyDescent="0.2">
      <c r="A15" s="9" t="s">
        <v>21</v>
      </c>
      <c r="B15" s="10">
        <v>0</v>
      </c>
      <c r="C15" s="10">
        <v>0</v>
      </c>
      <c r="D15" s="10">
        <v>10738.142362799999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32"/>
      <c r="K15" s="10">
        <f t="shared" si="0"/>
        <v>10738.142362799999</v>
      </c>
      <c r="L15" s="10">
        <v>0</v>
      </c>
      <c r="M15" s="10">
        <v>0</v>
      </c>
      <c r="N15" s="32"/>
      <c r="O15" s="10">
        <f t="shared" si="1"/>
        <v>0</v>
      </c>
      <c r="P15" s="32"/>
      <c r="Q15" s="10">
        <f t="shared" si="2"/>
        <v>10738.142362799999</v>
      </c>
    </row>
    <row r="16" spans="1:17" s="1" customFormat="1" ht="10" x14ac:dyDescent="0.2">
      <c r="A16" s="9" t="s">
        <v>22</v>
      </c>
      <c r="B16" s="10">
        <v>0</v>
      </c>
      <c r="C16" s="10">
        <v>0</v>
      </c>
      <c r="D16" s="10">
        <v>89075.357887799997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32"/>
      <c r="K16" s="10">
        <f t="shared" si="0"/>
        <v>89075.357887799997</v>
      </c>
      <c r="L16" s="10">
        <v>0</v>
      </c>
      <c r="M16" s="10">
        <v>0</v>
      </c>
      <c r="N16" s="32"/>
      <c r="O16" s="10">
        <f t="shared" si="1"/>
        <v>0</v>
      </c>
      <c r="P16" s="32"/>
      <c r="Q16" s="10">
        <f t="shared" si="2"/>
        <v>89075.357887799997</v>
      </c>
    </row>
    <row r="17" spans="1:17" s="1" customFormat="1" ht="10" x14ac:dyDescent="0.2">
      <c r="A17" s="9" t="s">
        <v>23</v>
      </c>
      <c r="B17" s="10">
        <v>0</v>
      </c>
      <c r="C17" s="10">
        <v>0</v>
      </c>
      <c r="D17" s="10">
        <v>58.563019500000003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32"/>
      <c r="K17" s="10">
        <f t="shared" si="0"/>
        <v>58.563019500000003</v>
      </c>
      <c r="L17" s="10">
        <v>0</v>
      </c>
      <c r="M17" s="10">
        <v>0</v>
      </c>
      <c r="N17" s="32"/>
      <c r="O17" s="10">
        <f t="shared" si="1"/>
        <v>0</v>
      </c>
      <c r="P17" s="32"/>
      <c r="Q17" s="10">
        <f t="shared" si="2"/>
        <v>58.563019500000003</v>
      </c>
    </row>
    <row r="18" spans="1:17" s="1" customFormat="1" ht="10" x14ac:dyDescent="0.2">
      <c r="A18" s="9" t="s">
        <v>24</v>
      </c>
      <c r="B18" s="10">
        <v>0</v>
      </c>
      <c r="C18" s="10">
        <v>0</v>
      </c>
      <c r="D18" s="10">
        <v>-747400.63656420005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32"/>
      <c r="K18" s="10">
        <f t="shared" si="0"/>
        <v>-747400.63656420005</v>
      </c>
      <c r="L18" s="10">
        <v>0</v>
      </c>
      <c r="M18" s="10">
        <v>0</v>
      </c>
      <c r="N18" s="32"/>
      <c r="O18" s="10">
        <f t="shared" si="1"/>
        <v>0</v>
      </c>
      <c r="P18" s="32"/>
      <c r="Q18" s="10">
        <f t="shared" si="2"/>
        <v>-747400.63656420005</v>
      </c>
    </row>
    <row r="19" spans="1:17" s="1" customFormat="1" ht="10" x14ac:dyDescent="0.2">
      <c r="A19" s="9" t="s">
        <v>25</v>
      </c>
      <c r="B19" s="10">
        <v>0</v>
      </c>
      <c r="C19" s="10">
        <v>0</v>
      </c>
      <c r="D19" s="10">
        <v>9153.7896149999997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32"/>
      <c r="K19" s="10">
        <f t="shared" si="0"/>
        <v>9153.7896149999997</v>
      </c>
      <c r="L19" s="10">
        <v>0</v>
      </c>
      <c r="M19" s="10">
        <v>0</v>
      </c>
      <c r="N19" s="32"/>
      <c r="O19" s="10">
        <f t="shared" si="1"/>
        <v>0</v>
      </c>
      <c r="P19" s="32"/>
      <c r="Q19" s="10">
        <f t="shared" si="2"/>
        <v>9153.7896149999997</v>
      </c>
    </row>
    <row r="20" spans="1:17" s="1" customFormat="1" ht="10" x14ac:dyDescent="0.2">
      <c r="A20" s="9" t="s">
        <v>26</v>
      </c>
      <c r="B20" s="10">
        <v>0</v>
      </c>
      <c r="C20" s="10">
        <v>0</v>
      </c>
      <c r="D20" s="10">
        <v>0</v>
      </c>
      <c r="E20" s="10">
        <v>-20084.438844600001</v>
      </c>
      <c r="F20" s="10">
        <v>0</v>
      </c>
      <c r="G20" s="10">
        <v>0</v>
      </c>
      <c r="H20" s="10">
        <v>0</v>
      </c>
      <c r="I20" s="10">
        <v>0</v>
      </c>
      <c r="J20" s="32"/>
      <c r="K20" s="10">
        <f t="shared" si="0"/>
        <v>-20084.438844600001</v>
      </c>
      <c r="L20" s="10">
        <v>0</v>
      </c>
      <c r="M20" s="10">
        <v>0</v>
      </c>
      <c r="N20" s="32"/>
      <c r="O20" s="10">
        <f t="shared" si="1"/>
        <v>0</v>
      </c>
      <c r="P20" s="32"/>
      <c r="Q20" s="10">
        <f t="shared" si="2"/>
        <v>-20084.438844600001</v>
      </c>
    </row>
    <row r="21" spans="1:17" s="1" customFormat="1" ht="10" x14ac:dyDescent="0.2">
      <c r="A21" s="9" t="s">
        <v>27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47431.037853305206</v>
      </c>
      <c r="J21" s="32"/>
      <c r="K21" s="10">
        <f t="shared" si="0"/>
        <v>47431.037853305206</v>
      </c>
      <c r="L21" s="10">
        <v>0</v>
      </c>
      <c r="M21" s="10">
        <v>0</v>
      </c>
      <c r="N21" s="32"/>
      <c r="O21" s="10">
        <f t="shared" si="1"/>
        <v>0</v>
      </c>
      <c r="P21" s="32"/>
      <c r="Q21" s="10">
        <f t="shared" si="2"/>
        <v>47431.037853305206</v>
      </c>
    </row>
    <row r="22" spans="1:17" s="1" customFormat="1" ht="10" x14ac:dyDescent="0.2">
      <c r="A22" s="9" t="s">
        <v>28</v>
      </c>
      <c r="B22" s="10">
        <v>202.16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32"/>
      <c r="K22" s="10">
        <f t="shared" si="0"/>
        <v>0</v>
      </c>
      <c r="L22" s="10">
        <v>0</v>
      </c>
      <c r="M22" s="10">
        <v>0</v>
      </c>
      <c r="N22" s="32"/>
      <c r="O22" s="10">
        <f t="shared" si="1"/>
        <v>0</v>
      </c>
      <c r="P22" s="32"/>
      <c r="Q22" s="10">
        <f t="shared" si="2"/>
        <v>202.16</v>
      </c>
    </row>
    <row r="23" spans="1:17" s="1" customFormat="1" ht="10" x14ac:dyDescent="0.2">
      <c r="A23" s="9" t="s">
        <v>29</v>
      </c>
      <c r="B23" s="10">
        <v>500615.67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32"/>
      <c r="K23" s="10">
        <f t="shared" si="0"/>
        <v>0</v>
      </c>
      <c r="L23" s="10">
        <v>0</v>
      </c>
      <c r="M23" s="10">
        <v>0</v>
      </c>
      <c r="N23" s="32"/>
      <c r="O23" s="10">
        <f t="shared" si="1"/>
        <v>0</v>
      </c>
      <c r="P23" s="32"/>
      <c r="Q23" s="10">
        <f t="shared" si="2"/>
        <v>500615.67</v>
      </c>
    </row>
    <row r="24" spans="1:17" s="1" customFormat="1" ht="10" x14ac:dyDescent="0.2">
      <c r="A24" s="9" t="s">
        <v>30</v>
      </c>
      <c r="B24" s="10">
        <v>714.47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32"/>
      <c r="K24" s="10">
        <f t="shared" si="0"/>
        <v>0</v>
      </c>
      <c r="L24" s="10">
        <v>0</v>
      </c>
      <c r="M24" s="10">
        <v>0</v>
      </c>
      <c r="N24" s="32"/>
      <c r="O24" s="10">
        <f t="shared" si="1"/>
        <v>0</v>
      </c>
      <c r="P24" s="32"/>
      <c r="Q24" s="10">
        <f t="shared" si="2"/>
        <v>714.47</v>
      </c>
    </row>
    <row r="25" spans="1:17" s="1" customFormat="1" ht="10" x14ac:dyDescent="0.2">
      <c r="A25" s="9" t="s">
        <v>31</v>
      </c>
      <c r="B25" s="10">
        <v>0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3771.4245716999999</v>
      </c>
      <c r="I25" s="10">
        <v>0</v>
      </c>
      <c r="J25" s="32"/>
      <c r="K25" s="10">
        <f t="shared" si="0"/>
        <v>3771.4245716999999</v>
      </c>
      <c r="L25" s="10">
        <v>0</v>
      </c>
      <c r="M25" s="10">
        <v>0</v>
      </c>
      <c r="N25" s="32"/>
      <c r="O25" s="10">
        <f t="shared" si="1"/>
        <v>0</v>
      </c>
      <c r="P25" s="32"/>
      <c r="Q25" s="10">
        <f t="shared" si="2"/>
        <v>3771.4245716999999</v>
      </c>
    </row>
    <row r="26" spans="1:17" s="1" customFormat="1" ht="10" x14ac:dyDescent="0.2">
      <c r="A26" s="9" t="s">
        <v>32</v>
      </c>
      <c r="B26" s="10">
        <v>0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0.15812580000000001</v>
      </c>
      <c r="I26" s="10">
        <v>0</v>
      </c>
      <c r="J26" s="32"/>
      <c r="K26" s="10">
        <f t="shared" si="0"/>
        <v>0.15812580000000001</v>
      </c>
      <c r="L26" s="10">
        <v>0</v>
      </c>
      <c r="M26" s="10">
        <v>0</v>
      </c>
      <c r="N26" s="32"/>
      <c r="O26" s="10">
        <f t="shared" si="1"/>
        <v>0</v>
      </c>
      <c r="P26" s="32"/>
      <c r="Q26" s="10">
        <f t="shared" si="2"/>
        <v>0.15812580000000001</v>
      </c>
    </row>
    <row r="27" spans="1:17" s="1" customFormat="1" ht="10" x14ac:dyDescent="0.2">
      <c r="A27" s="9" t="s">
        <v>33</v>
      </c>
      <c r="B27" s="10">
        <v>0</v>
      </c>
      <c r="C27" s="10">
        <v>0</v>
      </c>
      <c r="D27" s="10">
        <v>0</v>
      </c>
      <c r="E27" s="10">
        <v>0</v>
      </c>
      <c r="F27" s="10">
        <v>11678.835460382255</v>
      </c>
      <c r="G27" s="10">
        <v>0</v>
      </c>
      <c r="H27" s="10">
        <v>0</v>
      </c>
      <c r="I27" s="10">
        <v>0</v>
      </c>
      <c r="J27" s="32"/>
      <c r="K27" s="10">
        <f t="shared" si="0"/>
        <v>11678.835460382255</v>
      </c>
      <c r="L27" s="10">
        <v>0</v>
      </c>
      <c r="M27" s="10">
        <v>0</v>
      </c>
      <c r="N27" s="32"/>
      <c r="O27" s="10">
        <f t="shared" si="1"/>
        <v>0</v>
      </c>
      <c r="P27" s="32"/>
      <c r="Q27" s="10">
        <f t="shared" si="2"/>
        <v>11678.835460382255</v>
      </c>
    </row>
    <row r="28" spans="1:17" s="1" customFormat="1" ht="10" x14ac:dyDescent="0.2">
      <c r="A28" s="9" t="s">
        <v>34</v>
      </c>
      <c r="B28" s="10">
        <v>0</v>
      </c>
      <c r="C28" s="10">
        <v>0</v>
      </c>
      <c r="D28" s="10">
        <v>0</v>
      </c>
      <c r="E28" s="10">
        <v>0</v>
      </c>
      <c r="F28" s="10">
        <v>788.69465656485329</v>
      </c>
      <c r="G28" s="10">
        <v>0</v>
      </c>
      <c r="H28" s="10">
        <v>0</v>
      </c>
      <c r="I28" s="10">
        <v>0</v>
      </c>
      <c r="J28" s="32"/>
      <c r="K28" s="10">
        <f t="shared" si="0"/>
        <v>788.69465656485329</v>
      </c>
      <c r="L28" s="10">
        <v>0</v>
      </c>
      <c r="M28" s="10">
        <v>0</v>
      </c>
      <c r="N28" s="32"/>
      <c r="O28" s="10">
        <f t="shared" si="1"/>
        <v>0</v>
      </c>
      <c r="P28" s="32"/>
      <c r="Q28" s="10">
        <f t="shared" si="2"/>
        <v>788.69465656485329</v>
      </c>
    </row>
    <row r="29" spans="1:17" s="1" customFormat="1" ht="10" x14ac:dyDescent="0.2">
      <c r="A29" s="9" t="s">
        <v>35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2802.6404682948805</v>
      </c>
      <c r="H29" s="10">
        <v>0</v>
      </c>
      <c r="I29" s="10">
        <v>0</v>
      </c>
      <c r="J29" s="32"/>
      <c r="K29" s="10">
        <f t="shared" si="0"/>
        <v>2802.6404682948805</v>
      </c>
      <c r="L29" s="10">
        <v>0</v>
      </c>
      <c r="M29" s="10">
        <v>0</v>
      </c>
      <c r="N29" s="32"/>
      <c r="O29" s="10">
        <f t="shared" si="1"/>
        <v>0</v>
      </c>
      <c r="P29" s="32"/>
      <c r="Q29" s="10">
        <f t="shared" si="2"/>
        <v>2802.6404682948805</v>
      </c>
    </row>
    <row r="30" spans="1:17" s="1" customFormat="1" ht="10" x14ac:dyDescent="0.2">
      <c r="A30" s="9" t="s">
        <v>36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40323.973703635093</v>
      </c>
      <c r="H30" s="10">
        <v>0</v>
      </c>
      <c r="I30" s="10">
        <v>0</v>
      </c>
      <c r="J30" s="32"/>
      <c r="K30" s="10">
        <f t="shared" si="0"/>
        <v>40323.973703635093</v>
      </c>
      <c r="L30" s="10">
        <v>0</v>
      </c>
      <c r="M30" s="10">
        <v>0</v>
      </c>
      <c r="N30" s="32"/>
      <c r="O30" s="10">
        <f t="shared" si="1"/>
        <v>0</v>
      </c>
      <c r="P30" s="32"/>
      <c r="Q30" s="10">
        <f t="shared" si="2"/>
        <v>40323.973703635093</v>
      </c>
    </row>
    <row r="31" spans="1:17" s="1" customFormat="1" ht="10" x14ac:dyDescent="0.2">
      <c r="A31" s="9" t="s">
        <v>37</v>
      </c>
      <c r="B31" s="10">
        <v>0</v>
      </c>
      <c r="C31" s="10">
        <v>0</v>
      </c>
      <c r="D31" s="10">
        <v>0</v>
      </c>
      <c r="E31" s="10">
        <v>0</v>
      </c>
      <c r="F31" s="10">
        <v>-528.85947944220118</v>
      </c>
      <c r="G31" s="10">
        <v>0</v>
      </c>
      <c r="H31" s="10">
        <v>0</v>
      </c>
      <c r="I31" s="10">
        <v>0</v>
      </c>
      <c r="J31" s="32"/>
      <c r="K31" s="10">
        <f t="shared" si="0"/>
        <v>-528.85947944220118</v>
      </c>
      <c r="L31" s="10">
        <v>0</v>
      </c>
      <c r="M31" s="10">
        <v>0</v>
      </c>
      <c r="N31" s="32"/>
      <c r="O31" s="10">
        <f t="shared" si="1"/>
        <v>0</v>
      </c>
      <c r="P31" s="32"/>
      <c r="Q31" s="10">
        <f t="shared" si="2"/>
        <v>-528.85947944220118</v>
      </c>
    </row>
    <row r="32" spans="1:17" s="1" customFormat="1" ht="10" x14ac:dyDescent="0.2">
      <c r="A32" s="9" t="s">
        <v>437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-212.4358008475032</v>
      </c>
      <c r="H32" s="10">
        <v>0</v>
      </c>
      <c r="I32" s="10">
        <v>0</v>
      </c>
      <c r="J32" s="32"/>
      <c r="K32" s="10">
        <f t="shared" si="0"/>
        <v>-212.4358008475032</v>
      </c>
      <c r="L32" s="10">
        <v>0</v>
      </c>
      <c r="M32" s="10">
        <v>0</v>
      </c>
      <c r="N32" s="32"/>
      <c r="O32" s="10">
        <f t="shared" si="1"/>
        <v>0</v>
      </c>
      <c r="P32" s="32"/>
      <c r="Q32" s="10">
        <f t="shared" si="2"/>
        <v>-212.4358008475032</v>
      </c>
    </row>
    <row r="33" spans="1:17" s="1" customFormat="1" ht="10.5" x14ac:dyDescent="0.25">
      <c r="A33" s="11" t="s">
        <v>38</v>
      </c>
      <c r="B33" s="12">
        <f t="shared" ref="B33:Q33" si="3">SUM(B15:B32)</f>
        <v>501532.29999999993</v>
      </c>
      <c r="C33" s="12">
        <f t="shared" si="3"/>
        <v>0</v>
      </c>
      <c r="D33" s="12">
        <f t="shared" si="3"/>
        <v>-638374.78367909999</v>
      </c>
      <c r="E33" s="12">
        <f t="shared" si="3"/>
        <v>-20084.438844600001</v>
      </c>
      <c r="F33" s="12">
        <f t="shared" si="3"/>
        <v>11938.670637504909</v>
      </c>
      <c r="G33" s="12">
        <f t="shared" si="3"/>
        <v>42914.178371082467</v>
      </c>
      <c r="H33" s="12">
        <f t="shared" si="3"/>
        <v>3771.5826975</v>
      </c>
      <c r="I33" s="12">
        <f t="shared" si="3"/>
        <v>47431.037853305206</v>
      </c>
      <c r="J33" s="33">
        <f t="shared" si="3"/>
        <v>0</v>
      </c>
      <c r="K33" s="12">
        <f t="shared" si="0"/>
        <v>-552403.75296430732</v>
      </c>
      <c r="L33" s="12">
        <f t="shared" si="3"/>
        <v>0</v>
      </c>
      <c r="M33" s="12">
        <f t="shared" si="3"/>
        <v>0</v>
      </c>
      <c r="N33" s="33">
        <f t="shared" si="3"/>
        <v>0</v>
      </c>
      <c r="O33" s="12">
        <f t="shared" si="1"/>
        <v>0</v>
      </c>
      <c r="P33" s="33">
        <f t="shared" si="3"/>
        <v>0</v>
      </c>
      <c r="Q33" s="12">
        <f t="shared" si="2"/>
        <v>-50871.452964307391</v>
      </c>
    </row>
    <row r="34" spans="1:17" s="1" customFormat="1" ht="10.5" x14ac:dyDescent="0.25">
      <c r="A34" s="13" t="s">
        <v>39</v>
      </c>
      <c r="B34" s="12">
        <f t="shared" ref="B34:Q34" si="4">SUM(B33)</f>
        <v>501532.29999999993</v>
      </c>
      <c r="C34" s="12">
        <f t="shared" si="4"/>
        <v>0</v>
      </c>
      <c r="D34" s="12">
        <f t="shared" si="4"/>
        <v>-638374.78367909999</v>
      </c>
      <c r="E34" s="12">
        <f t="shared" si="4"/>
        <v>-20084.438844600001</v>
      </c>
      <c r="F34" s="12">
        <f t="shared" si="4"/>
        <v>11938.670637504909</v>
      </c>
      <c r="G34" s="12">
        <f t="shared" si="4"/>
        <v>42914.178371082467</v>
      </c>
      <c r="H34" s="12">
        <f t="shared" si="4"/>
        <v>3771.5826975</v>
      </c>
      <c r="I34" s="12">
        <f t="shared" si="4"/>
        <v>47431.037853305206</v>
      </c>
      <c r="J34" s="33">
        <f t="shared" si="4"/>
        <v>0</v>
      </c>
      <c r="K34" s="12">
        <f t="shared" si="0"/>
        <v>-552403.75296430732</v>
      </c>
      <c r="L34" s="12">
        <f t="shared" si="4"/>
        <v>0</v>
      </c>
      <c r="M34" s="12">
        <f t="shared" si="4"/>
        <v>0</v>
      </c>
      <c r="N34" s="33">
        <f t="shared" si="4"/>
        <v>0</v>
      </c>
      <c r="O34" s="12">
        <f t="shared" si="1"/>
        <v>0</v>
      </c>
      <c r="P34" s="33">
        <f t="shared" si="4"/>
        <v>0</v>
      </c>
      <c r="Q34" s="12">
        <f t="shared" si="2"/>
        <v>-50871.452964307391</v>
      </c>
    </row>
    <row r="35" spans="1:17" s="1" customFormat="1" ht="10.5" x14ac:dyDescent="0.25">
      <c r="A35" s="7" t="s">
        <v>40</v>
      </c>
      <c r="B35" s="5"/>
      <c r="C35" s="5"/>
      <c r="D35" s="5"/>
      <c r="E35" s="5"/>
      <c r="F35" s="5"/>
      <c r="G35" s="5"/>
      <c r="H35" s="5"/>
      <c r="I35" s="5"/>
      <c r="J35" s="31"/>
      <c r="K35" s="5">
        <f t="shared" si="0"/>
        <v>0</v>
      </c>
      <c r="L35" s="5"/>
      <c r="M35" s="5"/>
      <c r="N35" s="31"/>
      <c r="O35" s="5">
        <f t="shared" si="1"/>
        <v>0</v>
      </c>
      <c r="P35" s="31"/>
      <c r="Q35" s="5">
        <f t="shared" si="2"/>
        <v>0</v>
      </c>
    </row>
    <row r="36" spans="1:17" s="1" customFormat="1" ht="10.5" x14ac:dyDescent="0.25">
      <c r="A36" s="8" t="s">
        <v>41</v>
      </c>
      <c r="B36" s="5"/>
      <c r="C36" s="5"/>
      <c r="D36" s="5"/>
      <c r="E36" s="5"/>
      <c r="F36" s="5"/>
      <c r="G36" s="5"/>
      <c r="H36" s="5"/>
      <c r="I36" s="5"/>
      <c r="J36" s="31"/>
      <c r="K36" s="5">
        <f t="shared" si="0"/>
        <v>0</v>
      </c>
      <c r="L36" s="5"/>
      <c r="M36" s="5"/>
      <c r="N36" s="31"/>
      <c r="O36" s="5">
        <f t="shared" si="1"/>
        <v>0</v>
      </c>
      <c r="P36" s="31"/>
      <c r="Q36" s="5">
        <f t="shared" si="2"/>
        <v>0</v>
      </c>
    </row>
    <row r="37" spans="1:17" s="1" customFormat="1" ht="10" x14ac:dyDescent="0.2">
      <c r="A37" s="9" t="s">
        <v>42</v>
      </c>
      <c r="B37" s="10">
        <v>500</v>
      </c>
      <c r="C37" s="10">
        <v>3839.4677264699999</v>
      </c>
      <c r="D37" s="10">
        <v>2105520.2722914</v>
      </c>
      <c r="E37" s="10">
        <v>0</v>
      </c>
      <c r="F37" s="10">
        <v>123537.18098287965</v>
      </c>
      <c r="G37" s="10">
        <v>39258.311862633418</v>
      </c>
      <c r="H37" s="10">
        <v>109249.5895974</v>
      </c>
      <c r="I37" s="10">
        <v>0</v>
      </c>
      <c r="J37" s="32"/>
      <c r="K37" s="10">
        <f t="shared" si="0"/>
        <v>2377565.3547343132</v>
      </c>
      <c r="L37" s="10">
        <v>0</v>
      </c>
      <c r="M37" s="10">
        <v>0</v>
      </c>
      <c r="N37" s="32"/>
      <c r="O37" s="10">
        <f t="shared" si="1"/>
        <v>0</v>
      </c>
      <c r="P37" s="32"/>
      <c r="Q37" s="10">
        <f t="shared" si="2"/>
        <v>2381904.8224607832</v>
      </c>
    </row>
    <row r="38" spans="1:17" s="1" customFormat="1" ht="10" x14ac:dyDescent="0.2">
      <c r="A38" s="9" t="s">
        <v>43</v>
      </c>
      <c r="B38" s="10">
        <v>-124833.9</v>
      </c>
      <c r="C38" s="10">
        <v>-19764.128828010002</v>
      </c>
      <c r="D38" s="10">
        <v>-36035.808118200002</v>
      </c>
      <c r="E38" s="10">
        <v>0</v>
      </c>
      <c r="F38" s="10">
        <v>0</v>
      </c>
      <c r="G38" s="10">
        <v>0</v>
      </c>
      <c r="H38" s="10">
        <v>0</v>
      </c>
      <c r="I38" s="10">
        <v>0</v>
      </c>
      <c r="J38" s="32"/>
      <c r="K38" s="10">
        <f t="shared" si="0"/>
        <v>-36035.808118200002</v>
      </c>
      <c r="L38" s="10">
        <v>0</v>
      </c>
      <c r="M38" s="10">
        <v>0</v>
      </c>
      <c r="N38" s="32"/>
      <c r="O38" s="10">
        <f t="shared" si="1"/>
        <v>0</v>
      </c>
      <c r="P38" s="32"/>
      <c r="Q38" s="10">
        <f t="shared" si="2"/>
        <v>-180633.83694621001</v>
      </c>
    </row>
    <row r="39" spans="1:17" s="1" customFormat="1" ht="10" x14ac:dyDescent="0.2">
      <c r="A39" s="9" t="s">
        <v>44</v>
      </c>
      <c r="B39" s="10">
        <v>0</v>
      </c>
      <c r="C39" s="10">
        <v>0</v>
      </c>
      <c r="D39" s="10">
        <v>31640.181950999999</v>
      </c>
      <c r="E39" s="10">
        <v>0</v>
      </c>
      <c r="F39" s="10">
        <v>0</v>
      </c>
      <c r="G39" s="10">
        <v>0</v>
      </c>
      <c r="H39" s="10">
        <v>0</v>
      </c>
      <c r="I39" s="10">
        <v>0</v>
      </c>
      <c r="J39" s="32"/>
      <c r="K39" s="10">
        <f t="shared" si="0"/>
        <v>31640.181950999999</v>
      </c>
      <c r="L39" s="10">
        <v>0</v>
      </c>
      <c r="M39" s="10">
        <v>0</v>
      </c>
      <c r="N39" s="32"/>
      <c r="O39" s="10">
        <f t="shared" si="1"/>
        <v>0</v>
      </c>
      <c r="P39" s="32"/>
      <c r="Q39" s="10">
        <f t="shared" si="2"/>
        <v>31640.181950999999</v>
      </c>
    </row>
    <row r="40" spans="1:17" s="1" customFormat="1" ht="10.5" x14ac:dyDescent="0.25">
      <c r="A40" s="11" t="s">
        <v>45</v>
      </c>
      <c r="B40" s="12">
        <f t="shared" ref="B40:Q40" si="5">SUM(B37:B39)</f>
        <v>-124333.9</v>
      </c>
      <c r="C40" s="12">
        <f t="shared" si="5"/>
        <v>-15924.661101540001</v>
      </c>
      <c r="D40" s="12">
        <f t="shared" si="5"/>
        <v>2101124.6461242</v>
      </c>
      <c r="E40" s="12">
        <f t="shared" si="5"/>
        <v>0</v>
      </c>
      <c r="F40" s="12">
        <f t="shared" si="5"/>
        <v>123537.18098287965</v>
      </c>
      <c r="G40" s="12">
        <f t="shared" si="5"/>
        <v>39258.311862633418</v>
      </c>
      <c r="H40" s="12">
        <f t="shared" si="5"/>
        <v>109249.5895974</v>
      </c>
      <c r="I40" s="12">
        <f t="shared" si="5"/>
        <v>0</v>
      </c>
      <c r="J40" s="33">
        <f t="shared" si="5"/>
        <v>0</v>
      </c>
      <c r="K40" s="12">
        <f t="shared" si="0"/>
        <v>2373169.7285671132</v>
      </c>
      <c r="L40" s="12">
        <f t="shared" si="5"/>
        <v>0</v>
      </c>
      <c r="M40" s="12">
        <f t="shared" si="5"/>
        <v>0</v>
      </c>
      <c r="N40" s="33">
        <f t="shared" si="5"/>
        <v>0</v>
      </c>
      <c r="O40" s="12">
        <f t="shared" si="1"/>
        <v>0</v>
      </c>
      <c r="P40" s="33">
        <f t="shared" si="5"/>
        <v>0</v>
      </c>
      <c r="Q40" s="12">
        <f t="shared" si="2"/>
        <v>2232911.1674655732</v>
      </c>
    </row>
    <row r="41" spans="1:17" s="1" customFormat="1" ht="10.5" x14ac:dyDescent="0.25">
      <c r="A41" s="13" t="s">
        <v>46</v>
      </c>
      <c r="B41" s="12">
        <f t="shared" ref="B41:Q41" si="6">SUM(B40)</f>
        <v>-124333.9</v>
      </c>
      <c r="C41" s="12">
        <f t="shared" si="6"/>
        <v>-15924.661101540001</v>
      </c>
      <c r="D41" s="12">
        <f t="shared" si="6"/>
        <v>2101124.6461242</v>
      </c>
      <c r="E41" s="12">
        <f t="shared" si="6"/>
        <v>0</v>
      </c>
      <c r="F41" s="12">
        <f t="shared" si="6"/>
        <v>123537.18098287965</v>
      </c>
      <c r="G41" s="12">
        <f t="shared" si="6"/>
        <v>39258.311862633418</v>
      </c>
      <c r="H41" s="12">
        <f t="shared" si="6"/>
        <v>109249.5895974</v>
      </c>
      <c r="I41" s="12">
        <f t="shared" si="6"/>
        <v>0</v>
      </c>
      <c r="J41" s="33">
        <f t="shared" si="6"/>
        <v>0</v>
      </c>
      <c r="K41" s="12">
        <f t="shared" si="0"/>
        <v>2373169.7285671132</v>
      </c>
      <c r="L41" s="12">
        <f t="shared" si="6"/>
        <v>0</v>
      </c>
      <c r="M41" s="12">
        <f t="shared" si="6"/>
        <v>0</v>
      </c>
      <c r="N41" s="33">
        <f t="shared" si="6"/>
        <v>0</v>
      </c>
      <c r="O41" s="12">
        <f t="shared" si="1"/>
        <v>0</v>
      </c>
      <c r="P41" s="33">
        <f t="shared" si="6"/>
        <v>0</v>
      </c>
      <c r="Q41" s="12">
        <f t="shared" si="2"/>
        <v>2232911.1674655732</v>
      </c>
    </row>
    <row r="42" spans="1:17" s="1" customFormat="1" ht="10.5" x14ac:dyDescent="0.25">
      <c r="A42" s="7" t="s">
        <v>47</v>
      </c>
      <c r="B42" s="5"/>
      <c r="C42" s="5"/>
      <c r="D42" s="5"/>
      <c r="E42" s="5"/>
      <c r="F42" s="5"/>
      <c r="G42" s="5"/>
      <c r="H42" s="5"/>
      <c r="I42" s="5"/>
      <c r="J42" s="31"/>
      <c r="K42" s="5">
        <f t="shared" si="0"/>
        <v>0</v>
      </c>
      <c r="L42" s="5"/>
      <c r="M42" s="5"/>
      <c r="N42" s="31"/>
      <c r="O42" s="5">
        <f t="shared" si="1"/>
        <v>0</v>
      </c>
      <c r="P42" s="31"/>
      <c r="Q42" s="5">
        <f t="shared" si="2"/>
        <v>0</v>
      </c>
    </row>
    <row r="43" spans="1:17" s="1" customFormat="1" ht="10.5" x14ac:dyDescent="0.25">
      <c r="A43" s="8" t="s">
        <v>48</v>
      </c>
      <c r="B43" s="5"/>
      <c r="C43" s="5"/>
      <c r="D43" s="5"/>
      <c r="E43" s="5"/>
      <c r="F43" s="5"/>
      <c r="G43" s="5"/>
      <c r="H43" s="5"/>
      <c r="I43" s="5"/>
      <c r="J43" s="31"/>
      <c r="K43" s="5">
        <f t="shared" si="0"/>
        <v>0</v>
      </c>
      <c r="L43" s="5"/>
      <c r="M43" s="5"/>
      <c r="N43" s="31"/>
      <c r="O43" s="5">
        <f t="shared" si="1"/>
        <v>0</v>
      </c>
      <c r="P43" s="31"/>
      <c r="Q43" s="5">
        <f t="shared" si="2"/>
        <v>0</v>
      </c>
    </row>
    <row r="44" spans="1:17" s="1" customFormat="1" ht="10.5" x14ac:dyDescent="0.25">
      <c r="A44" s="14" t="s">
        <v>49</v>
      </c>
      <c r="B44" s="5"/>
      <c r="C44" s="5"/>
      <c r="D44" s="5"/>
      <c r="E44" s="5"/>
      <c r="F44" s="5"/>
      <c r="G44" s="5"/>
      <c r="H44" s="5"/>
      <c r="I44" s="5"/>
      <c r="J44" s="31"/>
      <c r="K44" s="5">
        <f t="shared" si="0"/>
        <v>0</v>
      </c>
      <c r="L44" s="5"/>
      <c r="M44" s="5"/>
      <c r="N44" s="31"/>
      <c r="O44" s="5">
        <f t="shared" si="1"/>
        <v>0</v>
      </c>
      <c r="P44" s="31"/>
      <c r="Q44" s="5">
        <f t="shared" si="2"/>
        <v>0</v>
      </c>
    </row>
    <row r="45" spans="1:17" s="1" customFormat="1" ht="10" x14ac:dyDescent="0.2">
      <c r="A45" s="15" t="s">
        <v>49</v>
      </c>
      <c r="B45" s="10">
        <v>0</v>
      </c>
      <c r="C45" s="10">
        <v>560.16088299</v>
      </c>
      <c r="D45" s="10">
        <v>249572.8076991</v>
      </c>
      <c r="E45" s="10">
        <v>0</v>
      </c>
      <c r="F45" s="10">
        <v>12025.902207090568</v>
      </c>
      <c r="G45" s="10">
        <v>0</v>
      </c>
      <c r="H45" s="10">
        <v>0</v>
      </c>
      <c r="I45" s="10">
        <v>34199.411433689878</v>
      </c>
      <c r="J45" s="32"/>
      <c r="K45" s="10">
        <f t="shared" si="0"/>
        <v>295798.12133988045</v>
      </c>
      <c r="L45" s="10">
        <v>0</v>
      </c>
      <c r="M45" s="10">
        <v>0</v>
      </c>
      <c r="N45" s="32"/>
      <c r="O45" s="10">
        <f t="shared" si="1"/>
        <v>0</v>
      </c>
      <c r="P45" s="32"/>
      <c r="Q45" s="10">
        <f t="shared" si="2"/>
        <v>296358.28222287045</v>
      </c>
    </row>
    <row r="46" spans="1:17" s="1" customFormat="1" ht="10" x14ac:dyDescent="0.2">
      <c r="A46" s="15" t="s">
        <v>50</v>
      </c>
      <c r="B46" s="10">
        <v>0</v>
      </c>
      <c r="C46" s="10">
        <v>0</v>
      </c>
      <c r="D46" s="10">
        <v>0</v>
      </c>
      <c r="E46" s="10">
        <v>0</v>
      </c>
      <c r="F46" s="10">
        <v>0</v>
      </c>
      <c r="G46" s="10">
        <v>105.6058177251</v>
      </c>
      <c r="H46" s="10">
        <v>0</v>
      </c>
      <c r="I46" s="10">
        <v>0</v>
      </c>
      <c r="J46" s="32"/>
      <c r="K46" s="10">
        <f t="shared" si="0"/>
        <v>105.6058177251</v>
      </c>
      <c r="L46" s="10">
        <v>0</v>
      </c>
      <c r="M46" s="10">
        <v>0</v>
      </c>
      <c r="N46" s="32"/>
      <c r="O46" s="10">
        <f t="shared" si="1"/>
        <v>0</v>
      </c>
      <c r="P46" s="32"/>
      <c r="Q46" s="10">
        <f t="shared" si="2"/>
        <v>105.6058177251</v>
      </c>
    </row>
    <row r="47" spans="1:17" s="1" customFormat="1" ht="10" x14ac:dyDescent="0.2">
      <c r="A47" s="15" t="s">
        <v>441</v>
      </c>
      <c r="B47" s="10">
        <v>0</v>
      </c>
      <c r="C47" s="10">
        <v>0</v>
      </c>
      <c r="D47" s="10">
        <v>92313.842040000003</v>
      </c>
      <c r="E47" s="10">
        <v>0</v>
      </c>
      <c r="F47" s="10">
        <v>0</v>
      </c>
      <c r="G47" s="10">
        <v>0</v>
      </c>
      <c r="H47" s="10">
        <v>0</v>
      </c>
      <c r="I47" s="10">
        <v>0</v>
      </c>
      <c r="J47" s="32"/>
      <c r="K47" s="10">
        <f t="shared" si="0"/>
        <v>92313.842040000003</v>
      </c>
      <c r="L47" s="10">
        <v>0</v>
      </c>
      <c r="M47" s="10">
        <v>0</v>
      </c>
      <c r="N47" s="32"/>
      <c r="O47" s="10">
        <f t="shared" si="1"/>
        <v>0</v>
      </c>
      <c r="P47" s="32"/>
      <c r="Q47" s="10">
        <f t="shared" si="2"/>
        <v>92313.842040000003</v>
      </c>
    </row>
    <row r="48" spans="1:17" s="1" customFormat="1" ht="10" x14ac:dyDescent="0.2">
      <c r="A48" s="15" t="s">
        <v>51</v>
      </c>
      <c r="B48" s="10">
        <v>0</v>
      </c>
      <c r="C48" s="10">
        <v>0</v>
      </c>
      <c r="D48" s="10">
        <v>0</v>
      </c>
      <c r="E48" s="10">
        <v>0</v>
      </c>
      <c r="F48" s="10">
        <v>0</v>
      </c>
      <c r="G48" s="10">
        <v>1100.1281315539152</v>
      </c>
      <c r="H48" s="10">
        <v>0</v>
      </c>
      <c r="I48" s="10">
        <v>0</v>
      </c>
      <c r="J48" s="32"/>
      <c r="K48" s="10">
        <f t="shared" si="0"/>
        <v>1100.1281315539152</v>
      </c>
      <c r="L48" s="10">
        <v>0</v>
      </c>
      <c r="M48" s="10">
        <v>0</v>
      </c>
      <c r="N48" s="32"/>
      <c r="O48" s="10">
        <f t="shared" si="1"/>
        <v>0</v>
      </c>
      <c r="P48" s="32"/>
      <c r="Q48" s="10">
        <f t="shared" si="2"/>
        <v>1100.1281315539152</v>
      </c>
    </row>
    <row r="49" spans="1:17" s="1" customFormat="1" ht="10.5" x14ac:dyDescent="0.25">
      <c r="A49" s="16" t="s">
        <v>52</v>
      </c>
      <c r="B49" s="12">
        <f t="shared" ref="B49:Q49" si="7">SUM(B45:B48)</f>
        <v>0</v>
      </c>
      <c r="C49" s="12">
        <f t="shared" si="7"/>
        <v>560.16088299</v>
      </c>
      <c r="D49" s="12">
        <f t="shared" si="7"/>
        <v>341886.64973910002</v>
      </c>
      <c r="E49" s="12">
        <f t="shared" si="7"/>
        <v>0</v>
      </c>
      <c r="F49" s="12">
        <f t="shared" si="7"/>
        <v>12025.902207090568</v>
      </c>
      <c r="G49" s="12">
        <f t="shared" si="7"/>
        <v>1205.7339492790152</v>
      </c>
      <c r="H49" s="12">
        <f t="shared" si="7"/>
        <v>0</v>
      </c>
      <c r="I49" s="12">
        <f t="shared" si="7"/>
        <v>34199.411433689878</v>
      </c>
      <c r="J49" s="33">
        <f t="shared" si="7"/>
        <v>0</v>
      </c>
      <c r="K49" s="12">
        <f t="shared" si="0"/>
        <v>389317.69732915948</v>
      </c>
      <c r="L49" s="12">
        <f t="shared" si="7"/>
        <v>0</v>
      </c>
      <c r="M49" s="12">
        <f t="shared" si="7"/>
        <v>0</v>
      </c>
      <c r="N49" s="33">
        <f t="shared" si="7"/>
        <v>0</v>
      </c>
      <c r="O49" s="12">
        <f t="shared" si="1"/>
        <v>0</v>
      </c>
      <c r="P49" s="33">
        <f t="shared" si="7"/>
        <v>0</v>
      </c>
      <c r="Q49" s="12">
        <f t="shared" si="2"/>
        <v>389877.85821214947</v>
      </c>
    </row>
    <row r="50" spans="1:17" s="1" customFormat="1" ht="10.5" x14ac:dyDescent="0.25">
      <c r="A50" s="11" t="s">
        <v>53</v>
      </c>
      <c r="B50" s="12">
        <f t="shared" ref="B50:Q50" si="8">SUM(B49)</f>
        <v>0</v>
      </c>
      <c r="C50" s="12">
        <f t="shared" si="8"/>
        <v>560.16088299</v>
      </c>
      <c r="D50" s="12">
        <f t="shared" si="8"/>
        <v>341886.64973910002</v>
      </c>
      <c r="E50" s="12">
        <f t="shared" si="8"/>
        <v>0</v>
      </c>
      <c r="F50" s="12">
        <f t="shared" si="8"/>
        <v>12025.902207090568</v>
      </c>
      <c r="G50" s="12">
        <f t="shared" si="8"/>
        <v>1205.7339492790152</v>
      </c>
      <c r="H50" s="12">
        <f t="shared" si="8"/>
        <v>0</v>
      </c>
      <c r="I50" s="12">
        <f t="shared" si="8"/>
        <v>34199.411433689878</v>
      </c>
      <c r="J50" s="33">
        <f t="shared" si="8"/>
        <v>0</v>
      </c>
      <c r="K50" s="12">
        <f t="shared" si="0"/>
        <v>389317.69732915948</v>
      </c>
      <c r="L50" s="12">
        <f t="shared" si="8"/>
        <v>0</v>
      </c>
      <c r="M50" s="12">
        <f t="shared" si="8"/>
        <v>0</v>
      </c>
      <c r="N50" s="33">
        <f t="shared" si="8"/>
        <v>0</v>
      </c>
      <c r="O50" s="12">
        <f t="shared" si="1"/>
        <v>0</v>
      </c>
      <c r="P50" s="33">
        <f t="shared" si="8"/>
        <v>0</v>
      </c>
      <c r="Q50" s="12">
        <f t="shared" si="2"/>
        <v>389877.85821214947</v>
      </c>
    </row>
    <row r="51" spans="1:17" s="1" customFormat="1" ht="10.5" x14ac:dyDescent="0.25">
      <c r="A51" s="8" t="s">
        <v>54</v>
      </c>
      <c r="B51" s="5"/>
      <c r="C51" s="5"/>
      <c r="D51" s="5"/>
      <c r="E51" s="5"/>
      <c r="F51" s="5"/>
      <c r="G51" s="5"/>
      <c r="H51" s="5"/>
      <c r="I51" s="5"/>
      <c r="J51" s="31"/>
      <c r="K51" s="5">
        <f t="shared" si="0"/>
        <v>0</v>
      </c>
      <c r="L51" s="5"/>
      <c r="M51" s="5"/>
      <c r="N51" s="31"/>
      <c r="O51" s="5">
        <f t="shared" si="1"/>
        <v>0</v>
      </c>
      <c r="P51" s="31"/>
      <c r="Q51" s="5">
        <f t="shared" si="2"/>
        <v>0</v>
      </c>
    </row>
    <row r="52" spans="1:17" s="1" customFormat="1" ht="10" x14ac:dyDescent="0.2">
      <c r="A52" s="9" t="s">
        <v>55</v>
      </c>
      <c r="B52" s="10">
        <v>0</v>
      </c>
      <c r="C52" s="10">
        <v>0</v>
      </c>
      <c r="D52" s="10">
        <v>0</v>
      </c>
      <c r="E52" s="10">
        <v>0</v>
      </c>
      <c r="F52" s="10">
        <v>0</v>
      </c>
      <c r="G52" s="10">
        <v>3448.3532318399998</v>
      </c>
      <c r="H52" s="10">
        <v>0</v>
      </c>
      <c r="I52" s="10">
        <v>0</v>
      </c>
      <c r="J52" s="32"/>
      <c r="K52" s="10">
        <f t="shared" si="0"/>
        <v>3448.3532318399998</v>
      </c>
      <c r="L52" s="10">
        <v>0</v>
      </c>
      <c r="M52" s="10">
        <v>0</v>
      </c>
      <c r="N52" s="32"/>
      <c r="O52" s="10">
        <f t="shared" si="1"/>
        <v>0</v>
      </c>
      <c r="P52" s="32"/>
      <c r="Q52" s="10">
        <f t="shared" si="2"/>
        <v>3448.3532318399998</v>
      </c>
    </row>
    <row r="53" spans="1:17" s="1" customFormat="1" ht="10.5" x14ac:dyDescent="0.25">
      <c r="A53" s="11" t="s">
        <v>56</v>
      </c>
      <c r="B53" s="12">
        <f t="shared" ref="B53:Q53" si="9">SUM(B52)</f>
        <v>0</v>
      </c>
      <c r="C53" s="12">
        <f t="shared" si="9"/>
        <v>0</v>
      </c>
      <c r="D53" s="12">
        <f t="shared" si="9"/>
        <v>0</v>
      </c>
      <c r="E53" s="12">
        <f t="shared" si="9"/>
        <v>0</v>
      </c>
      <c r="F53" s="12">
        <f t="shared" si="9"/>
        <v>0</v>
      </c>
      <c r="G53" s="12">
        <f t="shared" si="9"/>
        <v>3448.3532318399998</v>
      </c>
      <c r="H53" s="12">
        <f t="shared" si="9"/>
        <v>0</v>
      </c>
      <c r="I53" s="12">
        <f t="shared" si="9"/>
        <v>0</v>
      </c>
      <c r="J53" s="33">
        <f t="shared" si="9"/>
        <v>0</v>
      </c>
      <c r="K53" s="12">
        <f t="shared" si="0"/>
        <v>3448.3532318399998</v>
      </c>
      <c r="L53" s="12">
        <f t="shared" si="9"/>
        <v>0</v>
      </c>
      <c r="M53" s="12">
        <f t="shared" si="9"/>
        <v>0</v>
      </c>
      <c r="N53" s="33">
        <f t="shared" si="9"/>
        <v>0</v>
      </c>
      <c r="O53" s="12">
        <f t="shared" si="1"/>
        <v>0</v>
      </c>
      <c r="P53" s="33">
        <f t="shared" si="9"/>
        <v>0</v>
      </c>
      <c r="Q53" s="12">
        <f t="shared" si="2"/>
        <v>3448.3532318399998</v>
      </c>
    </row>
    <row r="54" spans="1:17" s="1" customFormat="1" ht="10.5" x14ac:dyDescent="0.25">
      <c r="A54" s="8" t="s">
        <v>57</v>
      </c>
      <c r="B54" s="5"/>
      <c r="C54" s="5"/>
      <c r="D54" s="5"/>
      <c r="E54" s="5"/>
      <c r="F54" s="5"/>
      <c r="G54" s="5"/>
      <c r="H54" s="5"/>
      <c r="I54" s="5"/>
      <c r="J54" s="31"/>
      <c r="K54" s="5">
        <f t="shared" si="0"/>
        <v>0</v>
      </c>
      <c r="L54" s="5"/>
      <c r="M54" s="5"/>
      <c r="N54" s="31"/>
      <c r="O54" s="5">
        <f t="shared" si="1"/>
        <v>0</v>
      </c>
      <c r="P54" s="31"/>
      <c r="Q54" s="5">
        <f t="shared" si="2"/>
        <v>0</v>
      </c>
    </row>
    <row r="55" spans="1:17" s="1" customFormat="1" ht="10" x14ac:dyDescent="0.2">
      <c r="A55" s="9" t="s">
        <v>58</v>
      </c>
      <c r="B55" s="10">
        <v>0</v>
      </c>
      <c r="C55" s="10">
        <v>0</v>
      </c>
      <c r="D55" s="10">
        <v>0</v>
      </c>
      <c r="E55" s="10">
        <v>1945.6250219999999</v>
      </c>
      <c r="F55" s="10">
        <v>0</v>
      </c>
      <c r="G55" s="10">
        <v>0</v>
      </c>
      <c r="H55" s="10">
        <v>0</v>
      </c>
      <c r="I55" s="10">
        <v>0</v>
      </c>
      <c r="J55" s="32">
        <v>-1945.6250219999999</v>
      </c>
      <c r="K55" s="10">
        <f t="shared" si="0"/>
        <v>0</v>
      </c>
      <c r="L55" s="10">
        <v>0</v>
      </c>
      <c r="M55" s="10">
        <v>0</v>
      </c>
      <c r="N55" s="32">
        <v>0</v>
      </c>
      <c r="O55" s="10">
        <f t="shared" si="1"/>
        <v>0</v>
      </c>
      <c r="P55" s="32">
        <v>0</v>
      </c>
      <c r="Q55" s="10">
        <f t="shared" si="2"/>
        <v>0</v>
      </c>
    </row>
    <row r="56" spans="1:17" s="1" customFormat="1" ht="10" x14ac:dyDescent="0.2">
      <c r="A56" s="9" t="s">
        <v>59</v>
      </c>
      <c r="B56" s="10">
        <v>765246.2</v>
      </c>
      <c r="C56" s="10">
        <v>129.5326896</v>
      </c>
      <c r="D56" s="10">
        <v>0</v>
      </c>
      <c r="E56" s="10">
        <v>0</v>
      </c>
      <c r="F56" s="10">
        <v>0</v>
      </c>
      <c r="G56" s="10">
        <v>0</v>
      </c>
      <c r="H56" s="10">
        <v>0</v>
      </c>
      <c r="I56" s="10">
        <v>0</v>
      </c>
      <c r="J56" s="32">
        <v>0</v>
      </c>
      <c r="K56" s="10">
        <f t="shared" si="0"/>
        <v>0</v>
      </c>
      <c r="L56" s="10">
        <v>0</v>
      </c>
      <c r="M56" s="10">
        <v>0</v>
      </c>
      <c r="N56" s="32">
        <v>0</v>
      </c>
      <c r="O56" s="10">
        <f t="shared" si="1"/>
        <v>0</v>
      </c>
      <c r="P56" s="32">
        <v>-765375.73268959997</v>
      </c>
      <c r="Q56" s="10">
        <f t="shared" si="2"/>
        <v>-1.8786749933497049E-11</v>
      </c>
    </row>
    <row r="57" spans="1:17" s="1" customFormat="1" ht="10" x14ac:dyDescent="0.2">
      <c r="A57" s="9" t="s">
        <v>60</v>
      </c>
      <c r="B57" s="10">
        <v>1149050.52</v>
      </c>
      <c r="C57" s="10">
        <v>0</v>
      </c>
      <c r="D57" s="10">
        <v>0</v>
      </c>
      <c r="E57" s="10">
        <v>0</v>
      </c>
      <c r="F57" s="10">
        <v>0</v>
      </c>
      <c r="G57" s="10">
        <v>0</v>
      </c>
      <c r="H57" s="10">
        <v>0</v>
      </c>
      <c r="I57" s="10">
        <v>0</v>
      </c>
      <c r="J57" s="32">
        <v>0</v>
      </c>
      <c r="K57" s="10">
        <f t="shared" si="0"/>
        <v>0</v>
      </c>
      <c r="L57" s="10">
        <v>114.07647</v>
      </c>
      <c r="M57" s="10">
        <v>0</v>
      </c>
      <c r="N57" s="32">
        <v>-114.07647</v>
      </c>
      <c r="O57" s="10">
        <f t="shared" si="1"/>
        <v>0</v>
      </c>
      <c r="P57" s="32">
        <v>-1149050.52</v>
      </c>
      <c r="Q57" s="10">
        <f t="shared" si="2"/>
        <v>0</v>
      </c>
    </row>
    <row r="58" spans="1:17" s="1" customFormat="1" ht="10" x14ac:dyDescent="0.2">
      <c r="A58" s="9" t="s">
        <v>61</v>
      </c>
      <c r="B58" s="10">
        <v>0</v>
      </c>
      <c r="C58" s="10">
        <v>0</v>
      </c>
      <c r="D58" s="10">
        <v>0</v>
      </c>
      <c r="E58" s="10">
        <v>0</v>
      </c>
      <c r="F58" s="10">
        <v>0</v>
      </c>
      <c r="G58" s="10">
        <v>0</v>
      </c>
      <c r="H58" s="10">
        <v>0</v>
      </c>
      <c r="I58" s="10">
        <v>0</v>
      </c>
      <c r="J58" s="32">
        <v>0</v>
      </c>
      <c r="K58" s="10">
        <f t="shared" si="0"/>
        <v>0</v>
      </c>
      <c r="L58" s="10">
        <v>114.07647</v>
      </c>
      <c r="M58" s="10">
        <v>0</v>
      </c>
      <c r="N58" s="32">
        <v>-114.07647</v>
      </c>
      <c r="O58" s="10">
        <f t="shared" si="1"/>
        <v>0</v>
      </c>
      <c r="P58" s="32">
        <v>0</v>
      </c>
      <c r="Q58" s="10">
        <f t="shared" si="2"/>
        <v>0</v>
      </c>
    </row>
    <row r="59" spans="1:17" s="1" customFormat="1" ht="10" x14ac:dyDescent="0.2">
      <c r="A59" s="9" t="s">
        <v>447</v>
      </c>
      <c r="B59" s="10">
        <v>0</v>
      </c>
      <c r="C59" s="10">
        <v>0</v>
      </c>
      <c r="D59" s="10">
        <v>5692.5288</v>
      </c>
      <c r="E59" s="10">
        <v>0</v>
      </c>
      <c r="F59" s="10">
        <v>0</v>
      </c>
      <c r="G59" s="10">
        <v>0</v>
      </c>
      <c r="H59" s="10">
        <v>0</v>
      </c>
      <c r="I59" s="10">
        <v>0</v>
      </c>
      <c r="J59" s="32">
        <v>-5692.5288</v>
      </c>
      <c r="K59" s="10">
        <f t="shared" si="0"/>
        <v>0</v>
      </c>
      <c r="L59" s="10">
        <v>0</v>
      </c>
      <c r="M59" s="10">
        <v>0</v>
      </c>
      <c r="N59" s="32">
        <v>0</v>
      </c>
      <c r="O59" s="10">
        <f t="shared" si="1"/>
        <v>0</v>
      </c>
      <c r="P59" s="32">
        <v>0</v>
      </c>
      <c r="Q59" s="10">
        <f t="shared" si="2"/>
        <v>0</v>
      </c>
    </row>
    <row r="60" spans="1:17" s="1" customFormat="1" ht="10" x14ac:dyDescent="0.2">
      <c r="A60" s="9" t="s">
        <v>62</v>
      </c>
      <c r="B60" s="10">
        <v>0</v>
      </c>
      <c r="C60" s="10">
        <v>0</v>
      </c>
      <c r="D60" s="10">
        <v>0</v>
      </c>
      <c r="E60" s="10">
        <v>0</v>
      </c>
      <c r="F60" s="10">
        <v>-19447.53896778851</v>
      </c>
      <c r="G60" s="10">
        <v>0</v>
      </c>
      <c r="H60" s="10">
        <v>-5692.5288</v>
      </c>
      <c r="I60" s="10">
        <v>0</v>
      </c>
      <c r="J60" s="32">
        <v>25140.067767788511</v>
      </c>
      <c r="K60" s="10">
        <f t="shared" si="0"/>
        <v>0</v>
      </c>
      <c r="L60" s="10">
        <v>0</v>
      </c>
      <c r="M60" s="10">
        <v>0</v>
      </c>
      <c r="N60" s="32">
        <v>0</v>
      </c>
      <c r="O60" s="10">
        <f t="shared" si="1"/>
        <v>0</v>
      </c>
      <c r="P60" s="32">
        <v>0</v>
      </c>
      <c r="Q60" s="10">
        <f t="shared" si="2"/>
        <v>0</v>
      </c>
    </row>
    <row r="61" spans="1:17" s="1" customFormat="1" ht="10" x14ac:dyDescent="0.2">
      <c r="A61" s="9" t="s">
        <v>63</v>
      </c>
      <c r="B61" s="10">
        <v>0</v>
      </c>
      <c r="C61" s="10">
        <v>0</v>
      </c>
      <c r="D61" s="10">
        <v>1008.4585842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32">
        <v>-1008.4585842</v>
      </c>
      <c r="K61" s="10">
        <f t="shared" si="0"/>
        <v>0</v>
      </c>
      <c r="L61" s="10">
        <v>0</v>
      </c>
      <c r="M61" s="10">
        <v>0</v>
      </c>
      <c r="N61" s="32">
        <v>0</v>
      </c>
      <c r="O61" s="10">
        <f t="shared" si="1"/>
        <v>0</v>
      </c>
      <c r="P61" s="32">
        <v>0</v>
      </c>
      <c r="Q61" s="10">
        <f t="shared" si="2"/>
        <v>0</v>
      </c>
    </row>
    <row r="62" spans="1:17" s="1" customFormat="1" ht="10" x14ac:dyDescent="0.2">
      <c r="A62" s="9" t="s">
        <v>64</v>
      </c>
      <c r="B62" s="10">
        <v>0</v>
      </c>
      <c r="C62" s="10">
        <v>0</v>
      </c>
      <c r="D62" s="10">
        <v>44006.658623399999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32">
        <v>-44006.658623399999</v>
      </c>
      <c r="K62" s="10">
        <f t="shared" si="0"/>
        <v>0</v>
      </c>
      <c r="L62" s="10">
        <v>0</v>
      </c>
      <c r="M62" s="10">
        <v>0</v>
      </c>
      <c r="N62" s="32">
        <v>0</v>
      </c>
      <c r="O62" s="10">
        <f t="shared" si="1"/>
        <v>0</v>
      </c>
      <c r="P62" s="32">
        <v>0</v>
      </c>
      <c r="Q62" s="10">
        <f t="shared" si="2"/>
        <v>0</v>
      </c>
    </row>
    <row r="63" spans="1:17" s="1" customFormat="1" ht="10" x14ac:dyDescent="0.2">
      <c r="A63" s="9" t="s">
        <v>65</v>
      </c>
      <c r="B63" s="10">
        <v>920375.62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32">
        <v>0</v>
      </c>
      <c r="K63" s="10">
        <f t="shared" si="0"/>
        <v>0</v>
      </c>
      <c r="L63" s="10">
        <v>0</v>
      </c>
      <c r="M63" s="10">
        <v>0</v>
      </c>
      <c r="N63" s="32">
        <v>0</v>
      </c>
      <c r="O63" s="10">
        <f t="shared" si="1"/>
        <v>0</v>
      </c>
      <c r="P63" s="32">
        <v>-920375.62</v>
      </c>
      <c r="Q63" s="10">
        <f t="shared" si="2"/>
        <v>0</v>
      </c>
    </row>
    <row r="64" spans="1:17" s="1" customFormat="1" ht="10" x14ac:dyDescent="0.2">
      <c r="A64" s="9" t="s">
        <v>66</v>
      </c>
      <c r="B64" s="10">
        <v>-8250.84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32">
        <v>0</v>
      </c>
      <c r="K64" s="10">
        <f t="shared" si="0"/>
        <v>0</v>
      </c>
      <c r="L64" s="10">
        <v>0</v>
      </c>
      <c r="M64" s="10">
        <v>0</v>
      </c>
      <c r="N64" s="32">
        <v>0</v>
      </c>
      <c r="O64" s="10">
        <f t="shared" si="1"/>
        <v>0</v>
      </c>
      <c r="P64" s="32">
        <v>8250.84</v>
      </c>
      <c r="Q64" s="10">
        <f t="shared" si="2"/>
        <v>0</v>
      </c>
    </row>
    <row r="65" spans="1:17" s="1" customFormat="1" ht="10" x14ac:dyDescent="0.2">
      <c r="A65" s="9" t="s">
        <v>67</v>
      </c>
      <c r="B65" s="10">
        <v>0</v>
      </c>
      <c r="C65" s="10">
        <v>0</v>
      </c>
      <c r="D65" s="10">
        <v>2.2589399999999999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32">
        <v>-2.2589399999999999</v>
      </c>
      <c r="K65" s="10">
        <f t="shared" si="0"/>
        <v>0</v>
      </c>
      <c r="L65" s="10">
        <v>0</v>
      </c>
      <c r="M65" s="10">
        <v>0</v>
      </c>
      <c r="N65" s="32">
        <v>0</v>
      </c>
      <c r="O65" s="10">
        <f t="shared" si="1"/>
        <v>0</v>
      </c>
      <c r="P65" s="32">
        <v>0</v>
      </c>
      <c r="Q65" s="10">
        <f t="shared" si="2"/>
        <v>0</v>
      </c>
    </row>
    <row r="66" spans="1:17" s="1" customFormat="1" ht="10" x14ac:dyDescent="0.2">
      <c r="A66" s="9" t="s">
        <v>68</v>
      </c>
      <c r="B66" s="10">
        <v>24500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32">
        <v>0</v>
      </c>
      <c r="K66" s="10">
        <f t="shared" si="0"/>
        <v>0</v>
      </c>
      <c r="L66" s="10">
        <v>0</v>
      </c>
      <c r="M66" s="10">
        <v>0</v>
      </c>
      <c r="N66" s="32">
        <v>0</v>
      </c>
      <c r="O66" s="10">
        <f t="shared" si="1"/>
        <v>0</v>
      </c>
      <c r="P66" s="32">
        <v>-24500</v>
      </c>
      <c r="Q66" s="10">
        <f t="shared" si="2"/>
        <v>0</v>
      </c>
    </row>
    <row r="67" spans="1:17" s="1" customFormat="1" ht="10.5" x14ac:dyDescent="0.25">
      <c r="A67" s="11" t="s">
        <v>69</v>
      </c>
      <c r="B67" s="12">
        <f t="shared" ref="B67:Q67" si="10">SUM(B55:B66)</f>
        <v>2850921.5</v>
      </c>
      <c r="C67" s="12">
        <f t="shared" si="10"/>
        <v>129.5326896</v>
      </c>
      <c r="D67" s="12">
        <f t="shared" si="10"/>
        <v>50709.9049476</v>
      </c>
      <c r="E67" s="12">
        <f t="shared" si="10"/>
        <v>1945.6250219999999</v>
      </c>
      <c r="F67" s="12">
        <f t="shared" si="10"/>
        <v>-19447.53896778851</v>
      </c>
      <c r="G67" s="12">
        <f t="shared" si="10"/>
        <v>0</v>
      </c>
      <c r="H67" s="12">
        <f t="shared" si="10"/>
        <v>-5692.5288</v>
      </c>
      <c r="I67" s="12">
        <f t="shared" si="10"/>
        <v>0</v>
      </c>
      <c r="J67" s="33">
        <f t="shared" si="10"/>
        <v>-27515.46220181149</v>
      </c>
      <c r="K67" s="12">
        <f t="shared" si="0"/>
        <v>0</v>
      </c>
      <c r="L67" s="12">
        <f t="shared" si="10"/>
        <v>228.15294</v>
      </c>
      <c r="M67" s="12">
        <f t="shared" si="10"/>
        <v>0</v>
      </c>
      <c r="N67" s="33">
        <f t="shared" si="10"/>
        <v>-228.15294</v>
      </c>
      <c r="O67" s="12">
        <f t="shared" si="1"/>
        <v>0</v>
      </c>
      <c r="P67" s="33">
        <f t="shared" si="10"/>
        <v>-2851051.0326896003</v>
      </c>
      <c r="Q67" s="12">
        <f t="shared" si="2"/>
        <v>-2.5161739358736668E-10</v>
      </c>
    </row>
    <row r="68" spans="1:17" s="1" customFormat="1" ht="10.5" x14ac:dyDescent="0.25">
      <c r="A68" s="8" t="s">
        <v>70</v>
      </c>
      <c r="B68" s="5"/>
      <c r="C68" s="5"/>
      <c r="D68" s="5"/>
      <c r="E68" s="5"/>
      <c r="F68" s="5"/>
      <c r="G68" s="5"/>
      <c r="H68" s="5"/>
      <c r="I68" s="5"/>
      <c r="J68" s="31"/>
      <c r="K68" s="5">
        <f t="shared" si="0"/>
        <v>0</v>
      </c>
      <c r="L68" s="5"/>
      <c r="M68" s="5"/>
      <c r="N68" s="31"/>
      <c r="O68" s="5">
        <f t="shared" si="1"/>
        <v>0</v>
      </c>
      <c r="P68" s="31"/>
      <c r="Q68" s="5">
        <f t="shared" si="2"/>
        <v>0</v>
      </c>
    </row>
    <row r="69" spans="1:17" s="1" customFormat="1" ht="10" x14ac:dyDescent="0.2">
      <c r="A69" s="9" t="s">
        <v>71</v>
      </c>
      <c r="B69" s="10">
        <v>0</v>
      </c>
      <c r="C69" s="10">
        <v>0</v>
      </c>
      <c r="D69" s="10">
        <v>696028.51206089999</v>
      </c>
      <c r="E69" s="10">
        <v>0</v>
      </c>
      <c r="F69" s="10">
        <v>141849.0309027115</v>
      </c>
      <c r="G69" s="10">
        <v>0</v>
      </c>
      <c r="H69" s="10">
        <v>-6383.8547976</v>
      </c>
      <c r="I69" s="10">
        <v>0</v>
      </c>
      <c r="J69" s="32"/>
      <c r="K69" s="10">
        <f t="shared" si="0"/>
        <v>831493.68816601147</v>
      </c>
      <c r="L69" s="10">
        <v>0</v>
      </c>
      <c r="M69" s="10">
        <v>0</v>
      </c>
      <c r="N69" s="32"/>
      <c r="O69" s="10">
        <f t="shared" si="1"/>
        <v>0</v>
      </c>
      <c r="P69" s="32"/>
      <c r="Q69" s="10">
        <f t="shared" si="2"/>
        <v>831493.68816601147</v>
      </c>
    </row>
    <row r="70" spans="1:17" s="1" customFormat="1" ht="10" x14ac:dyDescent="0.2">
      <c r="A70" s="9" t="s">
        <v>72</v>
      </c>
      <c r="B70" s="10">
        <v>0</v>
      </c>
      <c r="C70" s="10">
        <v>0</v>
      </c>
      <c r="D70" s="10">
        <v>-6415.6154939999997</v>
      </c>
      <c r="E70" s="10">
        <v>0</v>
      </c>
      <c r="F70" s="10">
        <v>9918.7562085939244</v>
      </c>
      <c r="G70" s="10">
        <v>0</v>
      </c>
      <c r="H70" s="10">
        <v>0</v>
      </c>
      <c r="I70" s="10">
        <v>0</v>
      </c>
      <c r="J70" s="32"/>
      <c r="K70" s="10">
        <f t="shared" si="0"/>
        <v>3503.1407145939247</v>
      </c>
      <c r="L70" s="10">
        <v>0</v>
      </c>
      <c r="M70" s="10">
        <v>0</v>
      </c>
      <c r="N70" s="32"/>
      <c r="O70" s="10">
        <f t="shared" si="1"/>
        <v>0</v>
      </c>
      <c r="P70" s="32"/>
      <c r="Q70" s="10">
        <f t="shared" si="2"/>
        <v>3503.1407145939247</v>
      </c>
    </row>
    <row r="71" spans="1:17" s="1" customFormat="1" ht="10" x14ac:dyDescent="0.2">
      <c r="A71" s="9" t="s">
        <v>73</v>
      </c>
      <c r="B71" s="10">
        <v>0</v>
      </c>
      <c r="C71" s="10">
        <v>0</v>
      </c>
      <c r="D71" s="10">
        <v>1609423.7741052001</v>
      </c>
      <c r="E71" s="10">
        <v>0</v>
      </c>
      <c r="F71" s="10">
        <v>103740.00665464668</v>
      </c>
      <c r="G71" s="10">
        <v>198367.78693140871</v>
      </c>
      <c r="H71" s="10">
        <v>45503.070836999999</v>
      </c>
      <c r="I71" s="10">
        <v>0</v>
      </c>
      <c r="J71" s="32">
        <f xml:space="preserve"> - InternalSales!C6 - InternalSales!D6 - InternalSales!E6</f>
        <v>-95721.064338589742</v>
      </c>
      <c r="K71" s="10">
        <f t="shared" si="0"/>
        <v>1861313.5741896657</v>
      </c>
      <c r="L71" s="10">
        <v>0</v>
      </c>
      <c r="M71" s="10">
        <v>0</v>
      </c>
      <c r="N71" s="32"/>
      <c r="O71" s="10">
        <f t="shared" si="1"/>
        <v>0</v>
      </c>
      <c r="P71" s="32">
        <f xml:space="preserve"> - InternalSales!B6</f>
        <v>-42624.048000000003</v>
      </c>
      <c r="Q71" s="10">
        <f t="shared" si="2"/>
        <v>1818689.5261896658</v>
      </c>
    </row>
    <row r="72" spans="1:17" s="1" customFormat="1" ht="10" x14ac:dyDescent="0.2">
      <c r="A72" s="9" t="s">
        <v>74</v>
      </c>
      <c r="B72" s="10">
        <v>0</v>
      </c>
      <c r="C72" s="10">
        <v>0</v>
      </c>
      <c r="D72" s="10">
        <v>705278.99560260004</v>
      </c>
      <c r="E72" s="10">
        <v>0</v>
      </c>
      <c r="F72" s="10">
        <v>0</v>
      </c>
      <c r="G72" s="10">
        <v>0</v>
      </c>
      <c r="H72" s="10">
        <v>883.73121209999999</v>
      </c>
      <c r="I72" s="10">
        <v>0</v>
      </c>
      <c r="J72" s="32"/>
      <c r="K72" s="10">
        <f t="shared" si="0"/>
        <v>706162.72681470006</v>
      </c>
      <c r="L72" s="10">
        <v>0</v>
      </c>
      <c r="M72" s="10">
        <v>0</v>
      </c>
      <c r="N72" s="32"/>
      <c r="O72" s="10">
        <f t="shared" si="1"/>
        <v>0</v>
      </c>
      <c r="P72" s="32"/>
      <c r="Q72" s="10">
        <f t="shared" si="2"/>
        <v>706162.72681470006</v>
      </c>
    </row>
    <row r="73" spans="1:17" s="1" customFormat="1" ht="10" x14ac:dyDescent="0.2">
      <c r="A73" s="9" t="s">
        <v>75</v>
      </c>
      <c r="B73" s="10">
        <v>0</v>
      </c>
      <c r="C73" s="10">
        <v>0</v>
      </c>
      <c r="D73" s="10">
        <v>245007.19629689999</v>
      </c>
      <c r="E73" s="10">
        <v>0</v>
      </c>
      <c r="F73" s="10">
        <v>0</v>
      </c>
      <c r="G73" s="10">
        <v>0</v>
      </c>
      <c r="H73" s="10">
        <v>0</v>
      </c>
      <c r="I73" s="10">
        <v>0</v>
      </c>
      <c r="J73" s="32"/>
      <c r="K73" s="10">
        <f t="shared" si="0"/>
        <v>245007.19629689999</v>
      </c>
      <c r="L73" s="10">
        <v>0</v>
      </c>
      <c r="M73" s="10">
        <v>0</v>
      </c>
      <c r="N73" s="32"/>
      <c r="O73" s="10">
        <f t="shared" si="1"/>
        <v>0</v>
      </c>
      <c r="P73" s="32"/>
      <c r="Q73" s="10">
        <f t="shared" si="2"/>
        <v>245007.19629689999</v>
      </c>
    </row>
    <row r="74" spans="1:17" s="1" customFormat="1" ht="10" x14ac:dyDescent="0.2">
      <c r="A74" s="9" t="s">
        <v>76</v>
      </c>
      <c r="B74" s="10">
        <v>0</v>
      </c>
      <c r="C74" s="10">
        <v>0</v>
      </c>
      <c r="D74" s="10">
        <v>73290.235303499998</v>
      </c>
      <c r="E74" s="10">
        <v>0</v>
      </c>
      <c r="F74" s="10">
        <v>3281.31360377385</v>
      </c>
      <c r="G74" s="10">
        <v>0</v>
      </c>
      <c r="H74" s="10">
        <v>0</v>
      </c>
      <c r="I74" s="10">
        <v>0</v>
      </c>
      <c r="J74" s="32"/>
      <c r="K74" s="10">
        <f t="shared" si="0"/>
        <v>76571.548907273842</v>
      </c>
      <c r="L74" s="10">
        <v>0</v>
      </c>
      <c r="M74" s="10">
        <v>0</v>
      </c>
      <c r="N74" s="32"/>
      <c r="O74" s="10">
        <f t="shared" si="1"/>
        <v>0</v>
      </c>
      <c r="P74" s="32"/>
      <c r="Q74" s="10">
        <f t="shared" si="2"/>
        <v>76571.548907273842</v>
      </c>
    </row>
    <row r="75" spans="1:17" s="1" customFormat="1" ht="10" x14ac:dyDescent="0.2">
      <c r="A75" s="9" t="s">
        <v>77</v>
      </c>
      <c r="B75" s="10">
        <v>0</v>
      </c>
      <c r="C75" s="10">
        <v>0</v>
      </c>
      <c r="D75" s="10">
        <v>-68019.507075000001</v>
      </c>
      <c r="E75" s="10">
        <v>0</v>
      </c>
      <c r="F75" s="10">
        <v>0</v>
      </c>
      <c r="G75" s="10">
        <v>0</v>
      </c>
      <c r="H75" s="10">
        <v>0</v>
      </c>
      <c r="I75" s="10">
        <v>0</v>
      </c>
      <c r="J75" s="32"/>
      <c r="K75" s="10">
        <f t="shared" si="0"/>
        <v>-68019.507075000001</v>
      </c>
      <c r="L75" s="10">
        <v>0</v>
      </c>
      <c r="M75" s="10">
        <v>0</v>
      </c>
      <c r="N75" s="32"/>
      <c r="O75" s="10">
        <f t="shared" si="1"/>
        <v>0</v>
      </c>
      <c r="P75" s="32"/>
      <c r="Q75" s="10">
        <f t="shared" si="2"/>
        <v>-68019.507075000001</v>
      </c>
    </row>
    <row r="76" spans="1:17" s="1" customFormat="1" ht="10.5" x14ac:dyDescent="0.25">
      <c r="A76" s="11" t="s">
        <v>78</v>
      </c>
      <c r="B76" s="12">
        <f t="shared" ref="B76:Q76" si="11">SUM(B69:B75)</f>
        <v>0</v>
      </c>
      <c r="C76" s="12">
        <f t="shared" si="11"/>
        <v>0</v>
      </c>
      <c r="D76" s="12">
        <f t="shared" si="11"/>
        <v>3254593.5908001005</v>
      </c>
      <c r="E76" s="12">
        <f t="shared" si="11"/>
        <v>0</v>
      </c>
      <c r="F76" s="12">
        <f t="shared" si="11"/>
        <v>258789.10736972597</v>
      </c>
      <c r="G76" s="12">
        <f t="shared" si="11"/>
        <v>198367.78693140871</v>
      </c>
      <c r="H76" s="12">
        <f t="shared" si="11"/>
        <v>40002.947251500002</v>
      </c>
      <c r="I76" s="12">
        <f t="shared" si="11"/>
        <v>0</v>
      </c>
      <c r="J76" s="33">
        <f t="shared" si="11"/>
        <v>-95721.064338589742</v>
      </c>
      <c r="K76" s="12">
        <f t="shared" si="0"/>
        <v>3656032.3680141456</v>
      </c>
      <c r="L76" s="12">
        <f t="shared" si="11"/>
        <v>0</v>
      </c>
      <c r="M76" s="12">
        <f t="shared" si="11"/>
        <v>0</v>
      </c>
      <c r="N76" s="33">
        <f t="shared" si="11"/>
        <v>0</v>
      </c>
      <c r="O76" s="12">
        <f t="shared" si="1"/>
        <v>0</v>
      </c>
      <c r="P76" s="33">
        <f t="shared" si="11"/>
        <v>-42624.048000000003</v>
      </c>
      <c r="Q76" s="12">
        <f t="shared" si="2"/>
        <v>3613408.3200141457</v>
      </c>
    </row>
    <row r="77" spans="1:17" s="1" customFormat="1" ht="10" x14ac:dyDescent="0.2">
      <c r="A77" s="17" t="s">
        <v>79</v>
      </c>
      <c r="B77" s="10">
        <v>0</v>
      </c>
      <c r="C77" s="10">
        <v>0</v>
      </c>
      <c r="D77" s="10">
        <v>35139.686620200002</v>
      </c>
      <c r="E77" s="10">
        <v>1686.185763</v>
      </c>
      <c r="F77" s="10">
        <v>0</v>
      </c>
      <c r="G77" s="10">
        <v>0</v>
      </c>
      <c r="H77" s="10">
        <v>50.656729499999997</v>
      </c>
      <c r="I77" s="10">
        <v>0</v>
      </c>
      <c r="J77" s="32"/>
      <c r="K77" s="10">
        <f t="shared" ref="K77:K140" si="12">SUM(D77:J77)</f>
        <v>36876.529112700002</v>
      </c>
      <c r="L77" s="10">
        <v>0</v>
      </c>
      <c r="M77" s="10">
        <v>0</v>
      </c>
      <c r="N77" s="32"/>
      <c r="O77" s="10">
        <f t="shared" ref="O77:O140" si="13">SUM(L77:N77)</f>
        <v>0</v>
      </c>
      <c r="P77" s="32"/>
      <c r="Q77" s="10">
        <f t="shared" ref="Q77:Q140" si="14">SUM(B77,K77,O77,P77)+C77</f>
        <v>36876.529112700002</v>
      </c>
    </row>
    <row r="78" spans="1:17" s="1" customFormat="1" ht="10" x14ac:dyDescent="0.2">
      <c r="A78" s="17" t="s">
        <v>80</v>
      </c>
      <c r="B78" s="10">
        <v>0</v>
      </c>
      <c r="C78" s="10">
        <v>0</v>
      </c>
      <c r="D78" s="10">
        <v>0</v>
      </c>
      <c r="E78" s="10">
        <v>0</v>
      </c>
      <c r="F78" s="10">
        <v>34867.209411574324</v>
      </c>
      <c r="G78" s="10">
        <v>0</v>
      </c>
      <c r="H78" s="10">
        <v>0</v>
      </c>
      <c r="I78" s="10">
        <v>0</v>
      </c>
      <c r="J78" s="32"/>
      <c r="K78" s="10">
        <f t="shared" si="12"/>
        <v>34867.209411574324</v>
      </c>
      <c r="L78" s="10">
        <v>0</v>
      </c>
      <c r="M78" s="10">
        <v>0</v>
      </c>
      <c r="N78" s="32"/>
      <c r="O78" s="10">
        <f t="shared" si="13"/>
        <v>0</v>
      </c>
      <c r="P78" s="32"/>
      <c r="Q78" s="10">
        <f t="shared" si="14"/>
        <v>34867.209411574324</v>
      </c>
    </row>
    <row r="79" spans="1:17" s="1" customFormat="1" ht="10" x14ac:dyDescent="0.2">
      <c r="A79" s="17" t="s">
        <v>81</v>
      </c>
      <c r="B79" s="10">
        <v>0</v>
      </c>
      <c r="C79" s="10">
        <v>0</v>
      </c>
      <c r="D79" s="10">
        <v>-3536.8675367999999</v>
      </c>
      <c r="E79" s="10">
        <v>0</v>
      </c>
      <c r="F79" s="10">
        <v>252.50558356008781</v>
      </c>
      <c r="G79" s="10">
        <v>0</v>
      </c>
      <c r="H79" s="10">
        <v>0</v>
      </c>
      <c r="I79" s="10">
        <v>0</v>
      </c>
      <c r="J79" s="32"/>
      <c r="K79" s="10">
        <f t="shared" si="12"/>
        <v>-3284.3619532399121</v>
      </c>
      <c r="L79" s="10">
        <v>0</v>
      </c>
      <c r="M79" s="10">
        <v>0</v>
      </c>
      <c r="N79" s="32"/>
      <c r="O79" s="10">
        <f t="shared" si="13"/>
        <v>0</v>
      </c>
      <c r="P79" s="32"/>
      <c r="Q79" s="10">
        <f t="shared" si="14"/>
        <v>-3284.3619532399121</v>
      </c>
    </row>
    <row r="80" spans="1:17" s="1" customFormat="1" ht="10.5" x14ac:dyDescent="0.25">
      <c r="A80" s="13" t="s">
        <v>82</v>
      </c>
      <c r="B80" s="12">
        <f t="shared" ref="B80:Q80" si="15">SUM(B50,B53,B67,B76:B79)</f>
        <v>2850921.5</v>
      </c>
      <c r="C80" s="12">
        <f t="shared" si="15"/>
        <v>689.69357259000003</v>
      </c>
      <c r="D80" s="12">
        <f t="shared" si="15"/>
        <v>3678792.9645702005</v>
      </c>
      <c r="E80" s="12">
        <f t="shared" si="15"/>
        <v>3631.8107849999997</v>
      </c>
      <c r="F80" s="12">
        <f t="shared" si="15"/>
        <v>286487.18560416246</v>
      </c>
      <c r="G80" s="12">
        <f t="shared" si="15"/>
        <v>203021.87411252773</v>
      </c>
      <c r="H80" s="12">
        <f t="shared" si="15"/>
        <v>34361.075181</v>
      </c>
      <c r="I80" s="12">
        <f t="shared" si="15"/>
        <v>34199.411433689878</v>
      </c>
      <c r="J80" s="33">
        <f t="shared" si="15"/>
        <v>-123236.52654040123</v>
      </c>
      <c r="K80" s="12">
        <f t="shared" si="12"/>
        <v>4117257.7951461803</v>
      </c>
      <c r="L80" s="12">
        <f t="shared" si="15"/>
        <v>228.15294</v>
      </c>
      <c r="M80" s="12">
        <f t="shared" si="15"/>
        <v>0</v>
      </c>
      <c r="N80" s="33">
        <f t="shared" si="15"/>
        <v>-228.15294</v>
      </c>
      <c r="O80" s="12">
        <f t="shared" si="13"/>
        <v>0</v>
      </c>
      <c r="P80" s="33">
        <f t="shared" si="15"/>
        <v>-2893675.0806896002</v>
      </c>
      <c r="Q80" s="12">
        <f t="shared" si="14"/>
        <v>4075193.9080291702</v>
      </c>
    </row>
    <row r="81" spans="1:17" s="1" customFormat="1" ht="10.5" x14ac:dyDescent="0.25">
      <c r="A81" s="18" t="s">
        <v>83</v>
      </c>
      <c r="B81" s="19">
        <f t="shared" ref="B81:Q81" si="16">B34+B41+0+B80</f>
        <v>3228119.9</v>
      </c>
      <c r="C81" s="19">
        <f t="shared" si="16"/>
        <v>-15234.967528950001</v>
      </c>
      <c r="D81" s="19">
        <f t="shared" si="16"/>
        <v>5141542.8270153003</v>
      </c>
      <c r="E81" s="19">
        <f t="shared" si="16"/>
        <v>-16452.6280596</v>
      </c>
      <c r="F81" s="19">
        <f t="shared" si="16"/>
        <v>421963.03722454701</v>
      </c>
      <c r="G81" s="19">
        <f t="shared" si="16"/>
        <v>285194.36434624362</v>
      </c>
      <c r="H81" s="19">
        <f t="shared" si="16"/>
        <v>147382.24747589999</v>
      </c>
      <c r="I81" s="19">
        <f t="shared" si="16"/>
        <v>81630.449286995077</v>
      </c>
      <c r="J81" s="34">
        <f t="shared" si="16"/>
        <v>-123236.52654040123</v>
      </c>
      <c r="K81" s="19">
        <f t="shared" si="12"/>
        <v>5938023.770748985</v>
      </c>
      <c r="L81" s="19">
        <f t="shared" si="16"/>
        <v>228.15294</v>
      </c>
      <c r="M81" s="19">
        <f t="shared" si="16"/>
        <v>0</v>
      </c>
      <c r="N81" s="34">
        <f t="shared" si="16"/>
        <v>-228.15294</v>
      </c>
      <c r="O81" s="19">
        <f t="shared" si="13"/>
        <v>0</v>
      </c>
      <c r="P81" s="34">
        <f t="shared" si="16"/>
        <v>-2893675.0806896002</v>
      </c>
      <c r="Q81" s="19">
        <f t="shared" si="14"/>
        <v>6257233.6225304343</v>
      </c>
    </row>
    <row r="82" spans="1:17" s="1" customFormat="1" ht="10.5" x14ac:dyDescent="0.25">
      <c r="A82" s="6" t="s">
        <v>84</v>
      </c>
      <c r="B82" s="5"/>
      <c r="C82" s="5"/>
      <c r="D82" s="5"/>
      <c r="E82" s="5"/>
      <c r="F82" s="5"/>
      <c r="G82" s="5"/>
      <c r="H82" s="5"/>
      <c r="I82" s="5"/>
      <c r="J82" s="31"/>
      <c r="K82" s="5">
        <f t="shared" si="12"/>
        <v>0</v>
      </c>
      <c r="L82" s="5"/>
      <c r="M82" s="5"/>
      <c r="N82" s="31"/>
      <c r="O82" s="5">
        <f t="shared" si="13"/>
        <v>0</v>
      </c>
      <c r="P82" s="31"/>
      <c r="Q82" s="5">
        <f t="shared" si="14"/>
        <v>0</v>
      </c>
    </row>
    <row r="83" spans="1:17" s="1" customFormat="1" ht="10.5" x14ac:dyDescent="0.25">
      <c r="A83" s="7" t="s">
        <v>85</v>
      </c>
      <c r="B83" s="5"/>
      <c r="C83" s="5"/>
      <c r="D83" s="5"/>
      <c r="E83" s="5"/>
      <c r="F83" s="5"/>
      <c r="G83" s="5"/>
      <c r="H83" s="5"/>
      <c r="I83" s="5"/>
      <c r="J83" s="31"/>
      <c r="K83" s="5">
        <f t="shared" si="12"/>
        <v>0</v>
      </c>
      <c r="L83" s="5"/>
      <c r="M83" s="5"/>
      <c r="N83" s="31"/>
      <c r="O83" s="5">
        <f t="shared" si="13"/>
        <v>0</v>
      </c>
      <c r="P83" s="31"/>
      <c r="Q83" s="5">
        <f t="shared" si="14"/>
        <v>0</v>
      </c>
    </row>
    <row r="84" spans="1:17" s="1" customFormat="1" ht="10" x14ac:dyDescent="0.2">
      <c r="A84" s="17" t="s">
        <v>86</v>
      </c>
      <c r="B84" s="10">
        <v>0</v>
      </c>
      <c r="C84" s="10">
        <v>3837.0466866000002</v>
      </c>
      <c r="D84" s="10">
        <v>13070.531796900001</v>
      </c>
      <c r="E84" s="10">
        <v>0</v>
      </c>
      <c r="F84" s="10">
        <v>0</v>
      </c>
      <c r="G84" s="10">
        <v>0</v>
      </c>
      <c r="H84" s="10">
        <v>0</v>
      </c>
      <c r="I84" s="10">
        <v>430.13899021625281</v>
      </c>
      <c r="J84" s="32"/>
      <c r="K84" s="10">
        <f t="shared" si="12"/>
        <v>13500.670787116254</v>
      </c>
      <c r="L84" s="10">
        <v>0</v>
      </c>
      <c r="M84" s="10">
        <v>0</v>
      </c>
      <c r="N84" s="32"/>
      <c r="O84" s="10">
        <f t="shared" si="13"/>
        <v>0</v>
      </c>
      <c r="P84" s="32"/>
      <c r="Q84" s="10">
        <f t="shared" si="14"/>
        <v>17337.717473716253</v>
      </c>
    </row>
    <row r="85" spans="1:17" s="1" customFormat="1" ht="10" x14ac:dyDescent="0.2">
      <c r="A85" s="17" t="s">
        <v>87</v>
      </c>
      <c r="B85" s="10">
        <v>0</v>
      </c>
      <c r="C85" s="10">
        <v>-2732.8048849500001</v>
      </c>
      <c r="D85" s="10">
        <v>-2027.1049877999999</v>
      </c>
      <c r="E85" s="10">
        <v>0</v>
      </c>
      <c r="F85" s="10">
        <v>0</v>
      </c>
      <c r="G85" s="10">
        <v>0</v>
      </c>
      <c r="H85" s="10">
        <v>0</v>
      </c>
      <c r="I85" s="10">
        <v>0</v>
      </c>
      <c r="J85" s="32"/>
      <c r="K85" s="10">
        <f t="shared" si="12"/>
        <v>-2027.1049877999999</v>
      </c>
      <c r="L85" s="10">
        <v>0</v>
      </c>
      <c r="M85" s="10">
        <v>0</v>
      </c>
      <c r="N85" s="32"/>
      <c r="O85" s="10">
        <f t="shared" si="13"/>
        <v>0</v>
      </c>
      <c r="P85" s="32"/>
      <c r="Q85" s="10">
        <f t="shared" si="14"/>
        <v>-4759.9098727500004</v>
      </c>
    </row>
    <row r="86" spans="1:17" s="1" customFormat="1" ht="10.5" x14ac:dyDescent="0.25">
      <c r="A86" s="13" t="s">
        <v>88</v>
      </c>
      <c r="B86" s="12">
        <f t="shared" ref="B86:Q86" si="17">SUM(B84:B85)</f>
        <v>0</v>
      </c>
      <c r="C86" s="12">
        <f t="shared" si="17"/>
        <v>1104.2418016500001</v>
      </c>
      <c r="D86" s="12">
        <f t="shared" si="17"/>
        <v>11043.426809100001</v>
      </c>
      <c r="E86" s="12">
        <f t="shared" si="17"/>
        <v>0</v>
      </c>
      <c r="F86" s="12">
        <f t="shared" si="17"/>
        <v>0</v>
      </c>
      <c r="G86" s="12">
        <f t="shared" si="17"/>
        <v>0</v>
      </c>
      <c r="H86" s="12">
        <f t="shared" si="17"/>
        <v>0</v>
      </c>
      <c r="I86" s="12">
        <f t="shared" si="17"/>
        <v>430.13899021625281</v>
      </c>
      <c r="J86" s="33">
        <f t="shared" si="17"/>
        <v>0</v>
      </c>
      <c r="K86" s="12">
        <f t="shared" si="12"/>
        <v>11473.565799316255</v>
      </c>
      <c r="L86" s="12">
        <f t="shared" si="17"/>
        <v>0</v>
      </c>
      <c r="M86" s="12">
        <f t="shared" si="17"/>
        <v>0</v>
      </c>
      <c r="N86" s="33">
        <f t="shared" si="17"/>
        <v>0</v>
      </c>
      <c r="O86" s="12">
        <f t="shared" si="13"/>
        <v>0</v>
      </c>
      <c r="P86" s="33">
        <f t="shared" si="17"/>
        <v>0</v>
      </c>
      <c r="Q86" s="12">
        <f t="shared" si="14"/>
        <v>12577.807600966255</v>
      </c>
    </row>
    <row r="87" spans="1:17" s="1" customFormat="1" ht="10.5" x14ac:dyDescent="0.25">
      <c r="A87" s="7" t="s">
        <v>89</v>
      </c>
      <c r="B87" s="5"/>
      <c r="C87" s="5"/>
      <c r="D87" s="5"/>
      <c r="E87" s="5"/>
      <c r="F87" s="5"/>
      <c r="G87" s="5"/>
      <c r="H87" s="5"/>
      <c r="I87" s="5"/>
      <c r="J87" s="31"/>
      <c r="K87" s="5">
        <f t="shared" si="12"/>
        <v>0</v>
      </c>
      <c r="L87" s="5"/>
      <c r="M87" s="5"/>
      <c r="N87" s="31"/>
      <c r="O87" s="5">
        <f t="shared" si="13"/>
        <v>0</v>
      </c>
      <c r="P87" s="31"/>
      <c r="Q87" s="5">
        <f t="shared" si="14"/>
        <v>0</v>
      </c>
    </row>
    <row r="88" spans="1:17" s="1" customFormat="1" ht="10" x14ac:dyDescent="0.2">
      <c r="A88" s="17" t="s">
        <v>90</v>
      </c>
      <c r="B88" s="10">
        <v>0</v>
      </c>
      <c r="C88" s="10">
        <v>0</v>
      </c>
      <c r="D88" s="10">
        <v>25293.272117100001</v>
      </c>
      <c r="E88" s="10">
        <v>0</v>
      </c>
      <c r="F88" s="10">
        <v>0</v>
      </c>
      <c r="G88" s="10">
        <v>2199.4372792152685</v>
      </c>
      <c r="H88" s="10">
        <v>0</v>
      </c>
      <c r="I88" s="10">
        <v>8680.659454023682</v>
      </c>
      <c r="J88" s="32"/>
      <c r="K88" s="10">
        <f t="shared" si="12"/>
        <v>36173.368850338949</v>
      </c>
      <c r="L88" s="10">
        <v>0</v>
      </c>
      <c r="M88" s="10">
        <v>0</v>
      </c>
      <c r="N88" s="32"/>
      <c r="O88" s="10">
        <f t="shared" si="13"/>
        <v>0</v>
      </c>
      <c r="P88" s="32"/>
      <c r="Q88" s="10">
        <f t="shared" si="14"/>
        <v>36173.368850338949</v>
      </c>
    </row>
    <row r="89" spans="1:17" s="1" customFormat="1" ht="10" x14ac:dyDescent="0.2">
      <c r="A89" s="17" t="s">
        <v>91</v>
      </c>
      <c r="B89" s="10">
        <v>0</v>
      </c>
      <c r="C89" s="10">
        <v>0</v>
      </c>
      <c r="D89" s="10">
        <v>-1651.4997393000001</v>
      </c>
      <c r="E89" s="10">
        <v>0</v>
      </c>
      <c r="F89" s="10">
        <v>0</v>
      </c>
      <c r="G89" s="10">
        <v>-2199.4372792152685</v>
      </c>
      <c r="H89" s="10">
        <v>0</v>
      </c>
      <c r="I89" s="10">
        <v>0</v>
      </c>
      <c r="J89" s="32"/>
      <c r="K89" s="10">
        <f t="shared" si="12"/>
        <v>-3850.9370185152684</v>
      </c>
      <c r="L89" s="10">
        <v>0</v>
      </c>
      <c r="M89" s="10">
        <v>0</v>
      </c>
      <c r="N89" s="32"/>
      <c r="O89" s="10">
        <f t="shared" si="13"/>
        <v>0</v>
      </c>
      <c r="P89" s="32"/>
      <c r="Q89" s="10">
        <f t="shared" si="14"/>
        <v>-3850.9370185152684</v>
      </c>
    </row>
    <row r="90" spans="1:17" s="1" customFormat="1" ht="10.5" x14ac:dyDescent="0.25">
      <c r="A90" s="13" t="s">
        <v>92</v>
      </c>
      <c r="B90" s="12">
        <f t="shared" ref="B90:Q90" si="18">SUM(B88:B89)</f>
        <v>0</v>
      </c>
      <c r="C90" s="12">
        <f t="shared" si="18"/>
        <v>0</v>
      </c>
      <c r="D90" s="12">
        <f t="shared" si="18"/>
        <v>23641.7723778</v>
      </c>
      <c r="E90" s="12">
        <f t="shared" si="18"/>
        <v>0</v>
      </c>
      <c r="F90" s="12">
        <f t="shared" si="18"/>
        <v>0</v>
      </c>
      <c r="G90" s="12">
        <f t="shared" si="18"/>
        <v>0</v>
      </c>
      <c r="H90" s="12">
        <f t="shared" si="18"/>
        <v>0</v>
      </c>
      <c r="I90" s="12">
        <f t="shared" si="18"/>
        <v>8680.659454023682</v>
      </c>
      <c r="J90" s="33">
        <f t="shared" si="18"/>
        <v>0</v>
      </c>
      <c r="K90" s="12">
        <f t="shared" si="12"/>
        <v>32322.431831823684</v>
      </c>
      <c r="L90" s="12">
        <f t="shared" si="18"/>
        <v>0</v>
      </c>
      <c r="M90" s="12">
        <f t="shared" si="18"/>
        <v>0</v>
      </c>
      <c r="N90" s="33">
        <f t="shared" si="18"/>
        <v>0</v>
      </c>
      <c r="O90" s="12">
        <f t="shared" si="13"/>
        <v>0</v>
      </c>
      <c r="P90" s="33">
        <f t="shared" si="18"/>
        <v>0</v>
      </c>
      <c r="Q90" s="12">
        <f t="shared" si="14"/>
        <v>32322.431831823684</v>
      </c>
    </row>
    <row r="91" spans="1:17" s="1" customFormat="1" ht="10.5" x14ac:dyDescent="0.25">
      <c r="A91" s="7" t="s">
        <v>93</v>
      </c>
      <c r="B91" s="5"/>
      <c r="C91" s="5"/>
      <c r="D91" s="5"/>
      <c r="E91" s="5"/>
      <c r="F91" s="5"/>
      <c r="G91" s="5"/>
      <c r="H91" s="5"/>
      <c r="I91" s="5"/>
      <c r="J91" s="31"/>
      <c r="K91" s="5">
        <f t="shared" si="12"/>
        <v>0</v>
      </c>
      <c r="L91" s="5"/>
      <c r="M91" s="5"/>
      <c r="N91" s="31"/>
      <c r="O91" s="5">
        <f t="shared" si="13"/>
        <v>0</v>
      </c>
      <c r="P91" s="31"/>
      <c r="Q91" s="5">
        <f t="shared" si="14"/>
        <v>0</v>
      </c>
    </row>
    <row r="92" spans="1:17" s="1" customFormat="1" ht="10" x14ac:dyDescent="0.2">
      <c r="A92" s="17" t="s">
        <v>94</v>
      </c>
      <c r="B92" s="10">
        <v>0</v>
      </c>
      <c r="C92" s="10">
        <v>10400.724414030001</v>
      </c>
      <c r="D92" s="10">
        <v>15583.625136299999</v>
      </c>
      <c r="E92" s="10">
        <v>0</v>
      </c>
      <c r="F92" s="10">
        <v>1754.61642539175</v>
      </c>
      <c r="G92" s="10">
        <v>0</v>
      </c>
      <c r="H92" s="10">
        <v>0</v>
      </c>
      <c r="I92" s="10">
        <v>6107.1492413463338</v>
      </c>
      <c r="J92" s="32"/>
      <c r="K92" s="10">
        <f t="shared" si="12"/>
        <v>23445.390803038084</v>
      </c>
      <c r="L92" s="10">
        <v>0</v>
      </c>
      <c r="M92" s="10">
        <v>0</v>
      </c>
      <c r="N92" s="32"/>
      <c r="O92" s="10">
        <f t="shared" si="13"/>
        <v>0</v>
      </c>
      <c r="P92" s="32"/>
      <c r="Q92" s="10">
        <f t="shared" si="14"/>
        <v>33846.115217068087</v>
      </c>
    </row>
    <row r="93" spans="1:17" s="1" customFormat="1" ht="10" x14ac:dyDescent="0.2">
      <c r="A93" s="17" t="s">
        <v>95</v>
      </c>
      <c r="B93" s="10">
        <v>0</v>
      </c>
      <c r="C93" s="10">
        <v>0</v>
      </c>
      <c r="D93" s="10">
        <v>-5947.2016955999998</v>
      </c>
      <c r="E93" s="10">
        <v>0</v>
      </c>
      <c r="F93" s="10">
        <v>0</v>
      </c>
      <c r="G93" s="10">
        <v>0</v>
      </c>
      <c r="H93" s="10">
        <v>0</v>
      </c>
      <c r="I93" s="10">
        <v>0</v>
      </c>
      <c r="J93" s="32"/>
      <c r="K93" s="10">
        <f t="shared" si="12"/>
        <v>-5947.2016955999998</v>
      </c>
      <c r="L93" s="10">
        <v>0</v>
      </c>
      <c r="M93" s="10">
        <v>0</v>
      </c>
      <c r="N93" s="32"/>
      <c r="O93" s="10">
        <f t="shared" si="13"/>
        <v>0</v>
      </c>
      <c r="P93" s="32"/>
      <c r="Q93" s="10">
        <f t="shared" si="14"/>
        <v>-5947.2016955999998</v>
      </c>
    </row>
    <row r="94" spans="1:17" s="1" customFormat="1" ht="10.5" x14ac:dyDescent="0.25">
      <c r="A94" s="13" t="s">
        <v>96</v>
      </c>
      <c r="B94" s="12">
        <f t="shared" ref="B94:Q94" si="19">SUM(B92:B93)</f>
        <v>0</v>
      </c>
      <c r="C94" s="12">
        <f t="shared" si="19"/>
        <v>10400.724414030001</v>
      </c>
      <c r="D94" s="12">
        <f t="shared" si="19"/>
        <v>9636.4234407000004</v>
      </c>
      <c r="E94" s="12">
        <f t="shared" si="19"/>
        <v>0</v>
      </c>
      <c r="F94" s="12">
        <f t="shared" si="19"/>
        <v>1754.61642539175</v>
      </c>
      <c r="G94" s="12">
        <f t="shared" si="19"/>
        <v>0</v>
      </c>
      <c r="H94" s="12">
        <f t="shared" si="19"/>
        <v>0</v>
      </c>
      <c r="I94" s="12">
        <f t="shared" si="19"/>
        <v>6107.1492413463338</v>
      </c>
      <c r="J94" s="33">
        <f t="shared" si="19"/>
        <v>0</v>
      </c>
      <c r="K94" s="12">
        <f t="shared" si="12"/>
        <v>17498.189107438084</v>
      </c>
      <c r="L94" s="12">
        <f t="shared" si="19"/>
        <v>0</v>
      </c>
      <c r="M94" s="12">
        <f t="shared" si="19"/>
        <v>0</v>
      </c>
      <c r="N94" s="33">
        <f t="shared" si="19"/>
        <v>0</v>
      </c>
      <c r="O94" s="12">
        <f t="shared" si="13"/>
        <v>0</v>
      </c>
      <c r="P94" s="33">
        <f t="shared" si="19"/>
        <v>0</v>
      </c>
      <c r="Q94" s="12">
        <f t="shared" si="14"/>
        <v>27898.913521468086</v>
      </c>
    </row>
    <row r="95" spans="1:17" s="1" customFormat="1" ht="10.5" x14ac:dyDescent="0.25">
      <c r="A95" s="7" t="s">
        <v>97</v>
      </c>
      <c r="B95" s="5"/>
      <c r="C95" s="5"/>
      <c r="D95" s="5"/>
      <c r="E95" s="5"/>
      <c r="F95" s="5"/>
      <c r="G95" s="5"/>
      <c r="H95" s="5"/>
      <c r="I95" s="5"/>
      <c r="J95" s="31"/>
      <c r="K95" s="5">
        <f t="shared" si="12"/>
        <v>0</v>
      </c>
      <c r="L95" s="5"/>
      <c r="M95" s="5"/>
      <c r="N95" s="31"/>
      <c r="O95" s="5">
        <f t="shared" si="13"/>
        <v>0</v>
      </c>
      <c r="P95" s="31"/>
      <c r="Q95" s="5">
        <f t="shared" si="14"/>
        <v>0</v>
      </c>
    </row>
    <row r="96" spans="1:17" s="1" customFormat="1" ht="10" x14ac:dyDescent="0.2">
      <c r="A96" s="17" t="s">
        <v>98</v>
      </c>
      <c r="B96" s="10">
        <v>0</v>
      </c>
      <c r="C96" s="10">
        <v>2839.7193912600001</v>
      </c>
      <c r="D96" s="10">
        <v>0</v>
      </c>
      <c r="E96" s="10">
        <v>0</v>
      </c>
      <c r="F96" s="10">
        <v>14324.276071594135</v>
      </c>
      <c r="G96" s="10">
        <v>0</v>
      </c>
      <c r="H96" s="10">
        <v>0</v>
      </c>
      <c r="I96" s="10">
        <v>0</v>
      </c>
      <c r="J96" s="32"/>
      <c r="K96" s="10">
        <f t="shared" si="12"/>
        <v>14324.276071594135</v>
      </c>
      <c r="L96" s="10">
        <v>0</v>
      </c>
      <c r="M96" s="10">
        <v>0</v>
      </c>
      <c r="N96" s="32"/>
      <c r="O96" s="10">
        <f t="shared" si="13"/>
        <v>0</v>
      </c>
      <c r="P96" s="32"/>
      <c r="Q96" s="10">
        <f t="shared" si="14"/>
        <v>17163.995462854135</v>
      </c>
    </row>
    <row r="97" spans="1:17" s="1" customFormat="1" ht="10" x14ac:dyDescent="0.2">
      <c r="A97" s="17" t="s">
        <v>99</v>
      </c>
      <c r="B97" s="10">
        <v>0</v>
      </c>
      <c r="C97" s="10">
        <v>-567.94362164999995</v>
      </c>
      <c r="D97" s="10">
        <v>0</v>
      </c>
      <c r="E97" s="10">
        <v>0</v>
      </c>
      <c r="F97" s="10">
        <v>0</v>
      </c>
      <c r="G97" s="10">
        <v>0</v>
      </c>
      <c r="H97" s="10">
        <v>0</v>
      </c>
      <c r="I97" s="10">
        <v>0</v>
      </c>
      <c r="J97" s="32"/>
      <c r="K97" s="10">
        <f t="shared" si="12"/>
        <v>0</v>
      </c>
      <c r="L97" s="10">
        <v>0</v>
      </c>
      <c r="M97" s="10">
        <v>0</v>
      </c>
      <c r="N97" s="32"/>
      <c r="O97" s="10">
        <f t="shared" si="13"/>
        <v>0</v>
      </c>
      <c r="P97" s="32"/>
      <c r="Q97" s="10">
        <f t="shared" si="14"/>
        <v>-567.94362164999995</v>
      </c>
    </row>
    <row r="98" spans="1:17" s="1" customFormat="1" ht="10.5" x14ac:dyDescent="0.25">
      <c r="A98" s="13" t="s">
        <v>100</v>
      </c>
      <c r="B98" s="12">
        <f t="shared" ref="B98:Q98" si="20">SUM(B96:B97)</f>
        <v>0</v>
      </c>
      <c r="C98" s="12">
        <f t="shared" si="20"/>
        <v>2271.7757696100002</v>
      </c>
      <c r="D98" s="12">
        <f t="shared" si="20"/>
        <v>0</v>
      </c>
      <c r="E98" s="12">
        <f t="shared" si="20"/>
        <v>0</v>
      </c>
      <c r="F98" s="12">
        <f t="shared" si="20"/>
        <v>14324.276071594135</v>
      </c>
      <c r="G98" s="12">
        <f t="shared" si="20"/>
        <v>0</v>
      </c>
      <c r="H98" s="12">
        <f t="shared" si="20"/>
        <v>0</v>
      </c>
      <c r="I98" s="12">
        <f t="shared" si="20"/>
        <v>0</v>
      </c>
      <c r="J98" s="33">
        <f t="shared" si="20"/>
        <v>0</v>
      </c>
      <c r="K98" s="12">
        <f t="shared" si="12"/>
        <v>14324.276071594135</v>
      </c>
      <c r="L98" s="12">
        <f t="shared" si="20"/>
        <v>0</v>
      </c>
      <c r="M98" s="12">
        <f t="shared" si="20"/>
        <v>0</v>
      </c>
      <c r="N98" s="33">
        <f t="shared" si="20"/>
        <v>0</v>
      </c>
      <c r="O98" s="12">
        <f t="shared" si="13"/>
        <v>0</v>
      </c>
      <c r="P98" s="33">
        <f t="shared" si="20"/>
        <v>0</v>
      </c>
      <c r="Q98" s="12">
        <f t="shared" si="14"/>
        <v>16596.051841204135</v>
      </c>
    </row>
    <row r="99" spans="1:17" s="1" customFormat="1" ht="10.5" x14ac:dyDescent="0.25">
      <c r="A99" s="7" t="s">
        <v>101</v>
      </c>
      <c r="B99" s="5"/>
      <c r="C99" s="5"/>
      <c r="D99" s="5"/>
      <c r="E99" s="5"/>
      <c r="F99" s="5"/>
      <c r="G99" s="5"/>
      <c r="H99" s="5"/>
      <c r="I99" s="5"/>
      <c r="J99" s="31"/>
      <c r="K99" s="5">
        <f t="shared" si="12"/>
        <v>0</v>
      </c>
      <c r="L99" s="5"/>
      <c r="M99" s="5"/>
      <c r="N99" s="31"/>
      <c r="O99" s="5">
        <f t="shared" si="13"/>
        <v>0</v>
      </c>
      <c r="P99" s="31"/>
      <c r="Q99" s="5">
        <f t="shared" si="14"/>
        <v>0</v>
      </c>
    </row>
    <row r="100" spans="1:17" s="1" customFormat="1" ht="10" x14ac:dyDescent="0.2">
      <c r="A100" s="17" t="s">
        <v>102</v>
      </c>
      <c r="B100" s="10">
        <v>0</v>
      </c>
      <c r="C100" s="10">
        <v>0</v>
      </c>
      <c r="D100" s="10">
        <v>39635.813027999997</v>
      </c>
      <c r="E100" s="10">
        <v>0</v>
      </c>
      <c r="F100" s="10">
        <v>6058.079114453195</v>
      </c>
      <c r="G100" s="10">
        <v>0</v>
      </c>
      <c r="H100" s="10">
        <v>0</v>
      </c>
      <c r="I100" s="10">
        <v>0</v>
      </c>
      <c r="J100" s="32"/>
      <c r="K100" s="10">
        <f t="shared" si="12"/>
        <v>45693.892142453195</v>
      </c>
      <c r="L100" s="10">
        <v>0</v>
      </c>
      <c r="M100" s="10">
        <v>0</v>
      </c>
      <c r="N100" s="32"/>
      <c r="O100" s="10">
        <f t="shared" si="13"/>
        <v>0</v>
      </c>
      <c r="P100" s="32"/>
      <c r="Q100" s="10">
        <f t="shared" si="14"/>
        <v>45693.892142453195</v>
      </c>
    </row>
    <row r="101" spans="1:17" s="1" customFormat="1" ht="10" x14ac:dyDescent="0.2">
      <c r="A101" s="17" t="s">
        <v>103</v>
      </c>
      <c r="B101" s="10">
        <v>0</v>
      </c>
      <c r="C101" s="10">
        <v>0</v>
      </c>
      <c r="D101" s="10">
        <v>-5197.0754897999996</v>
      </c>
      <c r="E101" s="10">
        <v>0</v>
      </c>
      <c r="F101" s="10">
        <v>0</v>
      </c>
      <c r="G101" s="10">
        <v>0</v>
      </c>
      <c r="H101" s="10">
        <v>0</v>
      </c>
      <c r="I101" s="10">
        <v>0</v>
      </c>
      <c r="J101" s="32"/>
      <c r="K101" s="10">
        <f t="shared" si="12"/>
        <v>-5197.0754897999996</v>
      </c>
      <c r="L101" s="10">
        <v>0</v>
      </c>
      <c r="M101" s="10">
        <v>0</v>
      </c>
      <c r="N101" s="32"/>
      <c r="O101" s="10">
        <f t="shared" si="13"/>
        <v>0</v>
      </c>
      <c r="P101" s="32"/>
      <c r="Q101" s="10">
        <f t="shared" si="14"/>
        <v>-5197.0754897999996</v>
      </c>
    </row>
    <row r="102" spans="1:17" s="1" customFormat="1" ht="10.5" x14ac:dyDescent="0.25">
      <c r="A102" s="13" t="s">
        <v>104</v>
      </c>
      <c r="B102" s="12">
        <f t="shared" ref="B102:Q102" si="21">SUM(B100:B101)</f>
        <v>0</v>
      </c>
      <c r="C102" s="12">
        <f t="shared" si="21"/>
        <v>0</v>
      </c>
      <c r="D102" s="12">
        <f t="shared" si="21"/>
        <v>34438.737538199995</v>
      </c>
      <c r="E102" s="12">
        <f t="shared" si="21"/>
        <v>0</v>
      </c>
      <c r="F102" s="12">
        <f t="shared" si="21"/>
        <v>6058.079114453195</v>
      </c>
      <c r="G102" s="12">
        <f t="shared" si="21"/>
        <v>0</v>
      </c>
      <c r="H102" s="12">
        <f t="shared" si="21"/>
        <v>0</v>
      </c>
      <c r="I102" s="12">
        <f t="shared" si="21"/>
        <v>0</v>
      </c>
      <c r="J102" s="33">
        <f t="shared" si="21"/>
        <v>0</v>
      </c>
      <c r="K102" s="12">
        <f t="shared" si="12"/>
        <v>40496.816652653193</v>
      </c>
      <c r="L102" s="12">
        <f t="shared" si="21"/>
        <v>0</v>
      </c>
      <c r="M102" s="12">
        <f t="shared" si="21"/>
        <v>0</v>
      </c>
      <c r="N102" s="33">
        <f t="shared" si="21"/>
        <v>0</v>
      </c>
      <c r="O102" s="12">
        <f t="shared" si="13"/>
        <v>0</v>
      </c>
      <c r="P102" s="33">
        <f t="shared" si="21"/>
        <v>0</v>
      </c>
      <c r="Q102" s="12">
        <f t="shared" si="14"/>
        <v>40496.816652653193</v>
      </c>
    </row>
    <row r="103" spans="1:17" s="1" customFormat="1" ht="10.5" x14ac:dyDescent="0.25">
      <c r="A103" s="13" t="s">
        <v>409</v>
      </c>
      <c r="B103" s="12"/>
      <c r="C103" s="12"/>
      <c r="D103" s="12"/>
      <c r="E103" s="12"/>
      <c r="F103" s="12"/>
      <c r="G103" s="12"/>
      <c r="H103" s="12"/>
      <c r="I103" s="12"/>
      <c r="J103" s="33"/>
      <c r="K103" s="12">
        <f t="shared" si="12"/>
        <v>0</v>
      </c>
      <c r="L103" s="12"/>
      <c r="M103" s="12"/>
      <c r="N103" s="33"/>
      <c r="O103" s="12">
        <f t="shared" si="13"/>
        <v>0</v>
      </c>
      <c r="P103" s="33"/>
      <c r="Q103" s="12">
        <f>Goodwill!B4</f>
        <v>0</v>
      </c>
    </row>
    <row r="104" spans="1:17" s="1" customFormat="1" ht="10.5" x14ac:dyDescent="0.25">
      <c r="A104" s="20" t="s">
        <v>105</v>
      </c>
      <c r="B104" s="12">
        <f t="shared" ref="B104:Q104" si="22">SUM(B86,B90,B94,B98,B102)+ B103</f>
        <v>0</v>
      </c>
      <c r="C104" s="12">
        <f t="shared" si="22"/>
        <v>13776.74198529</v>
      </c>
      <c r="D104" s="12">
        <f t="shared" si="22"/>
        <v>78760.360165799997</v>
      </c>
      <c r="E104" s="12">
        <f t="shared" si="22"/>
        <v>0</v>
      </c>
      <c r="F104" s="12">
        <f t="shared" si="22"/>
        <v>22136.971611439079</v>
      </c>
      <c r="G104" s="12">
        <f t="shared" si="22"/>
        <v>0</v>
      </c>
      <c r="H104" s="12">
        <f t="shared" si="22"/>
        <v>0</v>
      </c>
      <c r="I104" s="12">
        <f t="shared" si="22"/>
        <v>15217.94768558627</v>
      </c>
      <c r="J104" s="33">
        <f t="shared" si="22"/>
        <v>0</v>
      </c>
      <c r="K104" s="12">
        <f t="shared" si="12"/>
        <v>116115.27946282535</v>
      </c>
      <c r="L104" s="12">
        <f t="shared" si="22"/>
        <v>0</v>
      </c>
      <c r="M104" s="12">
        <f t="shared" si="22"/>
        <v>0</v>
      </c>
      <c r="N104" s="33">
        <f t="shared" si="22"/>
        <v>0</v>
      </c>
      <c r="O104" s="12">
        <f t="shared" si="13"/>
        <v>0</v>
      </c>
      <c r="P104" s="33">
        <f t="shared" si="22"/>
        <v>0</v>
      </c>
      <c r="Q104" s="12">
        <f t="shared" si="14"/>
        <v>129892.02144811535</v>
      </c>
    </row>
    <row r="105" spans="1:17" s="1" customFormat="1" ht="10.5" x14ac:dyDescent="0.2">
      <c r="A105" s="21" t="s">
        <v>106</v>
      </c>
      <c r="B105" s="19">
        <f t="shared" ref="B105:Q105" si="23">B81+B104+0</f>
        <v>3228119.9</v>
      </c>
      <c r="C105" s="19">
        <f t="shared" si="23"/>
        <v>-1458.2255436600008</v>
      </c>
      <c r="D105" s="19">
        <f t="shared" si="23"/>
        <v>5220303.1871811002</v>
      </c>
      <c r="E105" s="19">
        <f t="shared" si="23"/>
        <v>-16452.6280596</v>
      </c>
      <c r="F105" s="19">
        <f t="shared" si="23"/>
        <v>444100.00883598608</v>
      </c>
      <c r="G105" s="19">
        <f t="shared" si="23"/>
        <v>285194.36434624362</v>
      </c>
      <c r="H105" s="19">
        <f t="shared" si="23"/>
        <v>147382.24747589999</v>
      </c>
      <c r="I105" s="19">
        <f t="shared" si="23"/>
        <v>96848.396972581351</v>
      </c>
      <c r="J105" s="34">
        <f t="shared" si="23"/>
        <v>-123236.52654040123</v>
      </c>
      <c r="K105" s="19">
        <f t="shared" si="12"/>
        <v>6054139.0502118105</v>
      </c>
      <c r="L105" s="19">
        <f t="shared" si="23"/>
        <v>228.15294</v>
      </c>
      <c r="M105" s="19">
        <f t="shared" si="23"/>
        <v>0</v>
      </c>
      <c r="N105" s="34">
        <f t="shared" si="23"/>
        <v>-228.15294</v>
      </c>
      <c r="O105" s="19">
        <f t="shared" si="13"/>
        <v>0</v>
      </c>
      <c r="P105" s="34">
        <f t="shared" si="23"/>
        <v>-2893675.0806896002</v>
      </c>
      <c r="Q105" s="19">
        <f t="shared" si="14"/>
        <v>6387125.6439785501</v>
      </c>
    </row>
    <row r="106" spans="1:17" s="1" customFormat="1" ht="10.5" x14ac:dyDescent="0.2">
      <c r="A106" s="4" t="s">
        <v>107</v>
      </c>
      <c r="B106" s="5"/>
      <c r="C106" s="5"/>
      <c r="D106" s="5"/>
      <c r="E106" s="5"/>
      <c r="F106" s="5"/>
      <c r="G106" s="5"/>
      <c r="H106" s="5"/>
      <c r="I106" s="5"/>
      <c r="J106" s="31"/>
      <c r="K106" s="5">
        <f t="shared" si="12"/>
        <v>0</v>
      </c>
      <c r="L106" s="5"/>
      <c r="M106" s="5"/>
      <c r="N106" s="31"/>
      <c r="O106" s="5">
        <f t="shared" si="13"/>
        <v>0</v>
      </c>
      <c r="P106" s="31"/>
      <c r="Q106" s="5">
        <f t="shared" si="14"/>
        <v>0</v>
      </c>
    </row>
    <row r="107" spans="1:17" s="1" customFormat="1" ht="10.5" x14ac:dyDescent="0.25">
      <c r="A107" s="6" t="s">
        <v>108</v>
      </c>
      <c r="B107" s="5"/>
      <c r="C107" s="5"/>
      <c r="D107" s="5"/>
      <c r="E107" s="5"/>
      <c r="F107" s="5"/>
      <c r="G107" s="5"/>
      <c r="H107" s="5"/>
      <c r="I107" s="5"/>
      <c r="J107" s="31"/>
      <c r="K107" s="5">
        <f t="shared" si="12"/>
        <v>0</v>
      </c>
      <c r="L107" s="5"/>
      <c r="M107" s="5"/>
      <c r="N107" s="31"/>
      <c r="O107" s="5">
        <f t="shared" si="13"/>
        <v>0</v>
      </c>
      <c r="P107" s="31"/>
      <c r="Q107" s="5">
        <f t="shared" si="14"/>
        <v>0</v>
      </c>
    </row>
    <row r="108" spans="1:17" s="1" customFormat="1" ht="10.5" x14ac:dyDescent="0.25">
      <c r="A108" s="7" t="s">
        <v>109</v>
      </c>
      <c r="B108" s="5"/>
      <c r="C108" s="5"/>
      <c r="D108" s="5"/>
      <c r="E108" s="5"/>
      <c r="F108" s="5"/>
      <c r="G108" s="5"/>
      <c r="H108" s="5"/>
      <c r="I108" s="5"/>
      <c r="J108" s="31"/>
      <c r="K108" s="5">
        <f t="shared" si="12"/>
        <v>0</v>
      </c>
      <c r="L108" s="5"/>
      <c r="M108" s="5"/>
      <c r="N108" s="31"/>
      <c r="O108" s="5">
        <f t="shared" si="13"/>
        <v>0</v>
      </c>
      <c r="P108" s="31"/>
      <c r="Q108" s="5">
        <f t="shared" si="14"/>
        <v>0</v>
      </c>
    </row>
    <row r="109" spans="1:17" s="1" customFormat="1" ht="10.5" x14ac:dyDescent="0.25">
      <c r="A109" s="8" t="s">
        <v>110</v>
      </c>
      <c r="B109" s="5"/>
      <c r="C109" s="5"/>
      <c r="D109" s="5"/>
      <c r="E109" s="5"/>
      <c r="F109" s="5"/>
      <c r="G109" s="5"/>
      <c r="H109" s="5"/>
      <c r="I109" s="5"/>
      <c r="J109" s="31"/>
      <c r="K109" s="5">
        <f t="shared" si="12"/>
        <v>0</v>
      </c>
      <c r="L109" s="5"/>
      <c r="M109" s="5"/>
      <c r="N109" s="31"/>
      <c r="O109" s="5">
        <f t="shared" si="13"/>
        <v>0</v>
      </c>
      <c r="P109" s="31"/>
      <c r="Q109" s="5">
        <f t="shared" si="14"/>
        <v>0</v>
      </c>
    </row>
    <row r="110" spans="1:17" s="1" customFormat="1" ht="10.5" x14ac:dyDescent="0.25">
      <c r="A110" s="14" t="s">
        <v>111</v>
      </c>
      <c r="B110" s="5"/>
      <c r="C110" s="5"/>
      <c r="D110" s="5"/>
      <c r="E110" s="5"/>
      <c r="F110" s="5"/>
      <c r="G110" s="5"/>
      <c r="H110" s="5"/>
      <c r="I110" s="5"/>
      <c r="J110" s="31"/>
      <c r="K110" s="5">
        <f t="shared" si="12"/>
        <v>0</v>
      </c>
      <c r="L110" s="5"/>
      <c r="M110" s="5"/>
      <c r="N110" s="31"/>
      <c r="O110" s="5">
        <f t="shared" si="13"/>
        <v>0</v>
      </c>
      <c r="P110" s="31"/>
      <c r="Q110" s="5">
        <f t="shared" si="14"/>
        <v>0</v>
      </c>
    </row>
    <row r="111" spans="1:17" s="1" customFormat="1" ht="10" x14ac:dyDescent="0.2">
      <c r="A111" s="15" t="s">
        <v>111</v>
      </c>
      <c r="B111" s="10">
        <v>35339.050000000003</v>
      </c>
      <c r="C111" s="10">
        <v>-3582.3768996600002</v>
      </c>
      <c r="D111" s="10">
        <v>1708893.7008765</v>
      </c>
      <c r="E111" s="10">
        <v>4187.3067203999999</v>
      </c>
      <c r="F111" s="10">
        <v>119958.66791653687</v>
      </c>
      <c r="G111" s="10">
        <v>6615.5622246880848</v>
      </c>
      <c r="H111" s="10">
        <v>13364.1714075</v>
      </c>
      <c r="I111" s="10">
        <v>141488.77405860246</v>
      </c>
      <c r="J111" s="32"/>
      <c r="K111" s="10">
        <f t="shared" si="12"/>
        <v>1994508.1832042274</v>
      </c>
      <c r="L111" s="10">
        <v>0</v>
      </c>
      <c r="M111" s="10">
        <v>0</v>
      </c>
      <c r="N111" s="32"/>
      <c r="O111" s="10">
        <f t="shared" si="13"/>
        <v>0</v>
      </c>
      <c r="P111" s="32"/>
      <c r="Q111" s="10">
        <f t="shared" si="14"/>
        <v>2026264.8563045673</v>
      </c>
    </row>
    <row r="112" spans="1:17" s="1" customFormat="1" ht="10" x14ac:dyDescent="0.2">
      <c r="A112" s="15" t="s">
        <v>112</v>
      </c>
      <c r="B112" s="10">
        <v>0</v>
      </c>
      <c r="C112" s="10">
        <v>0</v>
      </c>
      <c r="D112" s="10">
        <v>-4480.0653444</v>
      </c>
      <c r="E112" s="10">
        <v>0</v>
      </c>
      <c r="F112" s="10">
        <v>2665.1357283661741</v>
      </c>
      <c r="G112" s="10">
        <v>0</v>
      </c>
      <c r="H112" s="10">
        <v>0</v>
      </c>
      <c r="I112" s="10">
        <v>0</v>
      </c>
      <c r="J112" s="32"/>
      <c r="K112" s="10">
        <f t="shared" si="12"/>
        <v>-1814.9296160338258</v>
      </c>
      <c r="L112" s="10">
        <v>0</v>
      </c>
      <c r="M112" s="10">
        <v>0</v>
      </c>
      <c r="N112" s="32"/>
      <c r="O112" s="10">
        <f t="shared" si="13"/>
        <v>0</v>
      </c>
      <c r="P112" s="32"/>
      <c r="Q112" s="10">
        <f t="shared" si="14"/>
        <v>-1814.9296160338258</v>
      </c>
    </row>
    <row r="113" spans="1:17" s="1" customFormat="1" ht="10.5" x14ac:dyDescent="0.25">
      <c r="A113" s="16" t="s">
        <v>113</v>
      </c>
      <c r="B113" s="12">
        <f t="shared" ref="B113:Q113" si="24">SUM(B111:B112)</f>
        <v>35339.050000000003</v>
      </c>
      <c r="C113" s="12">
        <f t="shared" si="24"/>
        <v>-3582.3768996600002</v>
      </c>
      <c r="D113" s="12">
        <f t="shared" si="24"/>
        <v>1704413.6355321</v>
      </c>
      <c r="E113" s="12">
        <f t="shared" si="24"/>
        <v>4187.3067203999999</v>
      </c>
      <c r="F113" s="12">
        <f t="shared" si="24"/>
        <v>122623.80364490305</v>
      </c>
      <c r="G113" s="12">
        <f t="shared" si="24"/>
        <v>6615.5622246880848</v>
      </c>
      <c r="H113" s="12">
        <f t="shared" si="24"/>
        <v>13364.1714075</v>
      </c>
      <c r="I113" s="12">
        <f t="shared" si="24"/>
        <v>141488.77405860246</v>
      </c>
      <c r="J113" s="33">
        <f t="shared" si="24"/>
        <v>0</v>
      </c>
      <c r="K113" s="12">
        <f t="shared" si="12"/>
        <v>1992693.2535881936</v>
      </c>
      <c r="L113" s="12">
        <f t="shared" si="24"/>
        <v>0</v>
      </c>
      <c r="M113" s="12">
        <f t="shared" si="24"/>
        <v>0</v>
      </c>
      <c r="N113" s="33">
        <f t="shared" si="24"/>
        <v>0</v>
      </c>
      <c r="O113" s="12">
        <f t="shared" si="13"/>
        <v>0</v>
      </c>
      <c r="P113" s="33">
        <f t="shared" si="24"/>
        <v>0</v>
      </c>
      <c r="Q113" s="12">
        <f t="shared" si="14"/>
        <v>2024449.9266885335</v>
      </c>
    </row>
    <row r="114" spans="1:17" s="1" customFormat="1" ht="10" x14ac:dyDescent="0.2">
      <c r="A114" s="9" t="s">
        <v>114</v>
      </c>
      <c r="B114" s="10">
        <v>0</v>
      </c>
      <c r="C114" s="10">
        <v>0</v>
      </c>
      <c r="D114" s="10">
        <v>0</v>
      </c>
      <c r="E114" s="10">
        <v>0</v>
      </c>
      <c r="F114" s="10">
        <v>0</v>
      </c>
      <c r="G114" s="10">
        <v>13681.712145297623</v>
      </c>
      <c r="H114" s="10">
        <v>0</v>
      </c>
      <c r="I114" s="10">
        <v>0</v>
      </c>
      <c r="J114" s="32"/>
      <c r="K114" s="10">
        <f t="shared" si="12"/>
        <v>13681.712145297623</v>
      </c>
      <c r="L114" s="10">
        <v>0</v>
      </c>
      <c r="M114" s="10">
        <v>0</v>
      </c>
      <c r="N114" s="32"/>
      <c r="O114" s="10">
        <f t="shared" si="13"/>
        <v>0</v>
      </c>
      <c r="P114" s="32"/>
      <c r="Q114" s="10">
        <f t="shared" si="14"/>
        <v>13681.712145297623</v>
      </c>
    </row>
    <row r="115" spans="1:17" s="1" customFormat="1" ht="10.5" x14ac:dyDescent="0.25">
      <c r="A115" s="11" t="s">
        <v>115</v>
      </c>
      <c r="B115" s="12">
        <f t="shared" ref="B115:Q115" si="25">SUM(B113:B114)</f>
        <v>35339.050000000003</v>
      </c>
      <c r="C115" s="12">
        <f t="shared" si="25"/>
        <v>-3582.3768996600002</v>
      </c>
      <c r="D115" s="12">
        <f t="shared" si="25"/>
        <v>1704413.6355321</v>
      </c>
      <c r="E115" s="12">
        <f t="shared" si="25"/>
        <v>4187.3067203999999</v>
      </c>
      <c r="F115" s="12">
        <f t="shared" si="25"/>
        <v>122623.80364490305</v>
      </c>
      <c r="G115" s="12">
        <f t="shared" si="25"/>
        <v>20297.274369985709</v>
      </c>
      <c r="H115" s="12">
        <f t="shared" si="25"/>
        <v>13364.1714075</v>
      </c>
      <c r="I115" s="12">
        <f t="shared" si="25"/>
        <v>141488.77405860246</v>
      </c>
      <c r="J115" s="33">
        <f t="shared" si="25"/>
        <v>0</v>
      </c>
      <c r="K115" s="12">
        <f t="shared" si="12"/>
        <v>2006374.9657334913</v>
      </c>
      <c r="L115" s="12">
        <f t="shared" si="25"/>
        <v>0</v>
      </c>
      <c r="M115" s="12">
        <f t="shared" si="25"/>
        <v>0</v>
      </c>
      <c r="N115" s="33">
        <f t="shared" si="25"/>
        <v>0</v>
      </c>
      <c r="O115" s="12">
        <f t="shared" si="13"/>
        <v>0</v>
      </c>
      <c r="P115" s="33">
        <f t="shared" si="25"/>
        <v>0</v>
      </c>
      <c r="Q115" s="12">
        <f t="shared" si="14"/>
        <v>2038131.6388338313</v>
      </c>
    </row>
    <row r="116" spans="1:17" s="1" customFormat="1" ht="10.5" x14ac:dyDescent="0.25">
      <c r="A116" s="8" t="s">
        <v>116</v>
      </c>
      <c r="B116" s="5"/>
      <c r="C116" s="5"/>
      <c r="D116" s="5"/>
      <c r="E116" s="5"/>
      <c r="F116" s="5"/>
      <c r="G116" s="5"/>
      <c r="H116" s="5"/>
      <c r="I116" s="5"/>
      <c r="J116" s="31"/>
      <c r="K116" s="5">
        <f t="shared" si="12"/>
        <v>0</v>
      </c>
      <c r="L116" s="5"/>
      <c r="M116" s="5"/>
      <c r="N116" s="31"/>
      <c r="O116" s="5">
        <f t="shared" si="13"/>
        <v>0</v>
      </c>
      <c r="P116" s="31"/>
      <c r="Q116" s="5">
        <f t="shared" si="14"/>
        <v>0</v>
      </c>
    </row>
    <row r="117" spans="1:17" s="1" customFormat="1" ht="10" x14ac:dyDescent="0.2">
      <c r="A117" s="9" t="s">
        <v>117</v>
      </c>
      <c r="B117" s="10">
        <v>5272.75</v>
      </c>
      <c r="C117" s="10">
        <v>0</v>
      </c>
      <c r="D117" s="10">
        <v>-20939.187856500001</v>
      </c>
      <c r="E117" s="10">
        <v>0</v>
      </c>
      <c r="F117" s="10">
        <v>0</v>
      </c>
      <c r="G117" s="10">
        <v>0</v>
      </c>
      <c r="H117" s="10">
        <v>0</v>
      </c>
      <c r="I117" s="10">
        <v>0</v>
      </c>
      <c r="J117" s="32">
        <v>20939.187856500001</v>
      </c>
      <c r="K117" s="10">
        <f t="shared" si="12"/>
        <v>0</v>
      </c>
      <c r="L117" s="10">
        <v>0</v>
      </c>
      <c r="M117" s="10">
        <v>0</v>
      </c>
      <c r="N117" s="32">
        <v>0</v>
      </c>
      <c r="O117" s="10">
        <f t="shared" si="13"/>
        <v>0</v>
      </c>
      <c r="P117" s="32">
        <v>-5272.75</v>
      </c>
      <c r="Q117" s="10">
        <f t="shared" si="14"/>
        <v>0</v>
      </c>
    </row>
    <row r="118" spans="1:17" s="1" customFormat="1" ht="10.5" x14ac:dyDescent="0.25">
      <c r="A118" s="11" t="s">
        <v>118</v>
      </c>
      <c r="B118" s="12">
        <f t="shared" ref="B118:Q118" si="26">SUM(B117)</f>
        <v>5272.75</v>
      </c>
      <c r="C118" s="12">
        <f t="shared" si="26"/>
        <v>0</v>
      </c>
      <c r="D118" s="12">
        <f t="shared" si="26"/>
        <v>-20939.187856500001</v>
      </c>
      <c r="E118" s="12">
        <f t="shared" si="26"/>
        <v>0</v>
      </c>
      <c r="F118" s="12">
        <f t="shared" si="26"/>
        <v>0</v>
      </c>
      <c r="G118" s="12">
        <f t="shared" si="26"/>
        <v>0</v>
      </c>
      <c r="H118" s="12">
        <f t="shared" si="26"/>
        <v>0</v>
      </c>
      <c r="I118" s="12">
        <f t="shared" si="26"/>
        <v>0</v>
      </c>
      <c r="J118" s="33">
        <f t="shared" si="26"/>
        <v>20939.187856500001</v>
      </c>
      <c r="K118" s="12">
        <f t="shared" si="12"/>
        <v>0</v>
      </c>
      <c r="L118" s="12">
        <f t="shared" si="26"/>
        <v>0</v>
      </c>
      <c r="M118" s="12">
        <f t="shared" si="26"/>
        <v>0</v>
      </c>
      <c r="N118" s="33">
        <f t="shared" si="26"/>
        <v>0</v>
      </c>
      <c r="O118" s="12">
        <f t="shared" si="13"/>
        <v>0</v>
      </c>
      <c r="P118" s="33">
        <f t="shared" si="26"/>
        <v>-5272.75</v>
      </c>
      <c r="Q118" s="12">
        <f t="shared" si="14"/>
        <v>0</v>
      </c>
    </row>
    <row r="119" spans="1:17" s="1" customFormat="1" ht="10.5" x14ac:dyDescent="0.25">
      <c r="A119" s="13" t="s">
        <v>119</v>
      </c>
      <c r="B119" s="12">
        <f t="shared" ref="B119:Q119" si="27">SUM(B115,B118)</f>
        <v>40611.800000000003</v>
      </c>
      <c r="C119" s="12">
        <f t="shared" si="27"/>
        <v>-3582.3768996600002</v>
      </c>
      <c r="D119" s="12">
        <f t="shared" si="27"/>
        <v>1683474.4476755999</v>
      </c>
      <c r="E119" s="12">
        <f t="shared" si="27"/>
        <v>4187.3067203999999</v>
      </c>
      <c r="F119" s="12">
        <f t="shared" si="27"/>
        <v>122623.80364490305</v>
      </c>
      <c r="G119" s="12">
        <f t="shared" si="27"/>
        <v>20297.274369985709</v>
      </c>
      <c r="H119" s="12">
        <f t="shared" si="27"/>
        <v>13364.1714075</v>
      </c>
      <c r="I119" s="12">
        <f t="shared" si="27"/>
        <v>141488.77405860246</v>
      </c>
      <c r="J119" s="33">
        <f t="shared" si="27"/>
        <v>20939.187856500001</v>
      </c>
      <c r="K119" s="12">
        <f t="shared" si="12"/>
        <v>2006374.9657334913</v>
      </c>
      <c r="L119" s="12">
        <f t="shared" si="27"/>
        <v>0</v>
      </c>
      <c r="M119" s="12">
        <f t="shared" si="27"/>
        <v>0</v>
      </c>
      <c r="N119" s="33">
        <f t="shared" si="27"/>
        <v>0</v>
      </c>
      <c r="O119" s="12">
        <f t="shared" si="13"/>
        <v>0</v>
      </c>
      <c r="P119" s="33">
        <f t="shared" si="27"/>
        <v>-5272.75</v>
      </c>
      <c r="Q119" s="12">
        <f t="shared" si="14"/>
        <v>2038131.6388338313</v>
      </c>
    </row>
    <row r="120" spans="1:17" s="1" customFormat="1" ht="10.5" x14ac:dyDescent="0.25">
      <c r="A120" s="7" t="s">
        <v>120</v>
      </c>
      <c r="B120" s="5"/>
      <c r="C120" s="5"/>
      <c r="D120" s="5"/>
      <c r="E120" s="5"/>
      <c r="F120" s="5"/>
      <c r="G120" s="5"/>
      <c r="H120" s="5"/>
      <c r="I120" s="5"/>
      <c r="J120" s="31"/>
      <c r="K120" s="5">
        <f t="shared" si="12"/>
        <v>0</v>
      </c>
      <c r="L120" s="5"/>
      <c r="M120" s="5"/>
      <c r="N120" s="31"/>
      <c r="O120" s="5">
        <f t="shared" si="13"/>
        <v>0</v>
      </c>
      <c r="P120" s="31"/>
      <c r="Q120" s="5">
        <f t="shared" si="14"/>
        <v>0</v>
      </c>
    </row>
    <row r="121" spans="1:17" s="1" customFormat="1" ht="10.5" x14ac:dyDescent="0.25">
      <c r="A121" s="8" t="s">
        <v>121</v>
      </c>
      <c r="B121" s="5"/>
      <c r="C121" s="5"/>
      <c r="D121" s="5"/>
      <c r="E121" s="5"/>
      <c r="F121" s="5"/>
      <c r="G121" s="5"/>
      <c r="H121" s="5"/>
      <c r="I121" s="5"/>
      <c r="J121" s="31"/>
      <c r="K121" s="5">
        <f t="shared" si="12"/>
        <v>0</v>
      </c>
      <c r="L121" s="5"/>
      <c r="M121" s="5"/>
      <c r="N121" s="31"/>
      <c r="O121" s="5">
        <f t="shared" si="13"/>
        <v>0</v>
      </c>
      <c r="P121" s="31"/>
      <c r="Q121" s="5">
        <f t="shared" si="14"/>
        <v>0</v>
      </c>
    </row>
    <row r="122" spans="1:17" s="1" customFormat="1" ht="10" x14ac:dyDescent="0.2">
      <c r="A122" s="9" t="s">
        <v>122</v>
      </c>
      <c r="B122" s="10">
        <v>0</v>
      </c>
      <c r="C122" s="10">
        <v>0</v>
      </c>
      <c r="D122" s="10">
        <v>236.8724484</v>
      </c>
      <c r="E122" s="10">
        <v>0</v>
      </c>
      <c r="F122" s="10">
        <v>0</v>
      </c>
      <c r="G122" s="10">
        <v>0</v>
      </c>
      <c r="H122" s="10">
        <v>0</v>
      </c>
      <c r="I122" s="10">
        <v>0</v>
      </c>
      <c r="J122" s="32"/>
      <c r="K122" s="10">
        <f t="shared" si="12"/>
        <v>236.8724484</v>
      </c>
      <c r="L122" s="10">
        <v>0</v>
      </c>
      <c r="M122" s="10">
        <v>0</v>
      </c>
      <c r="N122" s="32"/>
      <c r="O122" s="10">
        <f t="shared" si="13"/>
        <v>0</v>
      </c>
      <c r="P122" s="32"/>
      <c r="Q122" s="10">
        <f t="shared" si="14"/>
        <v>236.8724484</v>
      </c>
    </row>
    <row r="123" spans="1:17" s="1" customFormat="1" ht="10" x14ac:dyDescent="0.2">
      <c r="A123" s="9" t="s">
        <v>123</v>
      </c>
      <c r="B123" s="10">
        <v>0</v>
      </c>
      <c r="C123" s="10">
        <v>0</v>
      </c>
      <c r="D123" s="10">
        <v>-1737.5879427</v>
      </c>
      <c r="E123" s="10">
        <v>0</v>
      </c>
      <c r="F123" s="10">
        <v>0</v>
      </c>
      <c r="G123" s="10">
        <v>0</v>
      </c>
      <c r="H123" s="10">
        <v>0</v>
      </c>
      <c r="I123" s="10">
        <v>0</v>
      </c>
      <c r="J123" s="32"/>
      <c r="K123" s="10">
        <f t="shared" si="12"/>
        <v>-1737.5879427</v>
      </c>
      <c r="L123" s="10">
        <v>0</v>
      </c>
      <c r="M123" s="10">
        <v>0</v>
      </c>
      <c r="N123" s="32"/>
      <c r="O123" s="10">
        <f t="shared" si="13"/>
        <v>0</v>
      </c>
      <c r="P123" s="32"/>
      <c r="Q123" s="10">
        <f t="shared" si="14"/>
        <v>-1737.5879427</v>
      </c>
    </row>
    <row r="124" spans="1:17" s="1" customFormat="1" ht="10" x14ac:dyDescent="0.2">
      <c r="A124" s="9" t="s">
        <v>124</v>
      </c>
      <c r="B124" s="10">
        <v>0</v>
      </c>
      <c r="C124" s="10">
        <v>0</v>
      </c>
      <c r="D124" s="10">
        <v>53.7966561</v>
      </c>
      <c r="E124" s="10">
        <v>0</v>
      </c>
      <c r="F124" s="10">
        <v>0</v>
      </c>
      <c r="G124" s="10">
        <v>0</v>
      </c>
      <c r="H124" s="10">
        <v>0</v>
      </c>
      <c r="I124" s="10">
        <v>0</v>
      </c>
      <c r="J124" s="32"/>
      <c r="K124" s="10">
        <f t="shared" si="12"/>
        <v>53.7966561</v>
      </c>
      <c r="L124" s="10">
        <v>0</v>
      </c>
      <c r="M124" s="10">
        <v>0</v>
      </c>
      <c r="N124" s="32"/>
      <c r="O124" s="10">
        <f t="shared" si="13"/>
        <v>0</v>
      </c>
      <c r="P124" s="32"/>
      <c r="Q124" s="10">
        <f t="shared" si="14"/>
        <v>53.7966561</v>
      </c>
    </row>
    <row r="125" spans="1:17" s="1" customFormat="1" ht="10" x14ac:dyDescent="0.2">
      <c r="A125" s="9" t="s">
        <v>125</v>
      </c>
      <c r="B125" s="10">
        <v>0</v>
      </c>
      <c r="C125" s="10">
        <v>0</v>
      </c>
      <c r="D125" s="10">
        <v>3128.6093105999998</v>
      </c>
      <c r="E125" s="10">
        <v>0</v>
      </c>
      <c r="F125" s="10">
        <v>0</v>
      </c>
      <c r="G125" s="10">
        <v>0</v>
      </c>
      <c r="H125" s="10">
        <v>0</v>
      </c>
      <c r="I125" s="10">
        <v>0</v>
      </c>
      <c r="J125" s="32"/>
      <c r="K125" s="10">
        <f t="shared" si="12"/>
        <v>3128.6093105999998</v>
      </c>
      <c r="L125" s="10">
        <v>0</v>
      </c>
      <c r="M125" s="10">
        <v>0</v>
      </c>
      <c r="N125" s="32"/>
      <c r="O125" s="10">
        <f t="shared" si="13"/>
        <v>0</v>
      </c>
      <c r="P125" s="32"/>
      <c r="Q125" s="10">
        <f t="shared" si="14"/>
        <v>3128.6093105999998</v>
      </c>
    </row>
    <row r="126" spans="1:17" s="1" customFormat="1" ht="10" x14ac:dyDescent="0.2">
      <c r="A126" s="9" t="s">
        <v>126</v>
      </c>
      <c r="B126" s="10">
        <v>0</v>
      </c>
      <c r="C126" s="10">
        <v>0</v>
      </c>
      <c r="D126" s="10">
        <v>0</v>
      </c>
      <c r="E126" s="10">
        <v>-455.51525099999998</v>
      </c>
      <c r="F126" s="10">
        <v>0</v>
      </c>
      <c r="G126" s="10">
        <v>0</v>
      </c>
      <c r="H126" s="10">
        <v>0</v>
      </c>
      <c r="I126" s="10">
        <v>0</v>
      </c>
      <c r="J126" s="32"/>
      <c r="K126" s="10">
        <f t="shared" si="12"/>
        <v>-455.51525099999998</v>
      </c>
      <c r="L126" s="10">
        <v>0</v>
      </c>
      <c r="M126" s="10">
        <v>0</v>
      </c>
      <c r="N126" s="32"/>
      <c r="O126" s="10">
        <f t="shared" si="13"/>
        <v>0</v>
      </c>
      <c r="P126" s="32"/>
      <c r="Q126" s="10">
        <f t="shared" si="14"/>
        <v>-455.51525099999998</v>
      </c>
    </row>
    <row r="127" spans="1:17" s="1" customFormat="1" ht="10" x14ac:dyDescent="0.2">
      <c r="A127" s="9" t="s">
        <v>127</v>
      </c>
      <c r="B127" s="10">
        <v>0</v>
      </c>
      <c r="C127" s="10">
        <v>0</v>
      </c>
      <c r="D127" s="10">
        <v>0</v>
      </c>
      <c r="E127" s="10">
        <v>444.35608739999998</v>
      </c>
      <c r="F127" s="10">
        <v>0</v>
      </c>
      <c r="G127" s="10">
        <v>0</v>
      </c>
      <c r="H127" s="10">
        <v>0</v>
      </c>
      <c r="I127" s="10">
        <v>0</v>
      </c>
      <c r="J127" s="32"/>
      <c r="K127" s="10">
        <f t="shared" si="12"/>
        <v>444.35608739999998</v>
      </c>
      <c r="L127" s="10">
        <v>0</v>
      </c>
      <c r="M127" s="10">
        <v>0</v>
      </c>
      <c r="N127" s="32"/>
      <c r="O127" s="10">
        <f t="shared" si="13"/>
        <v>0</v>
      </c>
      <c r="P127" s="32"/>
      <c r="Q127" s="10">
        <f t="shared" si="14"/>
        <v>444.35608739999998</v>
      </c>
    </row>
    <row r="128" spans="1:17" s="1" customFormat="1" ht="10" x14ac:dyDescent="0.2">
      <c r="A128" s="9" t="s">
        <v>128</v>
      </c>
      <c r="B128" s="10">
        <v>0</v>
      </c>
      <c r="C128" s="10">
        <v>0</v>
      </c>
      <c r="D128" s="10">
        <v>0</v>
      </c>
      <c r="E128" s="10">
        <v>-12.367696499999999</v>
      </c>
      <c r="F128" s="10">
        <v>0</v>
      </c>
      <c r="G128" s="10">
        <v>0</v>
      </c>
      <c r="H128" s="10">
        <v>0</v>
      </c>
      <c r="I128" s="10">
        <v>0</v>
      </c>
      <c r="J128" s="32"/>
      <c r="K128" s="10">
        <f t="shared" si="12"/>
        <v>-12.367696499999999</v>
      </c>
      <c r="L128" s="10">
        <v>0</v>
      </c>
      <c r="M128" s="10">
        <v>0</v>
      </c>
      <c r="N128" s="32"/>
      <c r="O128" s="10">
        <f t="shared" si="13"/>
        <v>0</v>
      </c>
      <c r="P128" s="32"/>
      <c r="Q128" s="10">
        <f t="shared" si="14"/>
        <v>-12.367696499999999</v>
      </c>
    </row>
    <row r="129" spans="1:17" s="1" customFormat="1" ht="10" x14ac:dyDescent="0.2">
      <c r="A129" s="9" t="s">
        <v>129</v>
      </c>
      <c r="B129" s="10">
        <v>0</v>
      </c>
      <c r="C129" s="10">
        <v>0</v>
      </c>
      <c r="D129" s="10">
        <v>0</v>
      </c>
      <c r="E129" s="10">
        <v>-4108.1082839999999</v>
      </c>
      <c r="F129" s="10">
        <v>0</v>
      </c>
      <c r="G129" s="10">
        <v>0</v>
      </c>
      <c r="H129" s="10">
        <v>0</v>
      </c>
      <c r="I129" s="10">
        <v>0</v>
      </c>
      <c r="J129" s="32"/>
      <c r="K129" s="10">
        <f t="shared" si="12"/>
        <v>-4108.1082839999999</v>
      </c>
      <c r="L129" s="10">
        <v>0</v>
      </c>
      <c r="M129" s="10">
        <v>0</v>
      </c>
      <c r="N129" s="32"/>
      <c r="O129" s="10">
        <f t="shared" si="13"/>
        <v>0</v>
      </c>
      <c r="P129" s="32"/>
      <c r="Q129" s="10">
        <f t="shared" si="14"/>
        <v>-4108.1082839999999</v>
      </c>
    </row>
    <row r="130" spans="1:17" s="1" customFormat="1" ht="10" x14ac:dyDescent="0.2">
      <c r="A130" s="9" t="s">
        <v>130</v>
      </c>
      <c r="B130" s="10">
        <v>0</v>
      </c>
      <c r="C130" s="10">
        <v>0</v>
      </c>
      <c r="D130" s="10">
        <v>0</v>
      </c>
      <c r="E130" s="10">
        <v>1792.5592475999999</v>
      </c>
      <c r="F130" s="10">
        <v>0</v>
      </c>
      <c r="G130" s="10">
        <v>0</v>
      </c>
      <c r="H130" s="10">
        <v>0</v>
      </c>
      <c r="I130" s="10">
        <v>0</v>
      </c>
      <c r="J130" s="32"/>
      <c r="K130" s="10">
        <f t="shared" si="12"/>
        <v>1792.5592475999999</v>
      </c>
      <c r="L130" s="10">
        <v>0</v>
      </c>
      <c r="M130" s="10">
        <v>0</v>
      </c>
      <c r="N130" s="32"/>
      <c r="O130" s="10">
        <f t="shared" si="13"/>
        <v>0</v>
      </c>
      <c r="P130" s="32"/>
      <c r="Q130" s="10">
        <f t="shared" si="14"/>
        <v>1792.5592475999999</v>
      </c>
    </row>
    <row r="131" spans="1:17" s="1" customFormat="1" ht="10" x14ac:dyDescent="0.2">
      <c r="A131" s="9" t="s">
        <v>131</v>
      </c>
      <c r="B131" s="10">
        <v>0</v>
      </c>
      <c r="C131" s="10">
        <v>0</v>
      </c>
      <c r="D131" s="10">
        <v>0</v>
      </c>
      <c r="E131" s="10">
        <v>0</v>
      </c>
      <c r="F131" s="10">
        <v>0</v>
      </c>
      <c r="G131" s="10">
        <v>0</v>
      </c>
      <c r="H131" s="10">
        <v>0</v>
      </c>
      <c r="I131" s="10">
        <v>55472.42184259434</v>
      </c>
      <c r="J131" s="32"/>
      <c r="K131" s="10">
        <f t="shared" si="12"/>
        <v>55472.42184259434</v>
      </c>
      <c r="L131" s="10">
        <v>0</v>
      </c>
      <c r="M131" s="10">
        <v>0</v>
      </c>
      <c r="N131" s="32"/>
      <c r="O131" s="10">
        <f t="shared" si="13"/>
        <v>0</v>
      </c>
      <c r="P131" s="32"/>
      <c r="Q131" s="10">
        <f t="shared" si="14"/>
        <v>55472.42184259434</v>
      </c>
    </row>
    <row r="132" spans="1:17" s="1" customFormat="1" ht="10" x14ac:dyDescent="0.2">
      <c r="A132" s="9" t="s">
        <v>442</v>
      </c>
      <c r="B132" s="10">
        <v>0</v>
      </c>
      <c r="C132" s="10">
        <v>0</v>
      </c>
      <c r="D132" s="10">
        <v>0</v>
      </c>
      <c r="E132" s="10">
        <v>0</v>
      </c>
      <c r="F132" s="10">
        <v>0</v>
      </c>
      <c r="G132" s="10">
        <v>0</v>
      </c>
      <c r="H132" s="10">
        <v>0</v>
      </c>
      <c r="I132" s="10">
        <v>24500.313477338026</v>
      </c>
      <c r="J132" s="32"/>
      <c r="K132" s="10">
        <f t="shared" si="12"/>
        <v>24500.313477338026</v>
      </c>
      <c r="L132" s="10">
        <v>0</v>
      </c>
      <c r="M132" s="10">
        <v>0</v>
      </c>
      <c r="N132" s="32"/>
      <c r="O132" s="10">
        <f t="shared" si="13"/>
        <v>0</v>
      </c>
      <c r="P132" s="32"/>
      <c r="Q132" s="10">
        <f t="shared" si="14"/>
        <v>24500.313477338026</v>
      </c>
    </row>
    <row r="133" spans="1:17" s="1" customFormat="1" ht="10" x14ac:dyDescent="0.2">
      <c r="A133" s="9" t="s">
        <v>132</v>
      </c>
      <c r="B133" s="10">
        <v>0</v>
      </c>
      <c r="C133" s="10">
        <v>0</v>
      </c>
      <c r="D133" s="10">
        <v>0</v>
      </c>
      <c r="E133" s="10">
        <v>0</v>
      </c>
      <c r="F133" s="10">
        <v>0</v>
      </c>
      <c r="G133" s="10">
        <v>0</v>
      </c>
      <c r="H133" s="10">
        <v>0</v>
      </c>
      <c r="I133" s="10">
        <v>21162.314051727484</v>
      </c>
      <c r="J133" s="32"/>
      <c r="K133" s="10">
        <f t="shared" si="12"/>
        <v>21162.314051727484</v>
      </c>
      <c r="L133" s="10">
        <v>0</v>
      </c>
      <c r="M133" s="10">
        <v>0</v>
      </c>
      <c r="N133" s="32"/>
      <c r="O133" s="10">
        <f t="shared" si="13"/>
        <v>0</v>
      </c>
      <c r="P133" s="32"/>
      <c r="Q133" s="10">
        <f t="shared" si="14"/>
        <v>21162.314051727484</v>
      </c>
    </row>
    <row r="134" spans="1:17" s="1" customFormat="1" ht="10" x14ac:dyDescent="0.2">
      <c r="A134" s="9" t="s">
        <v>133</v>
      </c>
      <c r="B134" s="10">
        <v>0</v>
      </c>
      <c r="C134" s="10">
        <v>0</v>
      </c>
      <c r="D134" s="10">
        <v>0</v>
      </c>
      <c r="E134" s="10">
        <v>0</v>
      </c>
      <c r="F134" s="10">
        <v>0</v>
      </c>
      <c r="G134" s="10">
        <v>0</v>
      </c>
      <c r="H134" s="10">
        <v>0</v>
      </c>
      <c r="I134" s="10">
        <v>-2256.5088225114623</v>
      </c>
      <c r="J134" s="32"/>
      <c r="K134" s="10">
        <f t="shared" si="12"/>
        <v>-2256.5088225114623</v>
      </c>
      <c r="L134" s="10">
        <v>0</v>
      </c>
      <c r="M134" s="10">
        <v>0</v>
      </c>
      <c r="N134" s="32"/>
      <c r="O134" s="10">
        <f t="shared" si="13"/>
        <v>0</v>
      </c>
      <c r="P134" s="32"/>
      <c r="Q134" s="10">
        <f t="shared" si="14"/>
        <v>-2256.5088225114623</v>
      </c>
    </row>
    <row r="135" spans="1:17" s="1" customFormat="1" ht="10" x14ac:dyDescent="0.2">
      <c r="A135" s="9" t="s">
        <v>134</v>
      </c>
      <c r="B135" s="10">
        <v>0</v>
      </c>
      <c r="C135" s="10">
        <v>0</v>
      </c>
      <c r="D135" s="10">
        <v>0</v>
      </c>
      <c r="E135" s="10">
        <v>0</v>
      </c>
      <c r="F135" s="10">
        <v>0</v>
      </c>
      <c r="G135" s="10">
        <v>0</v>
      </c>
      <c r="H135" s="10">
        <v>0</v>
      </c>
      <c r="I135" s="10">
        <v>3364.432883280605</v>
      </c>
      <c r="J135" s="32"/>
      <c r="K135" s="10">
        <f t="shared" si="12"/>
        <v>3364.432883280605</v>
      </c>
      <c r="L135" s="10">
        <v>0</v>
      </c>
      <c r="M135" s="10">
        <v>0</v>
      </c>
      <c r="N135" s="32"/>
      <c r="O135" s="10">
        <f t="shared" si="13"/>
        <v>0</v>
      </c>
      <c r="P135" s="32"/>
      <c r="Q135" s="10">
        <f t="shared" si="14"/>
        <v>3364.432883280605</v>
      </c>
    </row>
    <row r="136" spans="1:17" s="1" customFormat="1" ht="10" x14ac:dyDescent="0.2">
      <c r="A136" s="9" t="s">
        <v>135</v>
      </c>
      <c r="B136" s="10">
        <v>0</v>
      </c>
      <c r="C136" s="10">
        <v>0</v>
      </c>
      <c r="D136" s="10">
        <v>0</v>
      </c>
      <c r="E136" s="10">
        <v>0</v>
      </c>
      <c r="F136" s="10">
        <v>0</v>
      </c>
      <c r="G136" s="10">
        <v>0</v>
      </c>
      <c r="H136" s="10">
        <v>0</v>
      </c>
      <c r="I136" s="10">
        <v>3337.8393441106477</v>
      </c>
      <c r="J136" s="32"/>
      <c r="K136" s="10">
        <f t="shared" si="12"/>
        <v>3337.8393441106477</v>
      </c>
      <c r="L136" s="10">
        <v>0</v>
      </c>
      <c r="M136" s="10">
        <v>0</v>
      </c>
      <c r="N136" s="32"/>
      <c r="O136" s="10">
        <f t="shared" si="13"/>
        <v>0</v>
      </c>
      <c r="P136" s="32"/>
      <c r="Q136" s="10">
        <f t="shared" si="14"/>
        <v>3337.8393441106477</v>
      </c>
    </row>
    <row r="137" spans="1:17" s="1" customFormat="1" ht="10" x14ac:dyDescent="0.2">
      <c r="A137" s="9" t="s">
        <v>136</v>
      </c>
      <c r="B137" s="10">
        <v>0</v>
      </c>
      <c r="C137" s="10">
        <v>0</v>
      </c>
      <c r="D137" s="10">
        <v>0</v>
      </c>
      <c r="E137" s="10">
        <v>0</v>
      </c>
      <c r="F137" s="10">
        <v>0</v>
      </c>
      <c r="G137" s="10">
        <v>0</v>
      </c>
      <c r="H137" s="10">
        <v>0</v>
      </c>
      <c r="I137" s="10">
        <v>5345.7916227548239</v>
      </c>
      <c r="J137" s="32"/>
      <c r="K137" s="10">
        <f t="shared" si="12"/>
        <v>5345.7916227548239</v>
      </c>
      <c r="L137" s="10">
        <v>0</v>
      </c>
      <c r="M137" s="10">
        <v>0</v>
      </c>
      <c r="N137" s="32"/>
      <c r="O137" s="10">
        <f t="shared" si="13"/>
        <v>0</v>
      </c>
      <c r="P137" s="32"/>
      <c r="Q137" s="10">
        <f t="shared" si="14"/>
        <v>5345.7916227548239</v>
      </c>
    </row>
    <row r="138" spans="1:17" s="1" customFormat="1" ht="10" x14ac:dyDescent="0.2">
      <c r="A138" s="9" t="s">
        <v>443</v>
      </c>
      <c r="B138" s="10">
        <v>0</v>
      </c>
      <c r="C138" s="10">
        <v>0</v>
      </c>
      <c r="D138" s="10">
        <v>0</v>
      </c>
      <c r="E138" s="10">
        <v>0</v>
      </c>
      <c r="F138" s="10">
        <v>0</v>
      </c>
      <c r="G138" s="10">
        <v>0</v>
      </c>
      <c r="H138" s="10">
        <v>0</v>
      </c>
      <c r="I138" s="10">
        <v>12505.196583282022</v>
      </c>
      <c r="J138" s="32"/>
      <c r="K138" s="10">
        <f t="shared" si="12"/>
        <v>12505.196583282022</v>
      </c>
      <c r="L138" s="10">
        <v>0</v>
      </c>
      <c r="M138" s="10">
        <v>0</v>
      </c>
      <c r="N138" s="32"/>
      <c r="O138" s="10">
        <f t="shared" si="13"/>
        <v>0</v>
      </c>
      <c r="P138" s="32"/>
      <c r="Q138" s="10">
        <f t="shared" si="14"/>
        <v>12505.196583282022</v>
      </c>
    </row>
    <row r="139" spans="1:17" s="1" customFormat="1" ht="10" x14ac:dyDescent="0.2">
      <c r="A139" s="9" t="s">
        <v>137</v>
      </c>
      <c r="B139" s="10">
        <v>0</v>
      </c>
      <c r="C139" s="10">
        <v>0</v>
      </c>
      <c r="D139" s="10">
        <v>0</v>
      </c>
      <c r="E139" s="10">
        <v>0</v>
      </c>
      <c r="F139" s="10">
        <v>0</v>
      </c>
      <c r="G139" s="10">
        <v>0</v>
      </c>
      <c r="H139" s="10">
        <v>0</v>
      </c>
      <c r="I139" s="10">
        <v>39711.207571835199</v>
      </c>
      <c r="J139" s="32"/>
      <c r="K139" s="10">
        <f t="shared" si="12"/>
        <v>39711.207571835199</v>
      </c>
      <c r="L139" s="10">
        <v>0</v>
      </c>
      <c r="M139" s="10">
        <v>0</v>
      </c>
      <c r="N139" s="32"/>
      <c r="O139" s="10">
        <f t="shared" si="13"/>
        <v>0</v>
      </c>
      <c r="P139" s="32"/>
      <c r="Q139" s="10">
        <f t="shared" si="14"/>
        <v>39711.207571835199</v>
      </c>
    </row>
    <row r="140" spans="1:17" s="1" customFormat="1" ht="10" x14ac:dyDescent="0.2">
      <c r="A140" s="9" t="s">
        <v>138</v>
      </c>
      <c r="B140" s="10">
        <v>0</v>
      </c>
      <c r="C140" s="10">
        <v>-410.51444562</v>
      </c>
      <c r="D140" s="10">
        <v>0</v>
      </c>
      <c r="E140" s="10">
        <v>0</v>
      </c>
      <c r="F140" s="10">
        <v>0</v>
      </c>
      <c r="G140" s="10">
        <v>0</v>
      </c>
      <c r="H140" s="10">
        <v>0</v>
      </c>
      <c r="I140" s="10">
        <v>0</v>
      </c>
      <c r="J140" s="32"/>
      <c r="K140" s="10">
        <f t="shared" si="12"/>
        <v>0</v>
      </c>
      <c r="L140" s="10">
        <v>0</v>
      </c>
      <c r="M140" s="10">
        <v>0</v>
      </c>
      <c r="N140" s="32"/>
      <c r="O140" s="10">
        <f t="shared" si="13"/>
        <v>0</v>
      </c>
      <c r="P140" s="32"/>
      <c r="Q140" s="10">
        <f t="shared" si="14"/>
        <v>-410.51444562</v>
      </c>
    </row>
    <row r="141" spans="1:17" s="1" customFormat="1" ht="10" x14ac:dyDescent="0.2">
      <c r="A141" s="9" t="s">
        <v>139</v>
      </c>
      <c r="B141" s="10">
        <v>0</v>
      </c>
      <c r="C141" s="10">
        <v>-992.86626956999999</v>
      </c>
      <c r="D141" s="10">
        <v>0</v>
      </c>
      <c r="E141" s="10">
        <v>0</v>
      </c>
      <c r="F141" s="10">
        <v>0</v>
      </c>
      <c r="G141" s="10">
        <v>0</v>
      </c>
      <c r="H141" s="10">
        <v>0</v>
      </c>
      <c r="I141" s="10">
        <v>0</v>
      </c>
      <c r="J141" s="32"/>
      <c r="K141" s="10">
        <f t="shared" ref="K141:K204" si="28">SUM(D141:J141)</f>
        <v>0</v>
      </c>
      <c r="L141" s="10">
        <v>0</v>
      </c>
      <c r="M141" s="10">
        <v>0</v>
      </c>
      <c r="N141" s="32"/>
      <c r="O141" s="10">
        <f t="shared" ref="O141:O204" si="29">SUM(L141:N141)</f>
        <v>0</v>
      </c>
      <c r="P141" s="32"/>
      <c r="Q141" s="10">
        <f t="shared" ref="Q141:Q204" si="30">SUM(B141,K141,O141,P141)+C141</f>
        <v>-992.86626956999999</v>
      </c>
    </row>
    <row r="142" spans="1:17" s="1" customFormat="1" ht="10.5" x14ac:dyDescent="0.25">
      <c r="A142" s="11" t="s">
        <v>140</v>
      </c>
      <c r="B142" s="12">
        <f t="shared" ref="B142:Q142" si="31">SUM(B122:B141)</f>
        <v>0</v>
      </c>
      <c r="C142" s="12">
        <f t="shared" si="31"/>
        <v>-1403.38071519</v>
      </c>
      <c r="D142" s="12">
        <f t="shared" si="31"/>
        <v>1681.6904723999999</v>
      </c>
      <c r="E142" s="12">
        <f t="shared" si="31"/>
        <v>-2339.0758964999995</v>
      </c>
      <c r="F142" s="12">
        <f t="shared" si="31"/>
        <v>0</v>
      </c>
      <c r="G142" s="12">
        <f t="shared" si="31"/>
        <v>0</v>
      </c>
      <c r="H142" s="12">
        <f t="shared" si="31"/>
        <v>0</v>
      </c>
      <c r="I142" s="12">
        <f t="shared" si="31"/>
        <v>163143.0085544117</v>
      </c>
      <c r="J142" s="33">
        <f t="shared" si="31"/>
        <v>0</v>
      </c>
      <c r="K142" s="12">
        <f t="shared" si="28"/>
        <v>162485.62313031169</v>
      </c>
      <c r="L142" s="12">
        <f t="shared" si="31"/>
        <v>0</v>
      </c>
      <c r="M142" s="12">
        <f t="shared" si="31"/>
        <v>0</v>
      </c>
      <c r="N142" s="33">
        <f t="shared" si="31"/>
        <v>0</v>
      </c>
      <c r="O142" s="12">
        <f t="shared" si="29"/>
        <v>0</v>
      </c>
      <c r="P142" s="33">
        <f t="shared" si="31"/>
        <v>0</v>
      </c>
      <c r="Q142" s="12">
        <f t="shared" si="30"/>
        <v>161082.2424151217</v>
      </c>
    </row>
    <row r="143" spans="1:17" s="1" customFormat="1" ht="10.5" x14ac:dyDescent="0.25">
      <c r="A143" s="13" t="s">
        <v>141</v>
      </c>
      <c r="B143" s="12">
        <f t="shared" ref="B143:Q143" si="32">SUM(B142)</f>
        <v>0</v>
      </c>
      <c r="C143" s="12">
        <f t="shared" si="32"/>
        <v>-1403.38071519</v>
      </c>
      <c r="D143" s="12">
        <f t="shared" si="32"/>
        <v>1681.6904723999999</v>
      </c>
      <c r="E143" s="12">
        <f t="shared" si="32"/>
        <v>-2339.0758964999995</v>
      </c>
      <c r="F143" s="12">
        <f t="shared" si="32"/>
        <v>0</v>
      </c>
      <c r="G143" s="12">
        <f t="shared" si="32"/>
        <v>0</v>
      </c>
      <c r="H143" s="12">
        <f t="shared" si="32"/>
        <v>0</v>
      </c>
      <c r="I143" s="12">
        <f t="shared" si="32"/>
        <v>163143.0085544117</v>
      </c>
      <c r="J143" s="33">
        <f t="shared" si="32"/>
        <v>0</v>
      </c>
      <c r="K143" s="12">
        <f t="shared" si="28"/>
        <v>162485.62313031169</v>
      </c>
      <c r="L143" s="12">
        <f t="shared" si="32"/>
        <v>0</v>
      </c>
      <c r="M143" s="12">
        <f t="shared" si="32"/>
        <v>0</v>
      </c>
      <c r="N143" s="33">
        <f t="shared" si="32"/>
        <v>0</v>
      </c>
      <c r="O143" s="12">
        <f t="shared" si="29"/>
        <v>0</v>
      </c>
      <c r="P143" s="33">
        <f t="shared" si="32"/>
        <v>0</v>
      </c>
      <c r="Q143" s="12">
        <f t="shared" si="30"/>
        <v>161082.2424151217</v>
      </c>
    </row>
    <row r="144" spans="1:17" s="1" customFormat="1" ht="10.5" x14ac:dyDescent="0.25">
      <c r="A144" s="7" t="s">
        <v>142</v>
      </c>
      <c r="B144" s="5"/>
      <c r="C144" s="5"/>
      <c r="D144" s="5"/>
      <c r="E144" s="5"/>
      <c r="F144" s="5"/>
      <c r="G144" s="5"/>
      <c r="H144" s="5"/>
      <c r="I144" s="5"/>
      <c r="J144" s="31"/>
      <c r="K144" s="5">
        <f t="shared" si="28"/>
        <v>0</v>
      </c>
      <c r="L144" s="5"/>
      <c r="M144" s="5"/>
      <c r="N144" s="31"/>
      <c r="O144" s="5">
        <f t="shared" si="29"/>
        <v>0</v>
      </c>
      <c r="P144" s="31"/>
      <c r="Q144" s="5">
        <f t="shared" si="30"/>
        <v>0</v>
      </c>
    </row>
    <row r="145" spans="1:17" s="1" customFormat="1" ht="10.5" x14ac:dyDescent="0.25">
      <c r="A145" s="8" t="s">
        <v>143</v>
      </c>
      <c r="B145" s="5"/>
      <c r="C145" s="5"/>
      <c r="D145" s="5"/>
      <c r="E145" s="5"/>
      <c r="F145" s="5"/>
      <c r="G145" s="5"/>
      <c r="H145" s="5"/>
      <c r="I145" s="5"/>
      <c r="J145" s="31"/>
      <c r="K145" s="5">
        <f t="shared" si="28"/>
        <v>0</v>
      </c>
      <c r="L145" s="5"/>
      <c r="M145" s="5"/>
      <c r="N145" s="31"/>
      <c r="O145" s="5">
        <f t="shared" si="29"/>
        <v>0</v>
      </c>
      <c r="P145" s="31"/>
      <c r="Q145" s="5">
        <f t="shared" si="30"/>
        <v>0</v>
      </c>
    </row>
    <row r="146" spans="1:17" s="1" customFormat="1" ht="10" x14ac:dyDescent="0.2">
      <c r="A146" s="9" t="s">
        <v>144</v>
      </c>
      <c r="B146" s="10">
        <v>0</v>
      </c>
      <c r="C146" s="10">
        <v>0</v>
      </c>
      <c r="D146" s="10">
        <v>0</v>
      </c>
      <c r="E146" s="10">
        <v>0</v>
      </c>
      <c r="F146" s="10">
        <v>0</v>
      </c>
      <c r="G146" s="10">
        <v>44.009608121357999</v>
      </c>
      <c r="H146" s="10">
        <v>0</v>
      </c>
      <c r="I146" s="10">
        <v>0</v>
      </c>
      <c r="J146" s="32"/>
      <c r="K146" s="10">
        <f t="shared" si="28"/>
        <v>44.009608121357999</v>
      </c>
      <c r="L146" s="10">
        <v>0</v>
      </c>
      <c r="M146" s="10">
        <v>0</v>
      </c>
      <c r="N146" s="32"/>
      <c r="O146" s="10">
        <f t="shared" si="29"/>
        <v>0</v>
      </c>
      <c r="P146" s="32"/>
      <c r="Q146" s="10">
        <f t="shared" si="30"/>
        <v>44.009608121357999</v>
      </c>
    </row>
    <row r="147" spans="1:17" s="1" customFormat="1" ht="10" x14ac:dyDescent="0.2">
      <c r="A147" s="9" t="s">
        <v>145</v>
      </c>
      <c r="B147" s="10">
        <v>0</v>
      </c>
      <c r="C147" s="10">
        <v>0</v>
      </c>
      <c r="D147" s="10">
        <v>-13231.436093099999</v>
      </c>
      <c r="E147" s="10">
        <v>0</v>
      </c>
      <c r="F147" s="10">
        <v>-117897.51819274627</v>
      </c>
      <c r="G147" s="10">
        <v>-92370.365592417875</v>
      </c>
      <c r="H147" s="10">
        <v>214.37340599999999</v>
      </c>
      <c r="I147" s="10">
        <v>0</v>
      </c>
      <c r="J147" s="32"/>
      <c r="K147" s="10">
        <f t="shared" si="28"/>
        <v>-223284.94647226416</v>
      </c>
      <c r="L147" s="10">
        <v>0</v>
      </c>
      <c r="M147" s="10">
        <v>0</v>
      </c>
      <c r="N147" s="32"/>
      <c r="O147" s="10">
        <f t="shared" si="29"/>
        <v>0</v>
      </c>
      <c r="P147" s="32"/>
      <c r="Q147" s="10">
        <f t="shared" si="30"/>
        <v>-223284.94647226416</v>
      </c>
    </row>
    <row r="148" spans="1:17" s="1" customFormat="1" ht="10" x14ac:dyDescent="0.2">
      <c r="A148" s="9" t="s">
        <v>146</v>
      </c>
      <c r="B148" s="10">
        <v>0</v>
      </c>
      <c r="C148" s="10">
        <v>0</v>
      </c>
      <c r="D148" s="10">
        <v>-209.44891680000001</v>
      </c>
      <c r="E148" s="10">
        <v>0</v>
      </c>
      <c r="F148" s="10">
        <v>3565.7568240418932</v>
      </c>
      <c r="G148" s="10">
        <v>0</v>
      </c>
      <c r="H148" s="10">
        <v>0</v>
      </c>
      <c r="I148" s="10">
        <v>0</v>
      </c>
      <c r="J148" s="32"/>
      <c r="K148" s="10">
        <f t="shared" si="28"/>
        <v>3356.3079072418932</v>
      </c>
      <c r="L148" s="10">
        <v>0</v>
      </c>
      <c r="M148" s="10">
        <v>0</v>
      </c>
      <c r="N148" s="32"/>
      <c r="O148" s="10">
        <f t="shared" si="29"/>
        <v>0</v>
      </c>
      <c r="P148" s="32"/>
      <c r="Q148" s="10">
        <f t="shared" si="30"/>
        <v>3356.3079072418932</v>
      </c>
    </row>
    <row r="149" spans="1:17" s="1" customFormat="1" ht="10" x14ac:dyDescent="0.2">
      <c r="A149" s="9" t="s">
        <v>147</v>
      </c>
      <c r="B149" s="10">
        <v>0</v>
      </c>
      <c r="C149" s="10">
        <v>0</v>
      </c>
      <c r="D149" s="10">
        <v>122087.6087001</v>
      </c>
      <c r="E149" s="10">
        <v>0</v>
      </c>
      <c r="F149" s="10">
        <v>79.033712224965299</v>
      </c>
      <c r="G149" s="10">
        <v>-20314.429927314111</v>
      </c>
      <c r="H149" s="10">
        <v>0</v>
      </c>
      <c r="I149" s="10">
        <v>0</v>
      </c>
      <c r="J149" s="32"/>
      <c r="K149" s="10">
        <f t="shared" si="28"/>
        <v>101852.21248501085</v>
      </c>
      <c r="L149" s="10">
        <v>0</v>
      </c>
      <c r="M149" s="10">
        <v>0</v>
      </c>
      <c r="N149" s="32"/>
      <c r="O149" s="10">
        <f t="shared" si="29"/>
        <v>0</v>
      </c>
      <c r="P149" s="32"/>
      <c r="Q149" s="10">
        <f t="shared" si="30"/>
        <v>101852.21248501085</v>
      </c>
    </row>
    <row r="150" spans="1:17" s="1" customFormat="1" ht="10.5" x14ac:dyDescent="0.25">
      <c r="A150" s="14" t="s">
        <v>148</v>
      </c>
      <c r="B150" s="5"/>
      <c r="C150" s="5"/>
      <c r="D150" s="5"/>
      <c r="E150" s="5"/>
      <c r="F150" s="5"/>
      <c r="G150" s="5"/>
      <c r="H150" s="5"/>
      <c r="I150" s="5"/>
      <c r="J150" s="31"/>
      <c r="K150" s="5">
        <f t="shared" si="28"/>
        <v>0</v>
      </c>
      <c r="L150" s="5"/>
      <c r="M150" s="5"/>
      <c r="N150" s="31"/>
      <c r="O150" s="5">
        <f t="shared" si="29"/>
        <v>0</v>
      </c>
      <c r="P150" s="31"/>
      <c r="Q150" s="5">
        <f t="shared" si="30"/>
        <v>0</v>
      </c>
    </row>
    <row r="151" spans="1:17" s="1" customFormat="1" ht="10" x14ac:dyDescent="0.2">
      <c r="A151" s="15" t="s">
        <v>148</v>
      </c>
      <c r="B151" s="10">
        <v>279722.59999999998</v>
      </c>
      <c r="C151" s="10">
        <v>7852.0212000000001</v>
      </c>
      <c r="D151" s="10">
        <v>156305.94146249999</v>
      </c>
      <c r="E151" s="10">
        <v>3106.0425</v>
      </c>
      <c r="F151" s="10">
        <v>39578.358131517001</v>
      </c>
      <c r="G151" s="10">
        <v>0</v>
      </c>
      <c r="H151" s="10">
        <v>3106.0425</v>
      </c>
      <c r="I151" s="10">
        <v>13506.87655359</v>
      </c>
      <c r="J151" s="32"/>
      <c r="K151" s="10">
        <f t="shared" si="28"/>
        <v>215603.26114760703</v>
      </c>
      <c r="L151" s="10">
        <v>2773.3006380000002</v>
      </c>
      <c r="M151" s="10">
        <v>2773.3006380000002</v>
      </c>
      <c r="N151" s="32"/>
      <c r="O151" s="10">
        <f t="shared" si="29"/>
        <v>5546.6012760000003</v>
      </c>
      <c r="P151" s="32"/>
      <c r="Q151" s="10">
        <f t="shared" si="30"/>
        <v>508724.48362360697</v>
      </c>
    </row>
    <row r="152" spans="1:17" s="1" customFormat="1" ht="10.5" x14ac:dyDescent="0.25">
      <c r="A152" s="16" t="s">
        <v>149</v>
      </c>
      <c r="B152" s="12">
        <f t="shared" ref="B152:Q152" si="33">SUM(B151)</f>
        <v>279722.59999999998</v>
      </c>
      <c r="C152" s="12">
        <f t="shared" si="33"/>
        <v>7852.0212000000001</v>
      </c>
      <c r="D152" s="12">
        <f t="shared" si="33"/>
        <v>156305.94146249999</v>
      </c>
      <c r="E152" s="12">
        <f t="shared" si="33"/>
        <v>3106.0425</v>
      </c>
      <c r="F152" s="12">
        <f t="shared" si="33"/>
        <v>39578.358131517001</v>
      </c>
      <c r="G152" s="12">
        <f t="shared" si="33"/>
        <v>0</v>
      </c>
      <c r="H152" s="12">
        <f t="shared" si="33"/>
        <v>3106.0425</v>
      </c>
      <c r="I152" s="12">
        <f t="shared" si="33"/>
        <v>13506.87655359</v>
      </c>
      <c r="J152" s="33">
        <f t="shared" si="33"/>
        <v>0</v>
      </c>
      <c r="K152" s="12">
        <f t="shared" si="28"/>
        <v>215603.26114760703</v>
      </c>
      <c r="L152" s="12">
        <f t="shared" si="33"/>
        <v>2773.3006380000002</v>
      </c>
      <c r="M152" s="12">
        <f t="shared" si="33"/>
        <v>2773.3006380000002</v>
      </c>
      <c r="N152" s="33">
        <f t="shared" si="33"/>
        <v>0</v>
      </c>
      <c r="O152" s="12">
        <f t="shared" si="29"/>
        <v>5546.6012760000003</v>
      </c>
      <c r="P152" s="33">
        <f t="shared" si="33"/>
        <v>0</v>
      </c>
      <c r="Q152" s="12">
        <f t="shared" si="30"/>
        <v>508724.48362360697</v>
      </c>
    </row>
    <row r="153" spans="1:17" s="1" customFormat="1" ht="10.5" x14ac:dyDescent="0.25">
      <c r="A153" s="14" t="s">
        <v>150</v>
      </c>
      <c r="B153" s="5"/>
      <c r="C153" s="5"/>
      <c r="D153" s="5"/>
      <c r="E153" s="5"/>
      <c r="F153" s="5"/>
      <c r="G153" s="5"/>
      <c r="H153" s="5"/>
      <c r="I153" s="5"/>
      <c r="J153" s="31"/>
      <c r="K153" s="5">
        <f t="shared" si="28"/>
        <v>0</v>
      </c>
      <c r="L153" s="5"/>
      <c r="M153" s="5"/>
      <c r="N153" s="31"/>
      <c r="O153" s="5">
        <f t="shared" si="29"/>
        <v>0</v>
      </c>
      <c r="P153" s="31"/>
      <c r="Q153" s="5">
        <f t="shared" si="30"/>
        <v>0</v>
      </c>
    </row>
    <row r="154" spans="1:17" s="1" customFormat="1" ht="10" x14ac:dyDescent="0.2">
      <c r="A154" s="15" t="s">
        <v>151</v>
      </c>
      <c r="B154" s="10">
        <v>0</v>
      </c>
      <c r="C154" s="10">
        <v>0</v>
      </c>
      <c r="D154" s="10">
        <v>-76347.699298799998</v>
      </c>
      <c r="E154" s="10">
        <v>0</v>
      </c>
      <c r="F154" s="10">
        <v>0</v>
      </c>
      <c r="G154" s="10">
        <v>9279.1737115582564</v>
      </c>
      <c r="H154" s="10">
        <v>0</v>
      </c>
      <c r="I154" s="10">
        <v>0</v>
      </c>
      <c r="J154" s="32"/>
      <c r="K154" s="10">
        <f t="shared" si="28"/>
        <v>-67068.525587241747</v>
      </c>
      <c r="L154" s="10">
        <v>0</v>
      </c>
      <c r="M154" s="10">
        <v>0</v>
      </c>
      <c r="N154" s="32"/>
      <c r="O154" s="10">
        <f t="shared" si="29"/>
        <v>0</v>
      </c>
      <c r="P154" s="32"/>
      <c r="Q154" s="10">
        <f t="shared" si="30"/>
        <v>-67068.525587241747</v>
      </c>
    </row>
    <row r="155" spans="1:17" s="1" customFormat="1" ht="10" x14ac:dyDescent="0.2">
      <c r="A155" s="15" t="s">
        <v>152</v>
      </c>
      <c r="B155" s="10">
        <v>0</v>
      </c>
      <c r="C155" s="10">
        <v>0</v>
      </c>
      <c r="D155" s="10">
        <v>173162.660004</v>
      </c>
      <c r="E155" s="10">
        <v>0</v>
      </c>
      <c r="F155" s="10">
        <v>0</v>
      </c>
      <c r="G155" s="10">
        <v>0</v>
      </c>
      <c r="H155" s="10">
        <v>0</v>
      </c>
      <c r="I155" s="10">
        <v>0</v>
      </c>
      <c r="J155" s="32"/>
      <c r="K155" s="10">
        <f t="shared" si="28"/>
        <v>173162.660004</v>
      </c>
      <c r="L155" s="10">
        <v>0</v>
      </c>
      <c r="M155" s="10">
        <v>0</v>
      </c>
      <c r="N155" s="32"/>
      <c r="O155" s="10">
        <f t="shared" si="29"/>
        <v>0</v>
      </c>
      <c r="P155" s="32"/>
      <c r="Q155" s="10">
        <f t="shared" si="30"/>
        <v>173162.660004</v>
      </c>
    </row>
    <row r="156" spans="1:17" s="1" customFormat="1" ht="10" x14ac:dyDescent="0.2">
      <c r="A156" s="15" t="s">
        <v>153</v>
      </c>
      <c r="B156" s="10">
        <v>0</v>
      </c>
      <c r="C156" s="10">
        <v>0</v>
      </c>
      <c r="D156" s="10">
        <v>47559.101551500004</v>
      </c>
      <c r="E156" s="10">
        <v>0</v>
      </c>
      <c r="F156" s="10">
        <v>0</v>
      </c>
      <c r="G156" s="10">
        <v>0</v>
      </c>
      <c r="H156" s="10">
        <v>6110.4778788000003</v>
      </c>
      <c r="I156" s="10">
        <v>0</v>
      </c>
      <c r="J156" s="32"/>
      <c r="K156" s="10">
        <f t="shared" si="28"/>
        <v>53669.5794303</v>
      </c>
      <c r="L156" s="10">
        <v>0</v>
      </c>
      <c r="M156" s="10">
        <v>0</v>
      </c>
      <c r="N156" s="32"/>
      <c r="O156" s="10">
        <f t="shared" si="29"/>
        <v>0</v>
      </c>
      <c r="P156" s="32"/>
      <c r="Q156" s="10">
        <f t="shared" si="30"/>
        <v>53669.5794303</v>
      </c>
    </row>
    <row r="157" spans="1:17" s="1" customFormat="1" ht="10" x14ac:dyDescent="0.2">
      <c r="A157" s="15" t="s">
        <v>154</v>
      </c>
      <c r="B157" s="10">
        <v>0</v>
      </c>
      <c r="C157" s="10">
        <v>0</v>
      </c>
      <c r="D157" s="10">
        <v>2690.1829407</v>
      </c>
      <c r="E157" s="10">
        <v>0</v>
      </c>
      <c r="F157" s="10">
        <v>0</v>
      </c>
      <c r="G157" s="10">
        <v>0</v>
      </c>
      <c r="H157" s="10">
        <v>0</v>
      </c>
      <c r="I157" s="10">
        <v>-9994.2282115946673</v>
      </c>
      <c r="J157" s="32"/>
      <c r="K157" s="10">
        <f t="shared" si="28"/>
        <v>-7304.0452708946668</v>
      </c>
      <c r="L157" s="10">
        <v>0</v>
      </c>
      <c r="M157" s="10">
        <v>0</v>
      </c>
      <c r="N157" s="32"/>
      <c r="O157" s="10">
        <f t="shared" si="29"/>
        <v>0</v>
      </c>
      <c r="P157" s="32"/>
      <c r="Q157" s="10">
        <f t="shared" si="30"/>
        <v>-7304.0452708946668</v>
      </c>
    </row>
    <row r="158" spans="1:17" s="1" customFormat="1" ht="10" x14ac:dyDescent="0.2">
      <c r="A158" s="15" t="s">
        <v>155</v>
      </c>
      <c r="B158" s="10">
        <v>0</v>
      </c>
      <c r="C158" s="10">
        <v>0</v>
      </c>
      <c r="D158" s="10">
        <v>-45967.576669200003</v>
      </c>
      <c r="E158" s="10">
        <v>0</v>
      </c>
      <c r="F158" s="10">
        <v>0</v>
      </c>
      <c r="G158" s="10">
        <v>0</v>
      </c>
      <c r="H158" s="10">
        <v>0</v>
      </c>
      <c r="I158" s="10">
        <v>0</v>
      </c>
      <c r="J158" s="32"/>
      <c r="K158" s="10">
        <f t="shared" si="28"/>
        <v>-45967.576669200003</v>
      </c>
      <c r="L158" s="10">
        <v>0</v>
      </c>
      <c r="M158" s="10">
        <v>0</v>
      </c>
      <c r="N158" s="32"/>
      <c r="O158" s="10">
        <f t="shared" si="29"/>
        <v>0</v>
      </c>
      <c r="P158" s="32"/>
      <c r="Q158" s="10">
        <f t="shared" si="30"/>
        <v>-45967.576669200003</v>
      </c>
    </row>
    <row r="159" spans="1:17" s="1" customFormat="1" ht="10" x14ac:dyDescent="0.2">
      <c r="A159" s="15" t="s">
        <v>156</v>
      </c>
      <c r="B159" s="10">
        <v>0</v>
      </c>
      <c r="C159" s="10">
        <v>0</v>
      </c>
      <c r="D159" s="10">
        <v>-409.33122270000001</v>
      </c>
      <c r="E159" s="10">
        <v>0</v>
      </c>
      <c r="F159" s="10">
        <v>0</v>
      </c>
      <c r="G159" s="10">
        <v>0</v>
      </c>
      <c r="H159" s="10">
        <v>0</v>
      </c>
      <c r="I159" s="10">
        <v>0</v>
      </c>
      <c r="J159" s="32"/>
      <c r="K159" s="10">
        <f t="shared" si="28"/>
        <v>-409.33122270000001</v>
      </c>
      <c r="L159" s="10">
        <v>0</v>
      </c>
      <c r="M159" s="10">
        <v>0</v>
      </c>
      <c r="N159" s="32"/>
      <c r="O159" s="10">
        <f t="shared" si="29"/>
        <v>0</v>
      </c>
      <c r="P159" s="32"/>
      <c r="Q159" s="10">
        <f t="shared" si="30"/>
        <v>-409.33122270000001</v>
      </c>
    </row>
    <row r="160" spans="1:17" s="1" customFormat="1" ht="10.5" x14ac:dyDescent="0.25">
      <c r="A160" s="16" t="s">
        <v>157</v>
      </c>
      <c r="B160" s="12">
        <f t="shared" ref="B160:Q160" si="34">SUM(B154:B159)</f>
        <v>0</v>
      </c>
      <c r="C160" s="12">
        <f t="shared" si="34"/>
        <v>0</v>
      </c>
      <c r="D160" s="12">
        <f t="shared" si="34"/>
        <v>100687.33730550001</v>
      </c>
      <c r="E160" s="12">
        <f t="shared" si="34"/>
        <v>0</v>
      </c>
      <c r="F160" s="12">
        <f t="shared" si="34"/>
        <v>0</v>
      </c>
      <c r="G160" s="12">
        <f t="shared" si="34"/>
        <v>9279.1737115582564</v>
      </c>
      <c r="H160" s="12">
        <f t="shared" si="34"/>
        <v>6110.4778788000003</v>
      </c>
      <c r="I160" s="12">
        <f t="shared" si="34"/>
        <v>-9994.2282115946673</v>
      </c>
      <c r="J160" s="33">
        <f t="shared" si="34"/>
        <v>0</v>
      </c>
      <c r="K160" s="12">
        <f t="shared" si="28"/>
        <v>106082.76068426359</v>
      </c>
      <c r="L160" s="12">
        <f t="shared" si="34"/>
        <v>0</v>
      </c>
      <c r="M160" s="12">
        <f t="shared" si="34"/>
        <v>0</v>
      </c>
      <c r="N160" s="33">
        <f t="shared" si="34"/>
        <v>0</v>
      </c>
      <c r="O160" s="12">
        <f t="shared" si="29"/>
        <v>0</v>
      </c>
      <c r="P160" s="33">
        <f t="shared" si="34"/>
        <v>0</v>
      </c>
      <c r="Q160" s="12">
        <f t="shared" si="30"/>
        <v>106082.76068426359</v>
      </c>
    </row>
    <row r="161" spans="1:17" s="1" customFormat="1" ht="10.5" x14ac:dyDescent="0.25">
      <c r="A161" s="11" t="s">
        <v>158</v>
      </c>
      <c r="B161" s="12">
        <f t="shared" ref="B161:Q161" si="35">SUM(B146:B149,B152,B160)</f>
        <v>279722.59999999998</v>
      </c>
      <c r="C161" s="12">
        <f t="shared" si="35"/>
        <v>7852.0212000000001</v>
      </c>
      <c r="D161" s="12">
        <f t="shared" si="35"/>
        <v>365640.00245819998</v>
      </c>
      <c r="E161" s="12">
        <f t="shared" si="35"/>
        <v>3106.0425</v>
      </c>
      <c r="F161" s="12">
        <f t="shared" si="35"/>
        <v>-74674.369524962414</v>
      </c>
      <c r="G161" s="12">
        <f t="shared" si="35"/>
        <v>-103361.61220005238</v>
      </c>
      <c r="H161" s="12">
        <f t="shared" si="35"/>
        <v>9430.8937848000005</v>
      </c>
      <c r="I161" s="12">
        <f t="shared" si="35"/>
        <v>3512.6483419953329</v>
      </c>
      <c r="J161" s="33">
        <f t="shared" si="35"/>
        <v>0</v>
      </c>
      <c r="K161" s="12">
        <f t="shared" si="28"/>
        <v>203653.60535998055</v>
      </c>
      <c r="L161" s="12">
        <f t="shared" si="35"/>
        <v>2773.3006380000002</v>
      </c>
      <c r="M161" s="12">
        <f t="shared" si="35"/>
        <v>2773.3006380000002</v>
      </c>
      <c r="N161" s="33">
        <f t="shared" si="35"/>
        <v>0</v>
      </c>
      <c r="O161" s="12">
        <f t="shared" si="29"/>
        <v>5546.6012760000003</v>
      </c>
      <c r="P161" s="33">
        <f t="shared" si="35"/>
        <v>0</v>
      </c>
      <c r="Q161" s="12">
        <f t="shared" si="30"/>
        <v>496774.82783598051</v>
      </c>
    </row>
    <row r="162" spans="1:17" s="1" customFormat="1" ht="10" x14ac:dyDescent="0.2">
      <c r="A162" s="17" t="s">
        <v>159</v>
      </c>
      <c r="B162" s="10">
        <v>-15899.86</v>
      </c>
      <c r="C162" s="10">
        <v>0</v>
      </c>
      <c r="D162" s="10">
        <v>-1720.2392835000001</v>
      </c>
      <c r="E162" s="10">
        <v>54.214559999999999</v>
      </c>
      <c r="F162" s="10">
        <v>0</v>
      </c>
      <c r="G162" s="10">
        <v>0</v>
      </c>
      <c r="H162" s="10">
        <v>0</v>
      </c>
      <c r="I162" s="10">
        <v>0</v>
      </c>
      <c r="J162" s="32"/>
      <c r="K162" s="10">
        <f t="shared" si="28"/>
        <v>-1666.0247235000002</v>
      </c>
      <c r="L162" s="10">
        <v>0</v>
      </c>
      <c r="M162" s="10">
        <v>0</v>
      </c>
      <c r="N162" s="32"/>
      <c r="O162" s="10">
        <f t="shared" si="29"/>
        <v>0</v>
      </c>
      <c r="P162" s="32"/>
      <c r="Q162" s="10">
        <f t="shared" si="30"/>
        <v>-17565.884723499999</v>
      </c>
    </row>
    <row r="163" spans="1:17" s="1" customFormat="1" ht="10.5" x14ac:dyDescent="0.25">
      <c r="A163" s="8" t="s">
        <v>160</v>
      </c>
      <c r="B163" s="5"/>
      <c r="C163" s="5"/>
      <c r="D163" s="5"/>
      <c r="E163" s="5"/>
      <c r="F163" s="5"/>
      <c r="G163" s="5"/>
      <c r="H163" s="5"/>
      <c r="I163" s="5"/>
      <c r="J163" s="31"/>
      <c r="K163" s="5">
        <f t="shared" si="28"/>
        <v>0</v>
      </c>
      <c r="L163" s="5"/>
      <c r="M163" s="5"/>
      <c r="N163" s="31"/>
      <c r="O163" s="5">
        <f t="shared" si="29"/>
        <v>0</v>
      </c>
      <c r="P163" s="31"/>
      <c r="Q163" s="5">
        <f t="shared" si="30"/>
        <v>0</v>
      </c>
    </row>
    <row r="164" spans="1:17" s="1" customFormat="1" ht="10" x14ac:dyDescent="0.2">
      <c r="A164" s="9" t="s">
        <v>161</v>
      </c>
      <c r="B164" s="10">
        <v>0</v>
      </c>
      <c r="C164" s="10">
        <v>0</v>
      </c>
      <c r="D164" s="10">
        <v>-620.96001660000002</v>
      </c>
      <c r="E164" s="10">
        <v>0</v>
      </c>
      <c r="F164" s="10">
        <v>0</v>
      </c>
      <c r="G164" s="10">
        <v>0</v>
      </c>
      <c r="H164" s="10">
        <v>0</v>
      </c>
      <c r="I164" s="10">
        <v>4793.8806365876499</v>
      </c>
      <c r="J164" s="32"/>
      <c r="K164" s="10">
        <f t="shared" si="28"/>
        <v>4172.9206199876498</v>
      </c>
      <c r="L164" s="10">
        <v>0</v>
      </c>
      <c r="M164" s="10">
        <v>0</v>
      </c>
      <c r="N164" s="32"/>
      <c r="O164" s="10">
        <f t="shared" si="29"/>
        <v>0</v>
      </c>
      <c r="P164" s="32"/>
      <c r="Q164" s="10">
        <f t="shared" si="30"/>
        <v>4172.9206199876498</v>
      </c>
    </row>
    <row r="165" spans="1:17" s="1" customFormat="1" ht="10.5" x14ac:dyDescent="0.25">
      <c r="A165" s="14" t="s">
        <v>162</v>
      </c>
      <c r="B165" s="5"/>
      <c r="C165" s="5"/>
      <c r="D165" s="5"/>
      <c r="E165" s="5"/>
      <c r="F165" s="5"/>
      <c r="G165" s="5"/>
      <c r="H165" s="5"/>
      <c r="I165" s="5"/>
      <c r="J165" s="31"/>
      <c r="K165" s="5">
        <f t="shared" si="28"/>
        <v>0</v>
      </c>
      <c r="L165" s="5"/>
      <c r="M165" s="5"/>
      <c r="N165" s="31"/>
      <c r="O165" s="5">
        <f t="shared" si="29"/>
        <v>0</v>
      </c>
      <c r="P165" s="31"/>
      <c r="Q165" s="5">
        <f t="shared" si="30"/>
        <v>0</v>
      </c>
    </row>
    <row r="166" spans="1:17" s="1" customFormat="1" ht="10" x14ac:dyDescent="0.2">
      <c r="A166" s="15" t="s">
        <v>162</v>
      </c>
      <c r="B166" s="10">
        <v>0</v>
      </c>
      <c r="C166" s="10">
        <v>0</v>
      </c>
      <c r="D166" s="10">
        <v>602097.06567629997</v>
      </c>
      <c r="E166" s="10">
        <v>0</v>
      </c>
      <c r="F166" s="10">
        <v>0</v>
      </c>
      <c r="G166" s="10">
        <v>0</v>
      </c>
      <c r="H166" s="10">
        <v>0</v>
      </c>
      <c r="I166" s="10">
        <v>-244.96471521340561</v>
      </c>
      <c r="J166" s="32"/>
      <c r="K166" s="10">
        <f t="shared" si="28"/>
        <v>601852.10096108657</v>
      </c>
      <c r="L166" s="10">
        <v>0</v>
      </c>
      <c r="M166" s="10">
        <v>0</v>
      </c>
      <c r="N166" s="32"/>
      <c r="O166" s="10">
        <f t="shared" si="29"/>
        <v>0</v>
      </c>
      <c r="P166" s="32"/>
      <c r="Q166" s="10">
        <f t="shared" si="30"/>
        <v>601852.10096108657</v>
      </c>
    </row>
    <row r="167" spans="1:17" s="1" customFormat="1" ht="10" x14ac:dyDescent="0.2">
      <c r="A167" s="15" t="s">
        <v>163</v>
      </c>
      <c r="B167" s="10">
        <v>0</v>
      </c>
      <c r="C167" s="10">
        <v>0</v>
      </c>
      <c r="D167" s="10">
        <v>0</v>
      </c>
      <c r="E167" s="10">
        <v>0</v>
      </c>
      <c r="F167" s="10">
        <v>0</v>
      </c>
      <c r="G167" s="10">
        <v>2155.9104405463681</v>
      </c>
      <c r="H167" s="10">
        <v>0</v>
      </c>
      <c r="I167" s="10">
        <v>0</v>
      </c>
      <c r="J167" s="32"/>
      <c r="K167" s="10">
        <f t="shared" si="28"/>
        <v>2155.9104405463681</v>
      </c>
      <c r="L167" s="10">
        <v>0</v>
      </c>
      <c r="M167" s="10">
        <v>0</v>
      </c>
      <c r="N167" s="32"/>
      <c r="O167" s="10">
        <f t="shared" si="29"/>
        <v>0</v>
      </c>
      <c r="P167" s="32"/>
      <c r="Q167" s="10">
        <f t="shared" si="30"/>
        <v>2155.9104405463681</v>
      </c>
    </row>
    <row r="168" spans="1:17" s="1" customFormat="1" ht="10" x14ac:dyDescent="0.2">
      <c r="A168" s="15" t="s">
        <v>438</v>
      </c>
      <c r="B168" s="10">
        <v>0</v>
      </c>
      <c r="C168" s="10">
        <v>0</v>
      </c>
      <c r="D168" s="10">
        <v>0</v>
      </c>
      <c r="E168" s="10">
        <v>0</v>
      </c>
      <c r="F168" s="10">
        <v>0</v>
      </c>
      <c r="G168" s="10">
        <v>583.63378448892001</v>
      </c>
      <c r="H168" s="10">
        <v>0</v>
      </c>
      <c r="I168" s="10">
        <v>0</v>
      </c>
      <c r="J168" s="32"/>
      <c r="K168" s="10">
        <f t="shared" si="28"/>
        <v>583.63378448892001</v>
      </c>
      <c r="L168" s="10">
        <v>0</v>
      </c>
      <c r="M168" s="10">
        <v>0</v>
      </c>
      <c r="N168" s="32"/>
      <c r="O168" s="10">
        <f t="shared" si="29"/>
        <v>0</v>
      </c>
      <c r="P168" s="32"/>
      <c r="Q168" s="10">
        <f t="shared" si="30"/>
        <v>583.63378448892001</v>
      </c>
    </row>
    <row r="169" spans="1:17" s="1" customFormat="1" ht="10.5" x14ac:dyDescent="0.25">
      <c r="A169" s="16" t="s">
        <v>164</v>
      </c>
      <c r="B169" s="12">
        <f t="shared" ref="B169:Q169" si="36">SUM(B166:B168)</f>
        <v>0</v>
      </c>
      <c r="C169" s="12">
        <f t="shared" si="36"/>
        <v>0</v>
      </c>
      <c r="D169" s="12">
        <f t="shared" si="36"/>
        <v>602097.06567629997</v>
      </c>
      <c r="E169" s="12">
        <f t="shared" si="36"/>
        <v>0</v>
      </c>
      <c r="F169" s="12">
        <f t="shared" si="36"/>
        <v>0</v>
      </c>
      <c r="G169" s="12">
        <f t="shared" si="36"/>
        <v>2739.544225035288</v>
      </c>
      <c r="H169" s="12">
        <f t="shared" si="36"/>
        <v>0</v>
      </c>
      <c r="I169" s="12">
        <f t="shared" si="36"/>
        <v>-244.96471521340561</v>
      </c>
      <c r="J169" s="33">
        <f t="shared" si="36"/>
        <v>0</v>
      </c>
      <c r="K169" s="12">
        <f t="shared" si="28"/>
        <v>604591.64518612181</v>
      </c>
      <c r="L169" s="12">
        <f t="shared" si="36"/>
        <v>0</v>
      </c>
      <c r="M169" s="12">
        <f t="shared" si="36"/>
        <v>0</v>
      </c>
      <c r="N169" s="33">
        <f t="shared" si="36"/>
        <v>0</v>
      </c>
      <c r="O169" s="12">
        <f t="shared" si="29"/>
        <v>0</v>
      </c>
      <c r="P169" s="33">
        <f t="shared" si="36"/>
        <v>0</v>
      </c>
      <c r="Q169" s="12">
        <f t="shared" si="30"/>
        <v>604591.64518612181</v>
      </c>
    </row>
    <row r="170" spans="1:17" s="1" customFormat="1" ht="10" x14ac:dyDescent="0.2">
      <c r="A170" s="9" t="s">
        <v>165</v>
      </c>
      <c r="B170" s="10">
        <v>0</v>
      </c>
      <c r="C170" s="10">
        <v>0</v>
      </c>
      <c r="D170" s="10">
        <v>7035.4008617999998</v>
      </c>
      <c r="E170" s="10">
        <v>0</v>
      </c>
      <c r="F170" s="10">
        <v>0</v>
      </c>
      <c r="G170" s="10">
        <v>0</v>
      </c>
      <c r="H170" s="10">
        <v>0</v>
      </c>
      <c r="I170" s="10">
        <v>0</v>
      </c>
      <c r="J170" s="32"/>
      <c r="K170" s="10">
        <f t="shared" si="28"/>
        <v>7035.4008617999998</v>
      </c>
      <c r="L170" s="10">
        <v>0</v>
      </c>
      <c r="M170" s="10">
        <v>0</v>
      </c>
      <c r="N170" s="32"/>
      <c r="O170" s="10">
        <f t="shared" si="29"/>
        <v>0</v>
      </c>
      <c r="P170" s="32"/>
      <c r="Q170" s="10">
        <f t="shared" si="30"/>
        <v>7035.4008617999998</v>
      </c>
    </row>
    <row r="171" spans="1:17" s="1" customFormat="1" ht="10" x14ac:dyDescent="0.2">
      <c r="A171" s="9" t="s">
        <v>420</v>
      </c>
      <c r="B171" s="10">
        <v>0</v>
      </c>
      <c r="C171" s="10">
        <v>0</v>
      </c>
      <c r="D171" s="10">
        <v>0</v>
      </c>
      <c r="E171" s="10">
        <v>0</v>
      </c>
      <c r="F171" s="10">
        <v>0</v>
      </c>
      <c r="G171" s="10">
        <v>0</v>
      </c>
      <c r="H171" s="10">
        <v>0</v>
      </c>
      <c r="I171" s="10">
        <v>-5565.0132317664611</v>
      </c>
      <c r="J171" s="32"/>
      <c r="K171" s="10">
        <f t="shared" si="28"/>
        <v>-5565.0132317664611</v>
      </c>
      <c r="L171" s="10">
        <v>0</v>
      </c>
      <c r="M171" s="10">
        <v>0</v>
      </c>
      <c r="N171" s="32"/>
      <c r="O171" s="10">
        <f t="shared" si="29"/>
        <v>0</v>
      </c>
      <c r="P171" s="32"/>
      <c r="Q171" s="10">
        <f t="shared" si="30"/>
        <v>-5565.0132317664611</v>
      </c>
    </row>
    <row r="172" spans="1:17" s="1" customFormat="1" ht="10.5" x14ac:dyDescent="0.25">
      <c r="A172" s="11" t="s">
        <v>166</v>
      </c>
      <c r="B172" s="12">
        <f t="shared" ref="B172:Q172" si="37">SUM(B164,B169:B171)</f>
        <v>0</v>
      </c>
      <c r="C172" s="12">
        <f t="shared" si="37"/>
        <v>0</v>
      </c>
      <c r="D172" s="12">
        <f t="shared" si="37"/>
        <v>608511.50652149995</v>
      </c>
      <c r="E172" s="12">
        <f t="shared" si="37"/>
        <v>0</v>
      </c>
      <c r="F172" s="12">
        <f t="shared" si="37"/>
        <v>0</v>
      </c>
      <c r="G172" s="12">
        <f t="shared" si="37"/>
        <v>2739.544225035288</v>
      </c>
      <c r="H172" s="12">
        <f t="shared" si="37"/>
        <v>0</v>
      </c>
      <c r="I172" s="12">
        <f t="shared" si="37"/>
        <v>-1016.097310392217</v>
      </c>
      <c r="J172" s="33">
        <f t="shared" si="37"/>
        <v>0</v>
      </c>
      <c r="K172" s="12">
        <f t="shared" si="28"/>
        <v>610234.953436143</v>
      </c>
      <c r="L172" s="12">
        <f t="shared" si="37"/>
        <v>0</v>
      </c>
      <c r="M172" s="12">
        <f t="shared" si="37"/>
        <v>0</v>
      </c>
      <c r="N172" s="33">
        <f t="shared" si="37"/>
        <v>0</v>
      </c>
      <c r="O172" s="12">
        <f t="shared" si="29"/>
        <v>0</v>
      </c>
      <c r="P172" s="33">
        <f t="shared" si="37"/>
        <v>0</v>
      </c>
      <c r="Q172" s="12">
        <f t="shared" si="30"/>
        <v>610234.953436143</v>
      </c>
    </row>
    <row r="173" spans="1:17" s="1" customFormat="1" ht="10.5" x14ac:dyDescent="0.25">
      <c r="A173" s="8" t="s">
        <v>167</v>
      </c>
      <c r="B173" s="5"/>
      <c r="C173" s="5"/>
      <c r="D173" s="5"/>
      <c r="E173" s="5"/>
      <c r="F173" s="5"/>
      <c r="G173" s="5"/>
      <c r="H173" s="5"/>
      <c r="I173" s="5"/>
      <c r="J173" s="31"/>
      <c r="K173" s="5">
        <f t="shared" si="28"/>
        <v>0</v>
      </c>
      <c r="L173" s="5"/>
      <c r="M173" s="5"/>
      <c r="N173" s="31"/>
      <c r="O173" s="5">
        <f t="shared" si="29"/>
        <v>0</v>
      </c>
      <c r="P173" s="31"/>
      <c r="Q173" s="5">
        <f t="shared" si="30"/>
        <v>0</v>
      </c>
    </row>
    <row r="174" spans="1:17" s="1" customFormat="1" ht="10" x14ac:dyDescent="0.2">
      <c r="A174" s="9" t="s">
        <v>168</v>
      </c>
      <c r="B174" s="10">
        <v>0</v>
      </c>
      <c r="C174" s="10">
        <v>-202429.73307006</v>
      </c>
      <c r="D174" s="10">
        <v>3725553.7680203998</v>
      </c>
      <c r="E174" s="10">
        <v>-372320.27536259999</v>
      </c>
      <c r="F174" s="10">
        <v>356062.95092479745</v>
      </c>
      <c r="G174" s="10">
        <v>0</v>
      </c>
      <c r="H174" s="10">
        <v>24668.675207100001</v>
      </c>
      <c r="I174" s="10">
        <v>1406637.8004176542</v>
      </c>
      <c r="J174" s="32">
        <v>-5140602.9192073513</v>
      </c>
      <c r="K174" s="10">
        <f t="shared" si="28"/>
        <v>0</v>
      </c>
      <c r="L174" s="10">
        <v>88612.501081800001</v>
      </c>
      <c r="M174" s="10">
        <v>4844.6130816000004</v>
      </c>
      <c r="N174" s="32">
        <v>-93457.114163399994</v>
      </c>
      <c r="O174" s="10">
        <f t="shared" si="29"/>
        <v>0</v>
      </c>
      <c r="P174" s="32">
        <v>202429.73307006</v>
      </c>
      <c r="Q174" s="10">
        <f t="shared" si="30"/>
        <v>0</v>
      </c>
    </row>
    <row r="175" spans="1:17" s="1" customFormat="1" ht="10" x14ac:dyDescent="0.2">
      <c r="A175" s="9" t="s">
        <v>169</v>
      </c>
      <c r="B175" s="10">
        <v>203581.51</v>
      </c>
      <c r="C175" s="10">
        <v>0</v>
      </c>
      <c r="D175" s="10">
        <v>-7755.1669140000004</v>
      </c>
      <c r="E175" s="10">
        <v>0</v>
      </c>
      <c r="F175" s="10">
        <v>0</v>
      </c>
      <c r="G175" s="10">
        <v>0</v>
      </c>
      <c r="H175" s="10">
        <v>0</v>
      </c>
      <c r="I175" s="10">
        <v>0</v>
      </c>
      <c r="J175" s="32">
        <v>7755.1669140000004</v>
      </c>
      <c r="K175" s="10">
        <f t="shared" si="28"/>
        <v>0</v>
      </c>
      <c r="L175" s="10">
        <v>0</v>
      </c>
      <c r="M175" s="10">
        <v>0</v>
      </c>
      <c r="N175" s="32">
        <v>0</v>
      </c>
      <c r="O175" s="10">
        <f t="shared" si="29"/>
        <v>0</v>
      </c>
      <c r="P175" s="32">
        <v>-203581.51</v>
      </c>
      <c r="Q175" s="10">
        <f t="shared" si="30"/>
        <v>0</v>
      </c>
    </row>
    <row r="176" spans="1:17" s="1" customFormat="1" ht="10" x14ac:dyDescent="0.2">
      <c r="A176" s="9" t="s">
        <v>170</v>
      </c>
      <c r="B176" s="10">
        <v>404702.01</v>
      </c>
      <c r="C176" s="10">
        <v>3.8490299999999998E-3</v>
      </c>
      <c r="D176" s="10">
        <v>161492.4902919</v>
      </c>
      <c r="E176" s="10">
        <v>-298.970709</v>
      </c>
      <c r="F176" s="10">
        <v>0</v>
      </c>
      <c r="G176" s="10">
        <v>0</v>
      </c>
      <c r="H176" s="10">
        <v>169.4205</v>
      </c>
      <c r="I176" s="10">
        <v>21010.696861140001</v>
      </c>
      <c r="J176" s="32">
        <v>-182373.63694404002</v>
      </c>
      <c r="K176" s="10">
        <f t="shared" si="28"/>
        <v>0</v>
      </c>
      <c r="L176" s="10">
        <v>0</v>
      </c>
      <c r="M176" s="10">
        <v>0</v>
      </c>
      <c r="N176" s="32">
        <v>0</v>
      </c>
      <c r="O176" s="10">
        <f t="shared" si="29"/>
        <v>0</v>
      </c>
      <c r="P176" s="32">
        <v>-404702.01384903002</v>
      </c>
      <c r="Q176" s="10">
        <f t="shared" si="30"/>
        <v>-6.676912495118259E-12</v>
      </c>
    </row>
    <row r="177" spans="1:17" s="1" customFormat="1" ht="10" x14ac:dyDescent="0.2">
      <c r="A177" s="9" t="s">
        <v>171</v>
      </c>
      <c r="B177" s="10">
        <v>-105675.75</v>
      </c>
      <c r="C177" s="10">
        <v>0</v>
      </c>
      <c r="D177" s="10">
        <v>0</v>
      </c>
      <c r="E177" s="10">
        <v>0</v>
      </c>
      <c r="F177" s="10">
        <v>0</v>
      </c>
      <c r="G177" s="10">
        <v>0</v>
      </c>
      <c r="H177" s="10">
        <v>0</v>
      </c>
      <c r="I177" s="10">
        <v>0</v>
      </c>
      <c r="J177" s="32">
        <v>0</v>
      </c>
      <c r="K177" s="10">
        <f t="shared" si="28"/>
        <v>0</v>
      </c>
      <c r="L177" s="10">
        <v>0</v>
      </c>
      <c r="M177" s="10">
        <v>0</v>
      </c>
      <c r="N177" s="32">
        <v>0</v>
      </c>
      <c r="O177" s="10">
        <f t="shared" si="29"/>
        <v>0</v>
      </c>
      <c r="P177" s="32">
        <v>105675.75</v>
      </c>
      <c r="Q177" s="10">
        <f t="shared" si="30"/>
        <v>0</v>
      </c>
    </row>
    <row r="178" spans="1:17" s="1" customFormat="1" ht="10" x14ac:dyDescent="0.2">
      <c r="A178" s="9" t="s">
        <v>439</v>
      </c>
      <c r="B178" s="10">
        <v>0</v>
      </c>
      <c r="C178" s="10">
        <v>0</v>
      </c>
      <c r="D178" s="10">
        <v>-126450.13010160001</v>
      </c>
      <c r="E178" s="10">
        <v>-169.4205</v>
      </c>
      <c r="F178" s="10">
        <v>0</v>
      </c>
      <c r="G178" s="10">
        <v>0</v>
      </c>
      <c r="H178" s="10">
        <v>0</v>
      </c>
      <c r="I178" s="10">
        <v>0</v>
      </c>
      <c r="J178" s="32">
        <v>126619.5506016</v>
      </c>
      <c r="K178" s="10">
        <f t="shared" si="28"/>
        <v>0</v>
      </c>
      <c r="L178" s="10">
        <v>0</v>
      </c>
      <c r="M178" s="10">
        <v>0</v>
      </c>
      <c r="N178" s="32">
        <v>0</v>
      </c>
      <c r="O178" s="10">
        <f t="shared" si="29"/>
        <v>0</v>
      </c>
      <c r="P178" s="32">
        <v>0</v>
      </c>
      <c r="Q178" s="10">
        <f t="shared" si="30"/>
        <v>0</v>
      </c>
    </row>
    <row r="179" spans="1:17" s="1" customFormat="1" ht="10" x14ac:dyDescent="0.2">
      <c r="A179" s="9" t="s">
        <v>172</v>
      </c>
      <c r="B179" s="10">
        <v>-3792569.2</v>
      </c>
      <c r="C179" s="10">
        <v>7907.7038339999999</v>
      </c>
      <c r="D179" s="10">
        <v>-35061.662832599999</v>
      </c>
      <c r="E179" s="10">
        <v>-147260.10659010001</v>
      </c>
      <c r="F179" s="10">
        <v>337209.18862642476</v>
      </c>
      <c r="G179" s="10">
        <v>732057.37324962334</v>
      </c>
      <c r="H179" s="10">
        <v>126450.13010160001</v>
      </c>
      <c r="I179" s="10">
        <v>-866324.8990095167</v>
      </c>
      <c r="J179" s="32">
        <v>-147070.02354543132</v>
      </c>
      <c r="K179" s="10">
        <f t="shared" si="28"/>
        <v>0</v>
      </c>
      <c r="L179" s="10">
        <v>0</v>
      </c>
      <c r="M179" s="10">
        <v>0</v>
      </c>
      <c r="N179" s="32">
        <v>0</v>
      </c>
      <c r="O179" s="10">
        <f t="shared" si="29"/>
        <v>0</v>
      </c>
      <c r="P179" s="32">
        <v>3784661.4961660001</v>
      </c>
      <c r="Q179" s="10">
        <f t="shared" si="30"/>
        <v>-4.3655745685100555E-11</v>
      </c>
    </row>
    <row r="180" spans="1:17" s="1" customFormat="1" ht="10" x14ac:dyDescent="0.2">
      <c r="A180" s="9" t="s">
        <v>173</v>
      </c>
      <c r="B180" s="10">
        <v>-1405278.17</v>
      </c>
      <c r="C180" s="10">
        <v>0</v>
      </c>
      <c r="D180" s="10">
        <v>970189.9607229</v>
      </c>
      <c r="E180" s="10">
        <v>-18721.529985000001</v>
      </c>
      <c r="F180" s="10">
        <v>0</v>
      </c>
      <c r="G180" s="10">
        <v>0</v>
      </c>
      <c r="H180" s="10">
        <v>0</v>
      </c>
      <c r="I180" s="10">
        <v>0</v>
      </c>
      <c r="J180" s="32">
        <v>-951468.43073789997</v>
      </c>
      <c r="K180" s="10">
        <f t="shared" si="28"/>
        <v>0</v>
      </c>
      <c r="L180" s="10">
        <v>0</v>
      </c>
      <c r="M180" s="10">
        <v>0</v>
      </c>
      <c r="N180" s="32">
        <v>0</v>
      </c>
      <c r="O180" s="10">
        <f t="shared" si="29"/>
        <v>0</v>
      </c>
      <c r="P180" s="32">
        <v>1405278.17</v>
      </c>
      <c r="Q180" s="10">
        <f t="shared" si="30"/>
        <v>0</v>
      </c>
    </row>
    <row r="181" spans="1:17" s="1" customFormat="1" ht="10" x14ac:dyDescent="0.2">
      <c r="A181" s="9" t="s">
        <v>174</v>
      </c>
      <c r="B181" s="10">
        <v>0</v>
      </c>
      <c r="C181" s="10">
        <v>0</v>
      </c>
      <c r="D181" s="10">
        <v>14301.34914</v>
      </c>
      <c r="E181" s="10">
        <v>0</v>
      </c>
      <c r="F181" s="10">
        <v>0</v>
      </c>
      <c r="G181" s="10">
        <v>0</v>
      </c>
      <c r="H181" s="10">
        <v>0</v>
      </c>
      <c r="I181" s="10">
        <v>0</v>
      </c>
      <c r="J181" s="32">
        <v>-14301.34914</v>
      </c>
      <c r="K181" s="10">
        <f t="shared" si="28"/>
        <v>0</v>
      </c>
      <c r="L181" s="10">
        <v>0</v>
      </c>
      <c r="M181" s="10">
        <v>0</v>
      </c>
      <c r="N181" s="32">
        <v>0</v>
      </c>
      <c r="O181" s="10">
        <f t="shared" si="29"/>
        <v>0</v>
      </c>
      <c r="P181" s="32">
        <v>0</v>
      </c>
      <c r="Q181" s="10">
        <f t="shared" si="30"/>
        <v>0</v>
      </c>
    </row>
    <row r="182" spans="1:17" s="1" customFormat="1" ht="10" x14ac:dyDescent="0.2">
      <c r="A182" s="9" t="s">
        <v>175</v>
      </c>
      <c r="B182" s="10">
        <v>300892.81</v>
      </c>
      <c r="C182" s="10">
        <v>0</v>
      </c>
      <c r="D182" s="10">
        <v>-8126.1187461</v>
      </c>
      <c r="E182" s="10">
        <v>0</v>
      </c>
      <c r="F182" s="10">
        <v>0</v>
      </c>
      <c r="G182" s="10">
        <v>0</v>
      </c>
      <c r="H182" s="10">
        <v>0</v>
      </c>
      <c r="I182" s="10">
        <v>-3249.1541931691499</v>
      </c>
      <c r="J182" s="32">
        <v>11375.272939269151</v>
      </c>
      <c r="K182" s="10">
        <f t="shared" si="28"/>
        <v>0</v>
      </c>
      <c r="L182" s="10">
        <v>0</v>
      </c>
      <c r="M182" s="10">
        <v>0</v>
      </c>
      <c r="N182" s="32">
        <v>0</v>
      </c>
      <c r="O182" s="10">
        <f t="shared" si="29"/>
        <v>0</v>
      </c>
      <c r="P182" s="32">
        <v>-300892.81</v>
      </c>
      <c r="Q182" s="10">
        <f t="shared" si="30"/>
        <v>0</v>
      </c>
    </row>
    <row r="183" spans="1:17" s="1" customFormat="1" ht="10" x14ac:dyDescent="0.2">
      <c r="A183" s="9" t="s">
        <v>176</v>
      </c>
      <c r="B183" s="10">
        <v>-261001.02</v>
      </c>
      <c r="C183" s="10">
        <v>0</v>
      </c>
      <c r="D183" s="10">
        <v>-12671.2302678</v>
      </c>
      <c r="E183" s="10">
        <v>-1689.6645306</v>
      </c>
      <c r="F183" s="10">
        <v>396903.64885029191</v>
      </c>
      <c r="G183" s="10">
        <v>0</v>
      </c>
      <c r="H183" s="10">
        <v>0</v>
      </c>
      <c r="I183" s="10">
        <v>0</v>
      </c>
      <c r="J183" s="32">
        <v>-382542.75405189191</v>
      </c>
      <c r="K183" s="10">
        <f t="shared" si="28"/>
        <v>0</v>
      </c>
      <c r="L183" s="10">
        <v>0</v>
      </c>
      <c r="M183" s="10">
        <v>0</v>
      </c>
      <c r="N183" s="32">
        <v>0</v>
      </c>
      <c r="O183" s="10">
        <f t="shared" si="29"/>
        <v>0</v>
      </c>
      <c r="P183" s="32">
        <v>261001.02</v>
      </c>
      <c r="Q183" s="10">
        <f t="shared" si="30"/>
        <v>0</v>
      </c>
    </row>
    <row r="184" spans="1:17" s="1" customFormat="1" ht="10" x14ac:dyDescent="0.2">
      <c r="A184" s="9" t="s">
        <v>177</v>
      </c>
      <c r="B184" s="10">
        <v>-378595.79</v>
      </c>
      <c r="C184" s="10">
        <v>0</v>
      </c>
      <c r="D184" s="10">
        <v>-367630.89663779997</v>
      </c>
      <c r="E184" s="10">
        <v>0</v>
      </c>
      <c r="F184" s="10">
        <v>-16765.088612181255</v>
      </c>
      <c r="G184" s="10">
        <v>23629.392235263462</v>
      </c>
      <c r="H184" s="10">
        <v>0</v>
      </c>
      <c r="I184" s="10">
        <v>0</v>
      </c>
      <c r="J184" s="32">
        <v>360766.59301471774</v>
      </c>
      <c r="K184" s="10">
        <f t="shared" si="28"/>
        <v>0</v>
      </c>
      <c r="L184" s="10">
        <v>0</v>
      </c>
      <c r="M184" s="10">
        <v>0</v>
      </c>
      <c r="N184" s="32">
        <v>0</v>
      </c>
      <c r="O184" s="10">
        <f t="shared" si="29"/>
        <v>0</v>
      </c>
      <c r="P184" s="32">
        <v>378595.79</v>
      </c>
      <c r="Q184" s="10">
        <f t="shared" si="30"/>
        <v>0</v>
      </c>
    </row>
    <row r="185" spans="1:17" s="1" customFormat="1" ht="10" x14ac:dyDescent="0.2">
      <c r="A185" s="9" t="s">
        <v>178</v>
      </c>
      <c r="B185" s="10">
        <v>0</v>
      </c>
      <c r="C185" s="10">
        <v>0</v>
      </c>
      <c r="D185" s="10">
        <v>-696247.73089320003</v>
      </c>
      <c r="E185" s="10">
        <v>0</v>
      </c>
      <c r="F185" s="10">
        <v>-22263.716419371398</v>
      </c>
      <c r="G185" s="10">
        <v>0</v>
      </c>
      <c r="H185" s="10">
        <v>0</v>
      </c>
      <c r="I185" s="10">
        <v>0</v>
      </c>
      <c r="J185" s="32">
        <v>718511.44731257146</v>
      </c>
      <c r="K185" s="10">
        <f t="shared" si="28"/>
        <v>0</v>
      </c>
      <c r="L185" s="10">
        <v>0</v>
      </c>
      <c r="M185" s="10">
        <v>0</v>
      </c>
      <c r="N185" s="32">
        <v>0</v>
      </c>
      <c r="O185" s="10">
        <f t="shared" si="29"/>
        <v>0</v>
      </c>
      <c r="P185" s="32">
        <v>0</v>
      </c>
      <c r="Q185" s="10">
        <f t="shared" si="30"/>
        <v>0</v>
      </c>
    </row>
    <row r="186" spans="1:17" s="1" customFormat="1" ht="10" x14ac:dyDescent="0.2">
      <c r="A186" s="9" t="s">
        <v>179</v>
      </c>
      <c r="B186" s="10">
        <v>-25000</v>
      </c>
      <c r="C186" s="10">
        <v>0</v>
      </c>
      <c r="D186" s="10">
        <v>-27492.643869299998</v>
      </c>
      <c r="E186" s="10">
        <v>0</v>
      </c>
      <c r="F186" s="10">
        <v>0</v>
      </c>
      <c r="G186" s="10">
        <v>0</v>
      </c>
      <c r="H186" s="10">
        <v>0</v>
      </c>
      <c r="I186" s="10">
        <v>-28633.577784236459</v>
      </c>
      <c r="J186" s="32">
        <v>56126.221653536457</v>
      </c>
      <c r="K186" s="10">
        <f t="shared" si="28"/>
        <v>0</v>
      </c>
      <c r="L186" s="10">
        <v>0</v>
      </c>
      <c r="M186" s="10">
        <v>0</v>
      </c>
      <c r="N186" s="32">
        <v>0</v>
      </c>
      <c r="O186" s="10">
        <f t="shared" si="29"/>
        <v>0</v>
      </c>
      <c r="P186" s="32">
        <v>25000</v>
      </c>
      <c r="Q186" s="10">
        <f t="shared" si="30"/>
        <v>0</v>
      </c>
    </row>
    <row r="187" spans="1:17" s="1" customFormat="1" ht="10.5" x14ac:dyDescent="0.25">
      <c r="A187" s="11" t="s">
        <v>180</v>
      </c>
      <c r="B187" s="12">
        <f t="shared" ref="B187:Q187" si="38">SUM(B174:B186)</f>
        <v>-5058943.5999999996</v>
      </c>
      <c r="C187" s="12">
        <f t="shared" si="38"/>
        <v>-194522.02538702998</v>
      </c>
      <c r="D187" s="12">
        <f t="shared" si="38"/>
        <v>3590101.9879127988</v>
      </c>
      <c r="E187" s="12">
        <f t="shared" si="38"/>
        <v>-540459.96767729998</v>
      </c>
      <c r="F187" s="12">
        <f t="shared" si="38"/>
        <v>1051146.9833699614</v>
      </c>
      <c r="G187" s="12">
        <f t="shared" si="38"/>
        <v>755686.76548488683</v>
      </c>
      <c r="H187" s="12">
        <f t="shared" si="38"/>
        <v>151288.22580870002</v>
      </c>
      <c r="I187" s="12">
        <f t="shared" si="38"/>
        <v>529440.86629187188</v>
      </c>
      <c r="J187" s="33">
        <f t="shared" si="38"/>
        <v>-5537204.8611909179</v>
      </c>
      <c r="K187" s="12">
        <f t="shared" si="28"/>
        <v>0</v>
      </c>
      <c r="L187" s="12">
        <f t="shared" si="38"/>
        <v>88612.501081800001</v>
      </c>
      <c r="M187" s="12">
        <f t="shared" si="38"/>
        <v>4844.6130816000004</v>
      </c>
      <c r="N187" s="33">
        <f t="shared" si="38"/>
        <v>-93457.114163399994</v>
      </c>
      <c r="O187" s="12">
        <f t="shared" si="29"/>
        <v>0</v>
      </c>
      <c r="P187" s="33">
        <f t="shared" si="38"/>
        <v>5253465.6253870297</v>
      </c>
      <c r="Q187" s="12">
        <f t="shared" si="30"/>
        <v>0</v>
      </c>
    </row>
    <row r="188" spans="1:17" s="1" customFormat="1" ht="10.5" x14ac:dyDescent="0.25">
      <c r="A188" s="8" t="s">
        <v>181</v>
      </c>
      <c r="B188" s="5"/>
      <c r="C188" s="5"/>
      <c r="D188" s="5"/>
      <c r="E188" s="5"/>
      <c r="F188" s="5"/>
      <c r="G188" s="5"/>
      <c r="H188" s="5"/>
      <c r="I188" s="5"/>
      <c r="J188" s="31"/>
      <c r="K188" s="5">
        <f t="shared" si="28"/>
        <v>0</v>
      </c>
      <c r="L188" s="5"/>
      <c r="M188" s="5"/>
      <c r="N188" s="31"/>
      <c r="O188" s="5">
        <f t="shared" si="29"/>
        <v>0</v>
      </c>
      <c r="P188" s="31"/>
      <c r="Q188" s="5">
        <f t="shared" si="30"/>
        <v>0</v>
      </c>
    </row>
    <row r="189" spans="1:17" s="1" customFormat="1" ht="10" x14ac:dyDescent="0.2">
      <c r="A189" s="9" t="s">
        <v>182</v>
      </c>
      <c r="B189" s="10">
        <v>-73500</v>
      </c>
      <c r="C189" s="10">
        <v>0</v>
      </c>
      <c r="D189" s="10">
        <v>-37567.922878500001</v>
      </c>
      <c r="E189" s="10">
        <v>0</v>
      </c>
      <c r="F189" s="10">
        <v>0</v>
      </c>
      <c r="G189" s="10">
        <v>0</v>
      </c>
      <c r="H189" s="10">
        <v>0</v>
      </c>
      <c r="I189" s="10">
        <v>-272872.60353824578</v>
      </c>
      <c r="J189" s="32"/>
      <c r="K189" s="10">
        <f t="shared" si="28"/>
        <v>-310440.52641674579</v>
      </c>
      <c r="L189" s="10">
        <v>0</v>
      </c>
      <c r="M189" s="10">
        <v>0</v>
      </c>
      <c r="N189" s="32"/>
      <c r="O189" s="10">
        <f t="shared" si="29"/>
        <v>0</v>
      </c>
      <c r="P189" s="32"/>
      <c r="Q189" s="10">
        <f t="shared" si="30"/>
        <v>-383940.52641674579</v>
      </c>
    </row>
    <row r="190" spans="1:17" s="1" customFormat="1" ht="10" x14ac:dyDescent="0.2">
      <c r="A190" s="9" t="s">
        <v>183</v>
      </c>
      <c r="B190" s="10">
        <v>-10196.18</v>
      </c>
      <c r="C190" s="10">
        <v>0</v>
      </c>
      <c r="D190" s="10">
        <v>0</v>
      </c>
      <c r="E190" s="10">
        <v>0</v>
      </c>
      <c r="F190" s="10">
        <v>0</v>
      </c>
      <c r="G190" s="10">
        <v>0</v>
      </c>
      <c r="H190" s="10">
        <v>0</v>
      </c>
      <c r="I190" s="10">
        <v>0</v>
      </c>
      <c r="J190" s="32"/>
      <c r="K190" s="10">
        <f t="shared" si="28"/>
        <v>0</v>
      </c>
      <c r="L190" s="10">
        <v>0</v>
      </c>
      <c r="M190" s="10">
        <v>0</v>
      </c>
      <c r="N190" s="32"/>
      <c r="O190" s="10">
        <f t="shared" si="29"/>
        <v>0</v>
      </c>
      <c r="P190" s="32"/>
      <c r="Q190" s="10">
        <f t="shared" si="30"/>
        <v>-10196.18</v>
      </c>
    </row>
    <row r="191" spans="1:17" s="1" customFormat="1" ht="10.5" x14ac:dyDescent="0.25">
      <c r="A191" s="11" t="s">
        <v>184</v>
      </c>
      <c r="B191" s="12">
        <f t="shared" ref="B191:Q191" si="39">SUM(B189:B190)</f>
        <v>-83696.179999999993</v>
      </c>
      <c r="C191" s="12">
        <f t="shared" si="39"/>
        <v>0</v>
      </c>
      <c r="D191" s="12">
        <f t="shared" si="39"/>
        <v>-37567.922878500001</v>
      </c>
      <c r="E191" s="12">
        <f t="shared" si="39"/>
        <v>0</v>
      </c>
      <c r="F191" s="12">
        <f t="shared" si="39"/>
        <v>0</v>
      </c>
      <c r="G191" s="12">
        <f t="shared" si="39"/>
        <v>0</v>
      </c>
      <c r="H191" s="12">
        <f t="shared" si="39"/>
        <v>0</v>
      </c>
      <c r="I191" s="12">
        <f t="shared" si="39"/>
        <v>-272872.60353824578</v>
      </c>
      <c r="J191" s="33">
        <f t="shared" si="39"/>
        <v>0</v>
      </c>
      <c r="K191" s="12">
        <f t="shared" si="28"/>
        <v>-310440.52641674579</v>
      </c>
      <c r="L191" s="12">
        <f t="shared" si="39"/>
        <v>0</v>
      </c>
      <c r="M191" s="12">
        <f t="shared" si="39"/>
        <v>0</v>
      </c>
      <c r="N191" s="33">
        <f t="shared" si="39"/>
        <v>0</v>
      </c>
      <c r="O191" s="12">
        <f t="shared" si="29"/>
        <v>0</v>
      </c>
      <c r="P191" s="33">
        <f t="shared" si="39"/>
        <v>0</v>
      </c>
      <c r="Q191" s="12">
        <f t="shared" si="30"/>
        <v>-394136.70641674579</v>
      </c>
    </row>
    <row r="192" spans="1:17" s="1" customFormat="1" ht="10.5" x14ac:dyDescent="0.25">
      <c r="A192" s="8" t="s">
        <v>185</v>
      </c>
      <c r="B192" s="5"/>
      <c r="C192" s="5"/>
      <c r="D192" s="5"/>
      <c r="E192" s="5"/>
      <c r="F192" s="5"/>
      <c r="G192" s="5"/>
      <c r="H192" s="5"/>
      <c r="I192" s="5"/>
      <c r="J192" s="31"/>
      <c r="K192" s="5">
        <f t="shared" si="28"/>
        <v>0</v>
      </c>
      <c r="L192" s="5"/>
      <c r="M192" s="5"/>
      <c r="N192" s="31"/>
      <c r="O192" s="5">
        <f t="shared" si="29"/>
        <v>0</v>
      </c>
      <c r="P192" s="31"/>
      <c r="Q192" s="5">
        <f t="shared" si="30"/>
        <v>0</v>
      </c>
    </row>
    <row r="193" spans="1:17" s="1" customFormat="1" ht="10" x14ac:dyDescent="0.2">
      <c r="A193" s="9" t="s">
        <v>186</v>
      </c>
      <c r="B193" s="10">
        <v>0</v>
      </c>
      <c r="C193" s="10">
        <v>0</v>
      </c>
      <c r="D193" s="10">
        <v>32156.530456199998</v>
      </c>
      <c r="E193" s="10">
        <v>0</v>
      </c>
      <c r="F193" s="10">
        <v>0</v>
      </c>
      <c r="G193" s="10">
        <v>0</v>
      </c>
      <c r="H193" s="10">
        <v>0</v>
      </c>
      <c r="I193" s="10">
        <v>0</v>
      </c>
      <c r="J193" s="32"/>
      <c r="K193" s="10">
        <f t="shared" si="28"/>
        <v>32156.530456199998</v>
      </c>
      <c r="L193" s="10">
        <v>0</v>
      </c>
      <c r="M193" s="10">
        <v>0</v>
      </c>
      <c r="N193" s="32"/>
      <c r="O193" s="10">
        <f t="shared" si="29"/>
        <v>0</v>
      </c>
      <c r="P193" s="32"/>
      <c r="Q193" s="10">
        <f t="shared" si="30"/>
        <v>32156.530456199998</v>
      </c>
    </row>
    <row r="194" spans="1:17" s="1" customFormat="1" ht="10" x14ac:dyDescent="0.2">
      <c r="A194" s="9" t="s">
        <v>187</v>
      </c>
      <c r="B194" s="10">
        <v>0</v>
      </c>
      <c r="C194" s="10">
        <v>0</v>
      </c>
      <c r="D194" s="10">
        <v>-46195.560188700001</v>
      </c>
      <c r="E194" s="10">
        <v>0</v>
      </c>
      <c r="F194" s="10">
        <v>0</v>
      </c>
      <c r="G194" s="10">
        <v>0</v>
      </c>
      <c r="H194" s="10">
        <v>0</v>
      </c>
      <c r="I194" s="10">
        <v>0</v>
      </c>
      <c r="J194" s="32"/>
      <c r="K194" s="10">
        <f t="shared" si="28"/>
        <v>-46195.560188700001</v>
      </c>
      <c r="L194" s="10">
        <v>0</v>
      </c>
      <c r="M194" s="10">
        <v>0</v>
      </c>
      <c r="N194" s="32"/>
      <c r="O194" s="10">
        <f t="shared" si="29"/>
        <v>0</v>
      </c>
      <c r="P194" s="32"/>
      <c r="Q194" s="10">
        <f t="shared" si="30"/>
        <v>-46195.560188700001</v>
      </c>
    </row>
    <row r="195" spans="1:17" s="1" customFormat="1" ht="10" x14ac:dyDescent="0.2">
      <c r="A195" s="9" t="s">
        <v>188</v>
      </c>
      <c r="B195" s="10">
        <v>0</v>
      </c>
      <c r="C195" s="10">
        <v>0</v>
      </c>
      <c r="D195" s="10">
        <v>-1727.2758816</v>
      </c>
      <c r="E195" s="10">
        <v>-1049.27763</v>
      </c>
      <c r="F195" s="10">
        <v>0</v>
      </c>
      <c r="G195" s="10">
        <v>0</v>
      </c>
      <c r="H195" s="10">
        <v>0</v>
      </c>
      <c r="I195" s="10">
        <v>0</v>
      </c>
      <c r="J195" s="32"/>
      <c r="K195" s="10">
        <f t="shared" si="28"/>
        <v>-2776.5535116000001</v>
      </c>
      <c r="L195" s="10">
        <v>0</v>
      </c>
      <c r="M195" s="10">
        <v>0</v>
      </c>
      <c r="N195" s="32"/>
      <c r="O195" s="10">
        <f t="shared" si="29"/>
        <v>0</v>
      </c>
      <c r="P195" s="32"/>
      <c r="Q195" s="10">
        <f t="shared" si="30"/>
        <v>-2776.5535116000001</v>
      </c>
    </row>
    <row r="196" spans="1:17" s="1" customFormat="1" ht="10.5" x14ac:dyDescent="0.25">
      <c r="A196" s="11" t="s">
        <v>189</v>
      </c>
      <c r="B196" s="12">
        <f t="shared" ref="B196:Q196" si="40">SUM(B193:B195)</f>
        <v>0</v>
      </c>
      <c r="C196" s="12">
        <f t="shared" si="40"/>
        <v>0</v>
      </c>
      <c r="D196" s="12">
        <f t="shared" si="40"/>
        <v>-15766.305614100003</v>
      </c>
      <c r="E196" s="12">
        <f t="shared" si="40"/>
        <v>-1049.27763</v>
      </c>
      <c r="F196" s="12">
        <f t="shared" si="40"/>
        <v>0</v>
      </c>
      <c r="G196" s="12">
        <f t="shared" si="40"/>
        <v>0</v>
      </c>
      <c r="H196" s="12">
        <f t="shared" si="40"/>
        <v>0</v>
      </c>
      <c r="I196" s="12">
        <f t="shared" si="40"/>
        <v>0</v>
      </c>
      <c r="J196" s="33">
        <f t="shared" si="40"/>
        <v>0</v>
      </c>
      <c r="K196" s="12">
        <f t="shared" si="28"/>
        <v>-16815.583244100002</v>
      </c>
      <c r="L196" s="12">
        <f t="shared" si="40"/>
        <v>0</v>
      </c>
      <c r="M196" s="12">
        <f t="shared" si="40"/>
        <v>0</v>
      </c>
      <c r="N196" s="33">
        <f t="shared" si="40"/>
        <v>0</v>
      </c>
      <c r="O196" s="12">
        <f t="shared" si="29"/>
        <v>0</v>
      </c>
      <c r="P196" s="33">
        <f t="shared" si="40"/>
        <v>0</v>
      </c>
      <c r="Q196" s="12">
        <f t="shared" si="30"/>
        <v>-16815.583244100002</v>
      </c>
    </row>
    <row r="197" spans="1:17" s="1" customFormat="1" ht="10" x14ac:dyDescent="0.2">
      <c r="A197" s="17" t="s">
        <v>190</v>
      </c>
      <c r="B197" s="10">
        <v>0</v>
      </c>
      <c r="C197" s="10">
        <v>0</v>
      </c>
      <c r="D197" s="10">
        <v>-102472.521114</v>
      </c>
      <c r="E197" s="10">
        <v>263.16651000000002</v>
      </c>
      <c r="F197" s="10">
        <v>0</v>
      </c>
      <c r="G197" s="10">
        <v>0</v>
      </c>
      <c r="H197" s="10">
        <v>-1202.7838976999999</v>
      </c>
      <c r="I197" s="10">
        <v>0</v>
      </c>
      <c r="J197" s="32"/>
      <c r="K197" s="10">
        <f t="shared" si="28"/>
        <v>-103412.13850170001</v>
      </c>
      <c r="L197" s="10">
        <v>0</v>
      </c>
      <c r="M197" s="10">
        <v>0</v>
      </c>
      <c r="N197" s="32"/>
      <c r="O197" s="10">
        <f t="shared" si="29"/>
        <v>0</v>
      </c>
      <c r="P197" s="32"/>
      <c r="Q197" s="10">
        <f t="shared" si="30"/>
        <v>-103412.13850170001</v>
      </c>
    </row>
    <row r="198" spans="1:17" s="1" customFormat="1" ht="10" x14ac:dyDescent="0.2">
      <c r="A198" s="17" t="s">
        <v>191</v>
      </c>
      <c r="B198" s="10">
        <v>0</v>
      </c>
      <c r="C198" s="10">
        <v>0</v>
      </c>
      <c r="D198" s="10">
        <v>-24307.086681299999</v>
      </c>
      <c r="E198" s="10">
        <v>-4386.3193344000001</v>
      </c>
      <c r="F198" s="10">
        <v>0</v>
      </c>
      <c r="G198" s="10">
        <v>0</v>
      </c>
      <c r="H198" s="10">
        <v>0</v>
      </c>
      <c r="I198" s="10">
        <v>0</v>
      </c>
      <c r="J198" s="32"/>
      <c r="K198" s="10">
        <f t="shared" si="28"/>
        <v>-28693.406015699999</v>
      </c>
      <c r="L198" s="10">
        <v>0</v>
      </c>
      <c r="M198" s="10">
        <v>0</v>
      </c>
      <c r="N198" s="32"/>
      <c r="O198" s="10">
        <f t="shared" si="29"/>
        <v>0</v>
      </c>
      <c r="P198" s="32"/>
      <c r="Q198" s="10">
        <f t="shared" si="30"/>
        <v>-28693.406015699999</v>
      </c>
    </row>
    <row r="199" spans="1:17" s="1" customFormat="1" ht="10" x14ac:dyDescent="0.2">
      <c r="A199" s="17" t="s">
        <v>192</v>
      </c>
      <c r="B199" s="10">
        <v>0</v>
      </c>
      <c r="C199" s="10">
        <v>0</v>
      </c>
      <c r="D199" s="10">
        <v>9577.3747490999995</v>
      </c>
      <c r="E199" s="10">
        <v>0</v>
      </c>
      <c r="F199" s="10">
        <v>0</v>
      </c>
      <c r="G199" s="10">
        <v>0</v>
      </c>
      <c r="H199" s="10">
        <v>14567.248967400001</v>
      </c>
      <c r="I199" s="10">
        <v>0</v>
      </c>
      <c r="J199" s="32"/>
      <c r="K199" s="10">
        <f t="shared" si="28"/>
        <v>24144.623716499998</v>
      </c>
      <c r="L199" s="10">
        <v>0</v>
      </c>
      <c r="M199" s="10">
        <v>0</v>
      </c>
      <c r="N199" s="32"/>
      <c r="O199" s="10">
        <f t="shared" si="29"/>
        <v>0</v>
      </c>
      <c r="P199" s="32"/>
      <c r="Q199" s="10">
        <f t="shared" si="30"/>
        <v>24144.623716499998</v>
      </c>
    </row>
    <row r="200" spans="1:17" s="1" customFormat="1" ht="10" x14ac:dyDescent="0.2">
      <c r="A200" s="17" t="s">
        <v>193</v>
      </c>
      <c r="B200" s="10">
        <v>0</v>
      </c>
      <c r="C200" s="10">
        <v>0</v>
      </c>
      <c r="D200" s="10">
        <v>0</v>
      </c>
      <c r="E200" s="10">
        <v>0</v>
      </c>
      <c r="F200" s="10">
        <v>25015.056271828777</v>
      </c>
      <c r="G200" s="10">
        <v>0</v>
      </c>
      <c r="H200" s="10">
        <v>0</v>
      </c>
      <c r="I200" s="10">
        <v>0</v>
      </c>
      <c r="J200" s="32"/>
      <c r="K200" s="10">
        <f t="shared" si="28"/>
        <v>25015.056271828777</v>
      </c>
      <c r="L200" s="10">
        <v>0</v>
      </c>
      <c r="M200" s="10">
        <v>0</v>
      </c>
      <c r="N200" s="32"/>
      <c r="O200" s="10">
        <f t="shared" si="29"/>
        <v>0</v>
      </c>
      <c r="P200" s="32"/>
      <c r="Q200" s="10">
        <f t="shared" si="30"/>
        <v>25015.056271828777</v>
      </c>
    </row>
    <row r="201" spans="1:17" s="1" customFormat="1" ht="10.5" x14ac:dyDescent="0.25">
      <c r="A201" s="13" t="s">
        <v>194</v>
      </c>
      <c r="B201" s="12">
        <f t="shared" ref="B201:Q201" si="41">SUM(B161:B162,B172,B187,B191,B196:B200)</f>
        <v>-4878817.0399999991</v>
      </c>
      <c r="C201" s="12">
        <f t="shared" si="41"/>
        <v>-186670.00418702999</v>
      </c>
      <c r="D201" s="12">
        <f t="shared" si="41"/>
        <v>4391996.7960701985</v>
      </c>
      <c r="E201" s="12">
        <f t="shared" si="41"/>
        <v>-542472.14107170003</v>
      </c>
      <c r="F201" s="12">
        <f t="shared" si="41"/>
        <v>1001487.6701168278</v>
      </c>
      <c r="G201" s="12">
        <f t="shared" si="41"/>
        <v>655064.6975098697</v>
      </c>
      <c r="H201" s="12">
        <f t="shared" si="41"/>
        <v>174083.58466320002</v>
      </c>
      <c r="I201" s="12">
        <f t="shared" si="41"/>
        <v>259064.81378522923</v>
      </c>
      <c r="J201" s="33">
        <f t="shared" si="41"/>
        <v>-5537204.8611909179</v>
      </c>
      <c r="K201" s="12">
        <f t="shared" si="28"/>
        <v>402020.55988270789</v>
      </c>
      <c r="L201" s="12">
        <f t="shared" si="41"/>
        <v>91385.801719800002</v>
      </c>
      <c r="M201" s="12">
        <f t="shared" si="41"/>
        <v>7617.9137196000011</v>
      </c>
      <c r="N201" s="33">
        <f t="shared" si="41"/>
        <v>-93457.114163399994</v>
      </c>
      <c r="O201" s="12">
        <f t="shared" si="29"/>
        <v>5546.6012760000012</v>
      </c>
      <c r="P201" s="33">
        <f t="shared" si="41"/>
        <v>5253465.6253870297</v>
      </c>
      <c r="Q201" s="12">
        <f t="shared" si="30"/>
        <v>595545.74235870852</v>
      </c>
    </row>
    <row r="202" spans="1:17" s="1" customFormat="1" ht="10.5" x14ac:dyDescent="0.25">
      <c r="A202" s="6" t="s">
        <v>195</v>
      </c>
      <c r="B202" s="5">
        <f t="shared" ref="B202:Q202" si="42">B119+B143+B201</f>
        <v>-4838205.2399999993</v>
      </c>
      <c r="C202" s="5">
        <f t="shared" si="42"/>
        <v>-191655.76180188</v>
      </c>
      <c r="D202" s="5">
        <f t="shared" si="42"/>
        <v>6077152.9342181981</v>
      </c>
      <c r="E202" s="5">
        <f t="shared" si="42"/>
        <v>-540623.91024780006</v>
      </c>
      <c r="F202" s="5">
        <f t="shared" si="42"/>
        <v>1124111.4737617308</v>
      </c>
      <c r="G202" s="5">
        <f t="shared" si="42"/>
        <v>675361.97187985538</v>
      </c>
      <c r="H202" s="5">
        <f t="shared" si="42"/>
        <v>187447.75607070001</v>
      </c>
      <c r="I202" s="5">
        <f t="shared" si="42"/>
        <v>563696.59639824345</v>
      </c>
      <c r="J202" s="31">
        <f t="shared" si="42"/>
        <v>-5516265.6733344179</v>
      </c>
      <c r="K202" s="5">
        <f t="shared" si="28"/>
        <v>2570881.148746511</v>
      </c>
      <c r="L202" s="5">
        <f t="shared" si="42"/>
        <v>91385.801719800002</v>
      </c>
      <c r="M202" s="5">
        <f t="shared" si="42"/>
        <v>7617.9137196000011</v>
      </c>
      <c r="N202" s="31">
        <f t="shared" si="42"/>
        <v>-93457.114163399994</v>
      </c>
      <c r="O202" s="5">
        <f t="shared" si="29"/>
        <v>5546.6012760000012</v>
      </c>
      <c r="P202" s="31">
        <f t="shared" si="42"/>
        <v>5248192.8753870297</v>
      </c>
      <c r="Q202" s="5">
        <f t="shared" si="30"/>
        <v>2794759.6236076616</v>
      </c>
    </row>
    <row r="203" spans="1:17" s="1" customFormat="1" ht="10.5" x14ac:dyDescent="0.25">
      <c r="A203" s="6" t="s">
        <v>196</v>
      </c>
      <c r="B203" s="5"/>
      <c r="C203" s="5"/>
      <c r="D203" s="5"/>
      <c r="E203" s="5"/>
      <c r="F203" s="5"/>
      <c r="G203" s="5"/>
      <c r="H203" s="5"/>
      <c r="I203" s="5"/>
      <c r="J203" s="31"/>
      <c r="K203" s="5">
        <f t="shared" si="28"/>
        <v>0</v>
      </c>
      <c r="L203" s="5"/>
      <c r="M203" s="5"/>
      <c r="N203" s="31"/>
      <c r="O203" s="5">
        <f t="shared" si="29"/>
        <v>0</v>
      </c>
      <c r="P203" s="31"/>
      <c r="Q203" s="5">
        <f t="shared" si="30"/>
        <v>0</v>
      </c>
    </row>
    <row r="204" spans="1:17" s="1" customFormat="1" ht="10.5" x14ac:dyDescent="0.25">
      <c r="A204" s="7" t="s">
        <v>197</v>
      </c>
      <c r="B204" s="5"/>
      <c r="C204" s="5"/>
      <c r="D204" s="5"/>
      <c r="E204" s="5"/>
      <c r="F204" s="5"/>
      <c r="G204" s="5"/>
      <c r="H204" s="5"/>
      <c r="I204" s="5"/>
      <c r="J204" s="31"/>
      <c r="K204" s="5">
        <f t="shared" si="28"/>
        <v>0</v>
      </c>
      <c r="L204" s="5"/>
      <c r="M204" s="5"/>
      <c r="N204" s="31"/>
      <c r="O204" s="5">
        <f t="shared" si="29"/>
        <v>0</v>
      </c>
      <c r="P204" s="31"/>
      <c r="Q204" s="5">
        <f t="shared" si="30"/>
        <v>0</v>
      </c>
    </row>
    <row r="205" spans="1:17" s="1" customFormat="1" ht="10.5" x14ac:dyDescent="0.25">
      <c r="A205" s="8" t="s">
        <v>198</v>
      </c>
      <c r="B205" s="5"/>
      <c r="C205" s="5"/>
      <c r="D205" s="5"/>
      <c r="E205" s="5"/>
      <c r="F205" s="5"/>
      <c r="G205" s="5"/>
      <c r="H205" s="5"/>
      <c r="I205" s="5"/>
      <c r="J205" s="31"/>
      <c r="K205" s="5">
        <f t="shared" ref="K205:K268" si="43">SUM(D205:J205)</f>
        <v>0</v>
      </c>
      <c r="L205" s="5"/>
      <c r="M205" s="5"/>
      <c r="N205" s="31"/>
      <c r="O205" s="5">
        <f t="shared" ref="O205:O268" si="44">SUM(L205:N205)</f>
        <v>0</v>
      </c>
      <c r="P205" s="31"/>
      <c r="Q205" s="5">
        <f t="shared" ref="Q205:Q268" si="45">SUM(B205,K205,O205,P205)+C205</f>
        <v>0</v>
      </c>
    </row>
    <row r="206" spans="1:17" s="1" customFormat="1" ht="10" x14ac:dyDescent="0.2">
      <c r="A206" s="9" t="s">
        <v>198</v>
      </c>
      <c r="B206" s="10">
        <v>0</v>
      </c>
      <c r="C206" s="10">
        <v>0</v>
      </c>
      <c r="D206" s="10">
        <v>0</v>
      </c>
      <c r="E206" s="10">
        <v>0</v>
      </c>
      <c r="F206" s="10">
        <v>0</v>
      </c>
      <c r="G206" s="10">
        <v>0</v>
      </c>
      <c r="H206" s="10">
        <v>0</v>
      </c>
      <c r="I206" s="10">
        <v>350178.28101899999</v>
      </c>
      <c r="J206" s="32"/>
      <c r="K206" s="10">
        <f t="shared" si="43"/>
        <v>350178.28101899999</v>
      </c>
      <c r="L206" s="10">
        <v>0</v>
      </c>
      <c r="M206" s="10">
        <v>0</v>
      </c>
      <c r="N206" s="32"/>
      <c r="O206" s="10">
        <f t="shared" si="44"/>
        <v>0</v>
      </c>
      <c r="P206" s="32"/>
      <c r="Q206" s="10">
        <f t="shared" si="45"/>
        <v>350178.28101899999</v>
      </c>
    </row>
    <row r="207" spans="1:17" s="1" customFormat="1" ht="10" x14ac:dyDescent="0.2">
      <c r="A207" s="9" t="s">
        <v>199</v>
      </c>
      <c r="B207" s="10">
        <v>989841.2</v>
      </c>
      <c r="C207" s="10">
        <v>113458.99662288</v>
      </c>
      <c r="D207" s="10">
        <v>75973.008921000001</v>
      </c>
      <c r="E207" s="10">
        <v>0</v>
      </c>
      <c r="F207" s="10">
        <v>0</v>
      </c>
      <c r="G207" s="10">
        <v>0</v>
      </c>
      <c r="H207" s="10">
        <v>0</v>
      </c>
      <c r="I207" s="10">
        <v>89235.861316415569</v>
      </c>
      <c r="J207" s="32"/>
      <c r="K207" s="10">
        <f t="shared" si="43"/>
        <v>165208.87023741557</v>
      </c>
      <c r="L207" s="10">
        <v>0</v>
      </c>
      <c r="M207" s="10">
        <v>0</v>
      </c>
      <c r="N207" s="32"/>
      <c r="O207" s="10">
        <f t="shared" si="44"/>
        <v>0</v>
      </c>
      <c r="P207" s="32"/>
      <c r="Q207" s="10">
        <f t="shared" si="45"/>
        <v>1268509.0668602956</v>
      </c>
    </row>
    <row r="208" spans="1:17" s="1" customFormat="1" ht="10" x14ac:dyDescent="0.2">
      <c r="A208" s="9" t="s">
        <v>200</v>
      </c>
      <c r="B208" s="10">
        <v>0</v>
      </c>
      <c r="C208" s="10">
        <v>0</v>
      </c>
      <c r="D208" s="10">
        <v>59603.6679792</v>
      </c>
      <c r="E208" s="10">
        <v>0</v>
      </c>
      <c r="F208" s="10">
        <v>0</v>
      </c>
      <c r="G208" s="10">
        <v>0</v>
      </c>
      <c r="H208" s="10">
        <v>0</v>
      </c>
      <c r="I208" s="10">
        <v>0</v>
      </c>
      <c r="J208" s="32"/>
      <c r="K208" s="10">
        <f t="shared" si="43"/>
        <v>59603.6679792</v>
      </c>
      <c r="L208" s="10">
        <v>0</v>
      </c>
      <c r="M208" s="10">
        <v>0</v>
      </c>
      <c r="N208" s="32"/>
      <c r="O208" s="10">
        <f t="shared" si="44"/>
        <v>0</v>
      </c>
      <c r="P208" s="32"/>
      <c r="Q208" s="10">
        <f t="shared" si="45"/>
        <v>59603.6679792</v>
      </c>
    </row>
    <row r="209" spans="1:17" s="1" customFormat="1" ht="10" x14ac:dyDescent="0.2">
      <c r="A209" s="9" t="s">
        <v>201</v>
      </c>
      <c r="B209" s="10">
        <v>3238.86</v>
      </c>
      <c r="C209" s="10">
        <v>0</v>
      </c>
      <c r="D209" s="10">
        <v>-48060.416811000003</v>
      </c>
      <c r="E209" s="10">
        <v>0</v>
      </c>
      <c r="F209" s="10">
        <v>0</v>
      </c>
      <c r="G209" s="10">
        <v>0</v>
      </c>
      <c r="H209" s="10">
        <v>0</v>
      </c>
      <c r="I209" s="10">
        <v>0</v>
      </c>
      <c r="J209" s="32"/>
      <c r="K209" s="10">
        <f t="shared" si="43"/>
        <v>-48060.416811000003</v>
      </c>
      <c r="L209" s="10">
        <v>0</v>
      </c>
      <c r="M209" s="10">
        <v>0</v>
      </c>
      <c r="N209" s="32"/>
      <c r="O209" s="10">
        <f t="shared" si="44"/>
        <v>0</v>
      </c>
      <c r="P209" s="32"/>
      <c r="Q209" s="10">
        <f t="shared" si="45"/>
        <v>-44821.556811000002</v>
      </c>
    </row>
    <row r="210" spans="1:17" s="1" customFormat="1" ht="10" x14ac:dyDescent="0.2">
      <c r="A210" s="9" t="s">
        <v>202</v>
      </c>
      <c r="B210" s="10">
        <v>1317600</v>
      </c>
      <c r="C210" s="10">
        <v>0</v>
      </c>
      <c r="D210" s="10">
        <v>0</v>
      </c>
      <c r="E210" s="10">
        <v>0</v>
      </c>
      <c r="F210" s="10">
        <v>0</v>
      </c>
      <c r="G210" s="10">
        <v>0</v>
      </c>
      <c r="H210" s="10">
        <v>0</v>
      </c>
      <c r="I210" s="10">
        <v>-5002.5468717000003</v>
      </c>
      <c r="J210" s="32"/>
      <c r="K210" s="10">
        <f t="shared" si="43"/>
        <v>-5002.5468717000003</v>
      </c>
      <c r="L210" s="10">
        <v>0</v>
      </c>
      <c r="M210" s="10">
        <v>0</v>
      </c>
      <c r="N210" s="32"/>
      <c r="O210" s="10">
        <f t="shared" si="44"/>
        <v>0</v>
      </c>
      <c r="P210" s="32"/>
      <c r="Q210" s="10">
        <f t="shared" si="45"/>
        <v>1312597.4531282999</v>
      </c>
    </row>
    <row r="211" spans="1:17" s="1" customFormat="1" ht="10" x14ac:dyDescent="0.2">
      <c r="A211" s="9" t="s">
        <v>203</v>
      </c>
      <c r="B211" s="10">
        <v>0</v>
      </c>
      <c r="C211" s="10">
        <v>-1.154709</v>
      </c>
      <c r="D211" s="10">
        <v>0</v>
      </c>
      <c r="E211" s="10">
        <v>0</v>
      </c>
      <c r="F211" s="10">
        <v>0</v>
      </c>
      <c r="G211" s="10">
        <v>0</v>
      </c>
      <c r="H211" s="10">
        <v>0</v>
      </c>
      <c r="I211" s="10">
        <v>0</v>
      </c>
      <c r="J211" s="32"/>
      <c r="K211" s="10">
        <f t="shared" si="43"/>
        <v>0</v>
      </c>
      <c r="L211" s="10">
        <v>0</v>
      </c>
      <c r="M211" s="10">
        <v>0</v>
      </c>
      <c r="N211" s="32"/>
      <c r="O211" s="10">
        <f t="shared" si="44"/>
        <v>0</v>
      </c>
      <c r="P211" s="32"/>
      <c r="Q211" s="10">
        <f t="shared" si="45"/>
        <v>-1.154709</v>
      </c>
    </row>
    <row r="212" spans="1:17" s="1" customFormat="1" ht="10" x14ac:dyDescent="0.2">
      <c r="A212" s="9" t="s">
        <v>204</v>
      </c>
      <c r="B212" s="10">
        <v>0</v>
      </c>
      <c r="C212" s="10">
        <v>0</v>
      </c>
      <c r="D212" s="10">
        <v>48586.953135600001</v>
      </c>
      <c r="E212" s="10">
        <v>0</v>
      </c>
      <c r="F212" s="10">
        <v>0</v>
      </c>
      <c r="G212" s="10">
        <v>0</v>
      </c>
      <c r="H212" s="10">
        <v>0</v>
      </c>
      <c r="I212" s="10">
        <v>0</v>
      </c>
      <c r="J212" s="32"/>
      <c r="K212" s="10">
        <f t="shared" si="43"/>
        <v>48586.953135600001</v>
      </c>
      <c r="L212" s="10">
        <v>0</v>
      </c>
      <c r="M212" s="10">
        <v>0</v>
      </c>
      <c r="N212" s="32"/>
      <c r="O212" s="10">
        <f t="shared" si="44"/>
        <v>0</v>
      </c>
      <c r="P212" s="32"/>
      <c r="Q212" s="10">
        <f t="shared" si="45"/>
        <v>48586.953135600001</v>
      </c>
    </row>
    <row r="213" spans="1:17" s="1" customFormat="1" ht="10" x14ac:dyDescent="0.2">
      <c r="A213" s="9" t="s">
        <v>205</v>
      </c>
      <c r="B213" s="10">
        <v>0</v>
      </c>
      <c r="C213" s="10">
        <v>45132.192583049997</v>
      </c>
      <c r="D213" s="10">
        <v>0</v>
      </c>
      <c r="E213" s="10">
        <v>0</v>
      </c>
      <c r="F213" s="10">
        <v>0</v>
      </c>
      <c r="G213" s="10">
        <v>0</v>
      </c>
      <c r="H213" s="10">
        <v>0</v>
      </c>
      <c r="I213" s="10">
        <v>0</v>
      </c>
      <c r="J213" s="32"/>
      <c r="K213" s="10">
        <f t="shared" si="43"/>
        <v>0</v>
      </c>
      <c r="L213" s="10">
        <v>0</v>
      </c>
      <c r="M213" s="10">
        <v>0</v>
      </c>
      <c r="N213" s="32"/>
      <c r="O213" s="10">
        <f t="shared" si="44"/>
        <v>0</v>
      </c>
      <c r="P213" s="32"/>
      <c r="Q213" s="10">
        <f t="shared" si="45"/>
        <v>45132.192583049997</v>
      </c>
    </row>
    <row r="214" spans="1:17" s="1" customFormat="1" ht="10.5" x14ac:dyDescent="0.25">
      <c r="A214" s="11" t="s">
        <v>206</v>
      </c>
      <c r="B214" s="12">
        <f t="shared" ref="B214:Q214" si="46">SUM(B206:B213)</f>
        <v>2310680.06</v>
      </c>
      <c r="C214" s="12">
        <f t="shared" si="46"/>
        <v>158590.03449693002</v>
      </c>
      <c r="D214" s="12">
        <f t="shared" si="46"/>
        <v>136103.21322479998</v>
      </c>
      <c r="E214" s="12">
        <f t="shared" si="46"/>
        <v>0</v>
      </c>
      <c r="F214" s="12">
        <f t="shared" si="46"/>
        <v>0</v>
      </c>
      <c r="G214" s="12">
        <f t="shared" si="46"/>
        <v>0</v>
      </c>
      <c r="H214" s="12">
        <f t="shared" si="46"/>
        <v>0</v>
      </c>
      <c r="I214" s="12">
        <f t="shared" si="46"/>
        <v>434411.59546371561</v>
      </c>
      <c r="J214" s="33">
        <f t="shared" si="46"/>
        <v>0</v>
      </c>
      <c r="K214" s="12">
        <f t="shared" si="43"/>
        <v>570514.80868851556</v>
      </c>
      <c r="L214" s="12">
        <f t="shared" si="46"/>
        <v>0</v>
      </c>
      <c r="M214" s="12">
        <f t="shared" si="46"/>
        <v>0</v>
      </c>
      <c r="N214" s="33">
        <f t="shared" si="46"/>
        <v>0</v>
      </c>
      <c r="O214" s="12">
        <f t="shared" si="44"/>
        <v>0</v>
      </c>
      <c r="P214" s="33">
        <f t="shared" si="46"/>
        <v>0</v>
      </c>
      <c r="Q214" s="12">
        <f t="shared" si="45"/>
        <v>3039784.9031854453</v>
      </c>
    </row>
    <row r="215" spans="1:17" s="1" customFormat="1" ht="10" x14ac:dyDescent="0.2">
      <c r="A215" s="17" t="s">
        <v>451</v>
      </c>
      <c r="B215" s="10">
        <v>0</v>
      </c>
      <c r="C215" s="10">
        <v>0</v>
      </c>
      <c r="D215" s="10">
        <v>0</v>
      </c>
      <c r="E215" s="10">
        <v>0</v>
      </c>
      <c r="F215" s="10">
        <v>0</v>
      </c>
      <c r="G215" s="10">
        <v>0</v>
      </c>
      <c r="H215" s="10">
        <v>0</v>
      </c>
      <c r="I215" s="10">
        <v>97892.358469048937</v>
      </c>
      <c r="J215" s="32"/>
      <c r="K215" s="10">
        <f t="shared" si="43"/>
        <v>97892.358469048937</v>
      </c>
      <c r="L215" s="10">
        <v>0</v>
      </c>
      <c r="M215" s="10">
        <v>0</v>
      </c>
      <c r="N215" s="32"/>
      <c r="O215" s="10">
        <f t="shared" si="44"/>
        <v>0</v>
      </c>
      <c r="P215" s="32"/>
      <c r="Q215" s="10">
        <f t="shared" si="45"/>
        <v>97892.358469048937</v>
      </c>
    </row>
    <row r="216" spans="1:17" s="1" customFormat="1" ht="10.5" x14ac:dyDescent="0.25">
      <c r="A216" s="8" t="s">
        <v>207</v>
      </c>
      <c r="B216" s="5"/>
      <c r="C216" s="5"/>
      <c r="D216" s="5"/>
      <c r="E216" s="5"/>
      <c r="F216" s="5"/>
      <c r="G216" s="5"/>
      <c r="H216" s="5"/>
      <c r="I216" s="5"/>
      <c r="J216" s="31"/>
      <c r="K216" s="5">
        <f t="shared" si="43"/>
        <v>0</v>
      </c>
      <c r="L216" s="5"/>
      <c r="M216" s="5"/>
      <c r="N216" s="31"/>
      <c r="O216" s="5">
        <f t="shared" si="44"/>
        <v>0</v>
      </c>
      <c r="P216" s="31"/>
      <c r="Q216" s="5">
        <f t="shared" si="45"/>
        <v>0</v>
      </c>
    </row>
    <row r="217" spans="1:17" s="1" customFormat="1" ht="10" x14ac:dyDescent="0.2">
      <c r="A217" s="9" t="s">
        <v>208</v>
      </c>
      <c r="B217" s="10">
        <v>-113369.35</v>
      </c>
      <c r="C217" s="10">
        <v>119617.27526556001</v>
      </c>
      <c r="D217" s="10">
        <v>338.84100000000001</v>
      </c>
      <c r="E217" s="10">
        <v>0</v>
      </c>
      <c r="F217" s="10">
        <v>0</v>
      </c>
      <c r="G217" s="10">
        <v>0</v>
      </c>
      <c r="H217" s="10">
        <v>0</v>
      </c>
      <c r="I217" s="10">
        <v>-60374.177399923326</v>
      </c>
      <c r="J217" s="32"/>
      <c r="K217" s="10">
        <f t="shared" si="43"/>
        <v>-60035.336399923326</v>
      </c>
      <c r="L217" s="10">
        <v>0</v>
      </c>
      <c r="M217" s="10">
        <v>0</v>
      </c>
      <c r="N217" s="32"/>
      <c r="O217" s="10">
        <f t="shared" si="44"/>
        <v>0</v>
      </c>
      <c r="P217" s="32"/>
      <c r="Q217" s="10">
        <f t="shared" si="45"/>
        <v>-53787.411134363341</v>
      </c>
    </row>
    <row r="218" spans="1:17" s="1" customFormat="1" ht="10.5" x14ac:dyDescent="0.25">
      <c r="A218" s="11" t="s">
        <v>209</v>
      </c>
      <c r="B218" s="12">
        <f t="shared" ref="B218:Q218" si="47">SUM(B217)</f>
        <v>-113369.35</v>
      </c>
      <c r="C218" s="12">
        <f t="shared" si="47"/>
        <v>119617.27526556001</v>
      </c>
      <c r="D218" s="12">
        <f t="shared" si="47"/>
        <v>338.84100000000001</v>
      </c>
      <c r="E218" s="12">
        <f t="shared" si="47"/>
        <v>0</v>
      </c>
      <c r="F218" s="12">
        <f t="shared" si="47"/>
        <v>0</v>
      </c>
      <c r="G218" s="12">
        <f t="shared" si="47"/>
        <v>0</v>
      </c>
      <c r="H218" s="12">
        <f t="shared" si="47"/>
        <v>0</v>
      </c>
      <c r="I218" s="12">
        <f t="shared" si="47"/>
        <v>-60374.177399923326</v>
      </c>
      <c r="J218" s="33">
        <f t="shared" si="47"/>
        <v>0</v>
      </c>
      <c r="K218" s="12">
        <f t="shared" si="43"/>
        <v>-60035.336399923326</v>
      </c>
      <c r="L218" s="12">
        <f t="shared" si="47"/>
        <v>0</v>
      </c>
      <c r="M218" s="12">
        <f t="shared" si="47"/>
        <v>0</v>
      </c>
      <c r="N218" s="33">
        <f t="shared" si="47"/>
        <v>0</v>
      </c>
      <c r="O218" s="12">
        <f t="shared" si="44"/>
        <v>0</v>
      </c>
      <c r="P218" s="33">
        <f t="shared" si="47"/>
        <v>0</v>
      </c>
      <c r="Q218" s="12">
        <f t="shared" si="45"/>
        <v>-53787.411134363341</v>
      </c>
    </row>
    <row r="219" spans="1:17" s="1" customFormat="1" ht="10.5" x14ac:dyDescent="0.25">
      <c r="A219" s="13" t="s">
        <v>210</v>
      </c>
      <c r="B219" s="12">
        <f t="shared" ref="B219:Q219" si="48">SUM(B214:B215,B218)</f>
        <v>2197310.71</v>
      </c>
      <c r="C219" s="12">
        <f t="shared" si="48"/>
        <v>278207.30976249004</v>
      </c>
      <c r="D219" s="12">
        <f t="shared" si="48"/>
        <v>136442.05422479997</v>
      </c>
      <c r="E219" s="12">
        <f t="shared" si="48"/>
        <v>0</v>
      </c>
      <c r="F219" s="12">
        <f t="shared" si="48"/>
        <v>0</v>
      </c>
      <c r="G219" s="12">
        <f t="shared" si="48"/>
        <v>0</v>
      </c>
      <c r="H219" s="12">
        <f t="shared" si="48"/>
        <v>0</v>
      </c>
      <c r="I219" s="12">
        <f t="shared" si="48"/>
        <v>471929.77653284126</v>
      </c>
      <c r="J219" s="33">
        <f t="shared" si="48"/>
        <v>0</v>
      </c>
      <c r="K219" s="12">
        <f t="shared" si="43"/>
        <v>608371.83075764123</v>
      </c>
      <c r="L219" s="12">
        <f t="shared" si="48"/>
        <v>0</v>
      </c>
      <c r="M219" s="12">
        <f t="shared" si="48"/>
        <v>0</v>
      </c>
      <c r="N219" s="33">
        <f t="shared" si="48"/>
        <v>0</v>
      </c>
      <c r="O219" s="12">
        <f t="shared" si="44"/>
        <v>0</v>
      </c>
      <c r="P219" s="33">
        <f t="shared" si="48"/>
        <v>0</v>
      </c>
      <c r="Q219" s="12">
        <f t="shared" si="45"/>
        <v>3083889.8505201312</v>
      </c>
    </row>
    <row r="220" spans="1:17" s="1" customFormat="1" ht="10" x14ac:dyDescent="0.2">
      <c r="A220" s="22" t="s">
        <v>211</v>
      </c>
      <c r="B220" s="10">
        <v>0</v>
      </c>
      <c r="C220" s="10">
        <v>0</v>
      </c>
      <c r="D220" s="10">
        <v>1263.5606783999999</v>
      </c>
      <c r="E220" s="10">
        <v>0</v>
      </c>
      <c r="F220" s="10">
        <v>-127.9459061864013</v>
      </c>
      <c r="G220" s="10">
        <v>0</v>
      </c>
      <c r="H220" s="10">
        <v>0</v>
      </c>
      <c r="I220" s="10">
        <v>0</v>
      </c>
      <c r="J220" s="32"/>
      <c r="K220" s="10">
        <f t="shared" si="43"/>
        <v>1135.6147722135986</v>
      </c>
      <c r="L220" s="10">
        <v>0</v>
      </c>
      <c r="M220" s="10">
        <v>0</v>
      </c>
      <c r="N220" s="32"/>
      <c r="O220" s="10">
        <f t="shared" si="44"/>
        <v>0</v>
      </c>
      <c r="P220" s="32"/>
      <c r="Q220" s="10">
        <f t="shared" si="45"/>
        <v>1135.6147722135986</v>
      </c>
    </row>
    <row r="221" spans="1:17" s="1" customFormat="1" ht="10.5" x14ac:dyDescent="0.25">
      <c r="A221" s="20" t="s">
        <v>212</v>
      </c>
      <c r="B221" s="12">
        <f t="shared" ref="B221:Q221" si="49">SUM(B219:B220)</f>
        <v>2197310.71</v>
      </c>
      <c r="C221" s="12">
        <f t="shared" si="49"/>
        <v>278207.30976249004</v>
      </c>
      <c r="D221" s="12">
        <f t="shared" si="49"/>
        <v>137705.61490319998</v>
      </c>
      <c r="E221" s="12">
        <f t="shared" si="49"/>
        <v>0</v>
      </c>
      <c r="F221" s="12">
        <f t="shared" si="49"/>
        <v>-127.9459061864013</v>
      </c>
      <c r="G221" s="12">
        <f t="shared" si="49"/>
        <v>0</v>
      </c>
      <c r="H221" s="12">
        <f t="shared" si="49"/>
        <v>0</v>
      </c>
      <c r="I221" s="12">
        <f t="shared" si="49"/>
        <v>471929.77653284126</v>
      </c>
      <c r="J221" s="33">
        <f t="shared" si="49"/>
        <v>0</v>
      </c>
      <c r="K221" s="12">
        <f t="shared" si="43"/>
        <v>609507.44552985486</v>
      </c>
      <c r="L221" s="12">
        <f t="shared" si="49"/>
        <v>0</v>
      </c>
      <c r="M221" s="12">
        <f t="shared" si="49"/>
        <v>0</v>
      </c>
      <c r="N221" s="33">
        <f t="shared" si="49"/>
        <v>0</v>
      </c>
      <c r="O221" s="12">
        <f t="shared" si="44"/>
        <v>0</v>
      </c>
      <c r="P221" s="33">
        <f t="shared" si="49"/>
        <v>0</v>
      </c>
      <c r="Q221" s="12">
        <f t="shared" si="45"/>
        <v>3085025.4652923448</v>
      </c>
    </row>
    <row r="222" spans="1:17" s="1" customFormat="1" ht="10.5" x14ac:dyDescent="0.25">
      <c r="A222" s="6" t="s">
        <v>213</v>
      </c>
      <c r="B222" s="5"/>
      <c r="C222" s="5"/>
      <c r="D222" s="5"/>
      <c r="E222" s="5"/>
      <c r="F222" s="5"/>
      <c r="G222" s="5"/>
      <c r="H222" s="5"/>
      <c r="I222" s="5"/>
      <c r="J222" s="31"/>
      <c r="K222" s="5">
        <f t="shared" si="43"/>
        <v>0</v>
      </c>
      <c r="L222" s="5"/>
      <c r="M222" s="5"/>
      <c r="N222" s="31"/>
      <c r="O222" s="5">
        <f t="shared" si="44"/>
        <v>0</v>
      </c>
      <c r="P222" s="31"/>
      <c r="Q222" s="5">
        <f t="shared" si="45"/>
        <v>0</v>
      </c>
    </row>
    <row r="223" spans="1:17" s="1" customFormat="1" ht="10.5" hidden="1" x14ac:dyDescent="0.25">
      <c r="A223" s="6" t="s">
        <v>213</v>
      </c>
      <c r="B223" s="5"/>
      <c r="C223" s="5"/>
      <c r="D223" s="5"/>
      <c r="E223" s="5"/>
      <c r="F223" s="5"/>
      <c r="G223" s="5"/>
      <c r="H223" s="5"/>
      <c r="I223" s="5"/>
      <c r="J223" s="31"/>
      <c r="K223" s="5">
        <f t="shared" si="43"/>
        <v>0</v>
      </c>
      <c r="L223" s="5"/>
      <c r="M223" s="5"/>
      <c r="N223" s="31"/>
      <c r="O223" s="5">
        <f t="shared" si="44"/>
        <v>0</v>
      </c>
      <c r="P223" s="31"/>
      <c r="Q223" s="5">
        <f t="shared" si="45"/>
        <v>0</v>
      </c>
    </row>
    <row r="224" spans="1:17" s="1" customFormat="1" ht="10.5" x14ac:dyDescent="0.25">
      <c r="A224" s="7" t="s">
        <v>214</v>
      </c>
      <c r="B224" s="5"/>
      <c r="C224" s="5"/>
      <c r="D224" s="5"/>
      <c r="E224" s="5"/>
      <c r="F224" s="5"/>
      <c r="G224" s="5"/>
      <c r="H224" s="5"/>
      <c r="I224" s="5"/>
      <c r="J224" s="31"/>
      <c r="K224" s="5">
        <f t="shared" si="43"/>
        <v>0</v>
      </c>
      <c r="L224" s="5"/>
      <c r="M224" s="5"/>
      <c r="N224" s="31"/>
      <c r="O224" s="5">
        <f t="shared" si="44"/>
        <v>0</v>
      </c>
      <c r="P224" s="31"/>
      <c r="Q224" s="5">
        <f t="shared" si="45"/>
        <v>0</v>
      </c>
    </row>
    <row r="225" spans="1:17" s="1" customFormat="1" ht="10" x14ac:dyDescent="0.2">
      <c r="A225" s="17" t="s">
        <v>215</v>
      </c>
      <c r="B225" s="10">
        <v>1189461.68</v>
      </c>
      <c r="C225" s="10">
        <v>211132.69571743999</v>
      </c>
      <c r="D225" s="10">
        <v>113.57</v>
      </c>
      <c r="E225" s="10">
        <v>113.57</v>
      </c>
      <c r="F225" s="10">
        <v>1.3957752999999999</v>
      </c>
      <c r="G225" s="10">
        <v>45373.074999999997</v>
      </c>
      <c r="H225" s="10">
        <v>114.70569999999999</v>
      </c>
      <c r="I225" s="10">
        <v>0</v>
      </c>
      <c r="J225" s="32">
        <v>-45602.746475299995</v>
      </c>
      <c r="K225" s="10">
        <f t="shared" si="43"/>
        <v>113.56999999999971</v>
      </c>
      <c r="L225" s="10">
        <v>561.52173913043487</v>
      </c>
      <c r="M225" s="10">
        <v>122.75691699604745</v>
      </c>
      <c r="N225" s="32">
        <v>-122.75691699604745</v>
      </c>
      <c r="O225" s="10">
        <f t="shared" si="44"/>
        <v>561.52173913043487</v>
      </c>
      <c r="P225" s="32">
        <v>-211807.78745657043</v>
      </c>
      <c r="Q225" s="10">
        <f t="shared" si="45"/>
        <v>1189461.68</v>
      </c>
    </row>
    <row r="226" spans="1:17" s="1" customFormat="1" ht="10" x14ac:dyDescent="0.2">
      <c r="A226" s="17" t="s">
        <v>216</v>
      </c>
      <c r="B226" s="10">
        <v>1661162.77</v>
      </c>
      <c r="C226" s="10">
        <v>0</v>
      </c>
      <c r="D226" s="10">
        <v>0</v>
      </c>
      <c r="E226" s="10">
        <v>0</v>
      </c>
      <c r="F226" s="10">
        <v>0</v>
      </c>
      <c r="G226" s="10">
        <v>0</v>
      </c>
      <c r="H226" s="10">
        <v>0</v>
      </c>
      <c r="I226" s="10">
        <v>0</v>
      </c>
      <c r="J226" s="32">
        <v>0</v>
      </c>
      <c r="K226" s="10">
        <f t="shared" si="43"/>
        <v>0</v>
      </c>
      <c r="L226" s="10">
        <v>0</v>
      </c>
      <c r="M226" s="10">
        <v>0</v>
      </c>
      <c r="N226" s="32">
        <v>0</v>
      </c>
      <c r="O226" s="10">
        <f t="shared" si="44"/>
        <v>0</v>
      </c>
      <c r="P226" s="32">
        <v>0</v>
      </c>
      <c r="Q226" s="10">
        <f t="shared" si="45"/>
        <v>1661162.77</v>
      </c>
    </row>
    <row r="227" spans="1:17" s="1" customFormat="1" ht="10" x14ac:dyDescent="0.2">
      <c r="A227" s="17" t="s">
        <v>217</v>
      </c>
      <c r="B227" s="10">
        <v>5000000</v>
      </c>
      <c r="C227" s="10">
        <v>0</v>
      </c>
      <c r="D227" s="10">
        <v>0</v>
      </c>
      <c r="E227" s="10">
        <v>0</v>
      </c>
      <c r="F227" s="10">
        <v>0</v>
      </c>
      <c r="G227" s="10">
        <v>0</v>
      </c>
      <c r="H227" s="10">
        <v>0</v>
      </c>
      <c r="I227" s="10">
        <v>0</v>
      </c>
      <c r="J227" s="32">
        <v>0</v>
      </c>
      <c r="K227" s="10">
        <f t="shared" si="43"/>
        <v>0</v>
      </c>
      <c r="L227" s="10">
        <v>405806.41304347833</v>
      </c>
      <c r="M227" s="10">
        <v>0</v>
      </c>
      <c r="N227" s="32">
        <v>0</v>
      </c>
      <c r="O227" s="10">
        <f t="shared" si="44"/>
        <v>405806.41304347833</v>
      </c>
      <c r="P227" s="32">
        <v>-405806.41304347833</v>
      </c>
      <c r="Q227" s="10">
        <f t="shared" si="45"/>
        <v>5000000</v>
      </c>
    </row>
    <row r="228" spans="1:17" s="1" customFormat="1" ht="10" x14ac:dyDescent="0.2">
      <c r="A228" s="17" t="s">
        <v>218</v>
      </c>
      <c r="B228" s="10">
        <v>10172.5</v>
      </c>
      <c r="C228" s="10">
        <v>0</v>
      </c>
      <c r="D228" s="10">
        <v>-13.737128</v>
      </c>
      <c r="E228" s="10">
        <v>0</v>
      </c>
      <c r="F228" s="10">
        <v>0</v>
      </c>
      <c r="G228" s="10">
        <v>0</v>
      </c>
      <c r="H228" s="10">
        <v>0.158998</v>
      </c>
      <c r="I228" s="10">
        <v>0</v>
      </c>
      <c r="J228" s="32">
        <v>-0.158998</v>
      </c>
      <c r="K228" s="10">
        <f t="shared" si="43"/>
        <v>-13.737128</v>
      </c>
      <c r="L228" s="10">
        <v>0</v>
      </c>
      <c r="M228" s="10">
        <v>0</v>
      </c>
      <c r="N228" s="32">
        <v>0</v>
      </c>
      <c r="O228" s="10">
        <f t="shared" si="44"/>
        <v>0</v>
      </c>
      <c r="P228" s="32">
        <v>13.737128</v>
      </c>
      <c r="Q228" s="10">
        <f t="shared" si="45"/>
        <v>10172.5</v>
      </c>
    </row>
    <row r="229" spans="1:17" s="1" customFormat="1" ht="10.5" x14ac:dyDescent="0.25">
      <c r="A229" s="13" t="s">
        <v>219</v>
      </c>
      <c r="B229" s="12">
        <f t="shared" ref="B229:Q229" si="50">SUM(B225:B228)</f>
        <v>7860796.9500000002</v>
      </c>
      <c r="C229" s="12">
        <f t="shared" si="50"/>
        <v>211132.69571743999</v>
      </c>
      <c r="D229" s="12">
        <f t="shared" si="50"/>
        <v>99.832871999999995</v>
      </c>
      <c r="E229" s="12">
        <f t="shared" si="50"/>
        <v>113.57</v>
      </c>
      <c r="F229" s="12">
        <f t="shared" si="50"/>
        <v>1.3957752999999999</v>
      </c>
      <c r="G229" s="12">
        <f t="shared" si="50"/>
        <v>45373.074999999997</v>
      </c>
      <c r="H229" s="12">
        <f t="shared" si="50"/>
        <v>114.86469799999999</v>
      </c>
      <c r="I229" s="12">
        <f t="shared" si="50"/>
        <v>0</v>
      </c>
      <c r="J229" s="33">
        <f t="shared" si="50"/>
        <v>-45602.905473299994</v>
      </c>
      <c r="K229" s="12">
        <f t="shared" si="43"/>
        <v>99.832871999999043</v>
      </c>
      <c r="L229" s="12">
        <f t="shared" si="50"/>
        <v>406367.93478260876</v>
      </c>
      <c r="M229" s="12">
        <f t="shared" si="50"/>
        <v>122.75691699604745</v>
      </c>
      <c r="N229" s="33">
        <f t="shared" si="50"/>
        <v>-122.75691699604745</v>
      </c>
      <c r="O229" s="12">
        <f t="shared" si="44"/>
        <v>406367.93478260876</v>
      </c>
      <c r="P229" s="33">
        <f t="shared" si="50"/>
        <v>-617600.46337204869</v>
      </c>
      <c r="Q229" s="12">
        <f t="shared" si="45"/>
        <v>7860796.9499999993</v>
      </c>
    </row>
    <row r="230" spans="1:17" s="1" customFormat="1" ht="10.5" hidden="1" x14ac:dyDescent="0.25">
      <c r="A230" s="20" t="s">
        <v>220</v>
      </c>
      <c r="B230" s="12">
        <f t="shared" ref="B230:Q230" si="51">SUM(B229)</f>
        <v>7860796.9500000002</v>
      </c>
      <c r="C230" s="12">
        <f t="shared" si="51"/>
        <v>211132.69571743999</v>
      </c>
      <c r="D230" s="12">
        <f t="shared" si="51"/>
        <v>99.832871999999995</v>
      </c>
      <c r="E230" s="12">
        <f t="shared" si="51"/>
        <v>113.57</v>
      </c>
      <c r="F230" s="12">
        <f t="shared" si="51"/>
        <v>1.3957752999999999</v>
      </c>
      <c r="G230" s="12">
        <f t="shared" si="51"/>
        <v>45373.074999999997</v>
      </c>
      <c r="H230" s="12">
        <f t="shared" si="51"/>
        <v>114.86469799999999</v>
      </c>
      <c r="I230" s="12">
        <f t="shared" si="51"/>
        <v>0</v>
      </c>
      <c r="J230" s="33">
        <f t="shared" si="51"/>
        <v>-45602.905473299994</v>
      </c>
      <c r="K230" s="12">
        <f t="shared" si="43"/>
        <v>99.832871999999043</v>
      </c>
      <c r="L230" s="12">
        <f t="shared" si="51"/>
        <v>406367.93478260876</v>
      </c>
      <c r="M230" s="12">
        <f t="shared" si="51"/>
        <v>122.75691699604745</v>
      </c>
      <c r="N230" s="33">
        <f t="shared" si="51"/>
        <v>-122.75691699604745</v>
      </c>
      <c r="O230" s="12">
        <f t="shared" si="44"/>
        <v>406367.93478260876</v>
      </c>
      <c r="P230" s="33">
        <f t="shared" si="51"/>
        <v>-617600.46337204869</v>
      </c>
      <c r="Q230" s="12">
        <f t="shared" si="45"/>
        <v>7860796.9499999993</v>
      </c>
    </row>
    <row r="231" spans="1:17" s="1" customFormat="1" ht="10" x14ac:dyDescent="0.2">
      <c r="A231" s="22" t="s">
        <v>221</v>
      </c>
      <c r="B231" s="10">
        <v>-1647348.3099999998</v>
      </c>
      <c r="C231" s="10">
        <v>-298051.61659128004</v>
      </c>
      <c r="D231" s="10">
        <v>-777836.82470193226</v>
      </c>
      <c r="E231" s="10">
        <v>548801.76138181309</v>
      </c>
      <c r="F231" s="10">
        <v>-594183.76506652858</v>
      </c>
      <c r="G231" s="10">
        <v>-149889.32087028879</v>
      </c>
      <c r="H231" s="10">
        <v>-49970.275158100703</v>
      </c>
      <c r="I231" s="10">
        <v>-950852.10653920588</v>
      </c>
      <c r="J231" s="32">
        <f xml:space="preserve"> - InternalSales!C7 - InternalSales!D7 - InternalSales!E7</f>
        <v>-95721.064338589742</v>
      </c>
      <c r="K231" s="10">
        <f t="shared" si="43"/>
        <v>-2069651.5952928329</v>
      </c>
      <c r="L231" s="10">
        <v>-504342.57237000007</v>
      </c>
      <c r="M231" s="10">
        <v>-8170.0443052173914</v>
      </c>
      <c r="N231" s="32"/>
      <c r="O231" s="10">
        <f t="shared" si="44"/>
        <v>-512512.61667521746</v>
      </c>
      <c r="P231" s="32">
        <f xml:space="preserve"> - InternalSales!B7 - Goodwill!B2</f>
        <v>-42624.048000000003</v>
      </c>
      <c r="Q231" s="10">
        <f t="shared" si="45"/>
        <v>-4570188.1865593307</v>
      </c>
    </row>
    <row r="232" spans="1:17" s="1" customFormat="1" ht="10" x14ac:dyDescent="0.2">
      <c r="A232" s="22" t="s">
        <v>222</v>
      </c>
      <c r="B232" s="10">
        <v>-344434.21</v>
      </c>
      <c r="C232" s="10">
        <v>-1558.85715</v>
      </c>
      <c r="D232" s="10">
        <v>-251343.86672448949</v>
      </c>
      <c r="E232" s="10">
        <v>-21995.11023564791</v>
      </c>
      <c r="F232" s="10">
        <v>-78999.32929965829</v>
      </c>
      <c r="G232" s="10">
        <v>-268590.59580741462</v>
      </c>
      <c r="H232" s="10">
        <v>16283.59948163552</v>
      </c>
      <c r="I232" s="10">
        <v>12420.471502947388</v>
      </c>
      <c r="J232" s="32">
        <v>-132140.64889907744</v>
      </c>
      <c r="K232" s="10">
        <f t="shared" si="43"/>
        <v>-724365.47998170485</v>
      </c>
      <c r="L232" s="10">
        <v>0</v>
      </c>
      <c r="M232" s="10">
        <v>0</v>
      </c>
      <c r="N232" s="32"/>
      <c r="O232" s="10">
        <f t="shared" si="44"/>
        <v>0</v>
      </c>
      <c r="P232" s="32">
        <f>0 -Goodwill!B3</f>
        <v>0</v>
      </c>
      <c r="Q232" s="10">
        <f t="shared" si="45"/>
        <v>-1070358.5471317049</v>
      </c>
    </row>
    <row r="233" spans="1:17" s="1" customFormat="1" ht="10" x14ac:dyDescent="0.2">
      <c r="A233" s="22" t="s">
        <v>223</v>
      </c>
      <c r="B233" s="10">
        <v>0</v>
      </c>
      <c r="C233" s="10">
        <v>468.00452000000001</v>
      </c>
      <c r="D233" s="10">
        <v>34525.496614000003</v>
      </c>
      <c r="E233" s="10">
        <v>-2748.9389580000002</v>
      </c>
      <c r="F233" s="10">
        <v>-6701.8204290000003</v>
      </c>
      <c r="G233" s="10">
        <v>-17060.765856000002</v>
      </c>
      <c r="H233" s="10">
        <v>-6493.6976160000004</v>
      </c>
      <c r="I233" s="10">
        <v>-346.34092199999998</v>
      </c>
      <c r="J233" s="32"/>
      <c r="K233" s="10">
        <f t="shared" si="43"/>
        <v>1173.932833000003</v>
      </c>
      <c r="L233" s="10">
        <v>6816.9888080000001</v>
      </c>
      <c r="M233" s="10">
        <v>429.37366900000001</v>
      </c>
      <c r="N233" s="32"/>
      <c r="O233" s="10">
        <f t="shared" si="44"/>
        <v>7246.3624769999997</v>
      </c>
      <c r="P233" s="32"/>
      <c r="Q233" s="10">
        <f t="shared" si="45"/>
        <v>8888.2998300000036</v>
      </c>
    </row>
    <row r="234" spans="1:17" s="1" customFormat="1" ht="10.5" x14ac:dyDescent="0.25">
      <c r="A234" s="18" t="s">
        <v>224</v>
      </c>
      <c r="B234" s="19">
        <f t="shared" ref="B234:Q234" si="52">B230+B231+B232+B233</f>
        <v>5869014.4300000006</v>
      </c>
      <c r="C234" s="19">
        <f t="shared" si="52"/>
        <v>-88009.773503840042</v>
      </c>
      <c r="D234" s="19">
        <f t="shared" si="52"/>
        <v>-994555.36194042163</v>
      </c>
      <c r="E234" s="19">
        <f t="shared" si="52"/>
        <v>524171.28218816518</v>
      </c>
      <c r="F234" s="19">
        <f t="shared" si="52"/>
        <v>-679883.51901988685</v>
      </c>
      <c r="G234" s="19">
        <f t="shared" si="52"/>
        <v>-390167.60753370344</v>
      </c>
      <c r="H234" s="19">
        <f t="shared" si="52"/>
        <v>-40065.508594465187</v>
      </c>
      <c r="I234" s="19">
        <f t="shared" si="52"/>
        <v>-938777.9759582585</v>
      </c>
      <c r="J234" s="34">
        <f t="shared" si="52"/>
        <v>-273464.61871096719</v>
      </c>
      <c r="K234" s="19">
        <f t="shared" si="43"/>
        <v>-2792743.3095695376</v>
      </c>
      <c r="L234" s="19">
        <f t="shared" si="52"/>
        <v>-91157.648779391311</v>
      </c>
      <c r="M234" s="19">
        <f t="shared" si="52"/>
        <v>-7617.9137192213448</v>
      </c>
      <c r="N234" s="34">
        <f t="shared" si="52"/>
        <v>-122.75691699604745</v>
      </c>
      <c r="O234" s="19">
        <f t="shared" si="44"/>
        <v>-98898.319415608697</v>
      </c>
      <c r="P234" s="34">
        <f t="shared" si="52"/>
        <v>-660224.51137204864</v>
      </c>
      <c r="Q234" s="19">
        <f t="shared" si="45"/>
        <v>2229138.5161389653</v>
      </c>
    </row>
    <row r="235" spans="1:17" s="1" customFormat="1" ht="10.5" x14ac:dyDescent="0.2">
      <c r="A235" s="21" t="s">
        <v>225</v>
      </c>
      <c r="B235" s="19">
        <f t="shared" ref="B235:Q235" si="53">B202+B221+B234</f>
        <v>3228119.9000000013</v>
      </c>
      <c r="C235" s="19">
        <f t="shared" si="53"/>
        <v>-1458.2255432300008</v>
      </c>
      <c r="D235" s="19">
        <f t="shared" si="53"/>
        <v>5220303.1871809773</v>
      </c>
      <c r="E235" s="19">
        <f t="shared" si="53"/>
        <v>-16452.628059634881</v>
      </c>
      <c r="F235" s="19">
        <f t="shared" si="53"/>
        <v>444100.0088356575</v>
      </c>
      <c r="G235" s="19">
        <f t="shared" si="53"/>
        <v>285194.36434615194</v>
      </c>
      <c r="H235" s="19">
        <f t="shared" si="53"/>
        <v>147382.24747623483</v>
      </c>
      <c r="I235" s="19">
        <f t="shared" si="53"/>
        <v>96848.396972826216</v>
      </c>
      <c r="J235" s="34">
        <f t="shared" si="53"/>
        <v>-5789730.2920453846</v>
      </c>
      <c r="K235" s="19">
        <f t="shared" si="43"/>
        <v>387645.28470682912</v>
      </c>
      <c r="L235" s="19">
        <f t="shared" si="53"/>
        <v>228.15294040869048</v>
      </c>
      <c r="M235" s="19">
        <f t="shared" si="53"/>
        <v>3.7865629565203562E-7</v>
      </c>
      <c r="N235" s="34">
        <f t="shared" si="53"/>
        <v>-93579.871080396042</v>
      </c>
      <c r="O235" s="19">
        <f t="shared" si="44"/>
        <v>-93351.718139608696</v>
      </c>
      <c r="P235" s="34">
        <f t="shared" si="53"/>
        <v>4587968.3640149813</v>
      </c>
      <c r="Q235" s="19">
        <f t="shared" si="45"/>
        <v>8108923.6050389735</v>
      </c>
    </row>
  </sheetData>
  <mergeCells count="14">
    <mergeCell ref="Q9:Q10"/>
    <mergeCell ref="B7:Q7"/>
    <mergeCell ref="B8:B10"/>
    <mergeCell ref="D8:K8"/>
    <mergeCell ref="L8:O8"/>
    <mergeCell ref="C9:C10"/>
    <mergeCell ref="D9:D10"/>
    <mergeCell ref="L9:L10"/>
    <mergeCell ref="A1:Q1"/>
    <mergeCell ref="A2:Q2"/>
    <mergeCell ref="A3:Q3"/>
    <mergeCell ref="A4:Q4"/>
    <mergeCell ref="A5:Q5"/>
    <mergeCell ref="A6:Q6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1DC19-2ECB-4DEA-ABED-AFE7B71112B5}">
  <sheetPr codeName="Sheet4"/>
  <dimension ref="A1:M179"/>
  <sheetViews>
    <sheetView workbookViewId="0">
      <selection activeCell="L12" sqref="L12:L180"/>
    </sheetView>
  </sheetViews>
  <sheetFormatPr defaultRowHeight="14.5" x14ac:dyDescent="0.35"/>
  <cols>
    <col min="1" max="1" width="41.1796875" bestFit="1" customWidth="1"/>
    <col min="2" max="2" width="9.81640625" bestFit="1" customWidth="1"/>
    <col min="3" max="3" width="22.26953125" bestFit="1" customWidth="1"/>
    <col min="4" max="4" width="10.54296875" bestFit="1" customWidth="1"/>
    <col min="5" max="5" width="19.6328125" bestFit="1" customWidth="1"/>
    <col min="6" max="6" width="14" bestFit="1" customWidth="1"/>
    <col min="7" max="7" width="9.81640625" bestFit="1" customWidth="1"/>
    <col min="8" max="8" width="17.81640625" bestFit="1" customWidth="1"/>
    <col min="9" max="9" width="15.36328125" bestFit="1" customWidth="1"/>
    <col min="10" max="10" width="11" bestFit="1" customWidth="1"/>
    <col min="11" max="11" width="10.54296875" bestFit="1" customWidth="1"/>
    <col min="12" max="12" width="7.81640625" bestFit="1" customWidth="1"/>
    <col min="13" max="13" width="11" bestFit="1" customWidth="1"/>
  </cols>
  <sheetData>
    <row r="1" spans="1:13" s="1" customFormat="1" ht="15.5" x14ac:dyDescent="0.35">
      <c r="A1" s="41" t="s">
        <v>0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</row>
    <row r="2" spans="1:13" s="1" customFormat="1" ht="15.5" x14ac:dyDescent="0.35">
      <c r="A2" s="41" t="s">
        <v>1</v>
      </c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</row>
    <row r="3" spans="1:13" s="1" customFormat="1" ht="18" x14ac:dyDescent="0.4">
      <c r="A3" s="42" t="s">
        <v>300</v>
      </c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</row>
    <row r="4" spans="1:13" s="1" customFormat="1" ht="18" x14ac:dyDescent="0.4">
      <c r="A4" s="42" t="s">
        <v>501</v>
      </c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</row>
    <row r="5" spans="1:13" s="1" customFormat="1" ht="18" x14ac:dyDescent="0.4">
      <c r="A5" s="42" t="s">
        <v>3</v>
      </c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</row>
    <row r="6" spans="1:13" s="1" customFormat="1" ht="18" x14ac:dyDescent="0.4">
      <c r="A6" s="42" t="s">
        <v>3</v>
      </c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</row>
    <row r="7" spans="1:13" s="1" customFormat="1" ht="10" x14ac:dyDescent="0.2">
      <c r="A7" s="29" t="s">
        <v>5</v>
      </c>
      <c r="B7" s="40" t="s">
        <v>7</v>
      </c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</row>
    <row r="8" spans="1:13" s="1" customFormat="1" ht="10" x14ac:dyDescent="0.2">
      <c r="A8" s="29" t="s">
        <v>5</v>
      </c>
      <c r="B8" s="39" t="s">
        <v>6</v>
      </c>
      <c r="C8" s="37" t="s">
        <v>9</v>
      </c>
      <c r="D8" s="40" t="s">
        <v>0</v>
      </c>
      <c r="E8" s="40"/>
      <c r="F8" s="40"/>
      <c r="G8" s="40"/>
      <c r="H8" s="40"/>
      <c r="I8" s="40"/>
      <c r="J8" s="40"/>
      <c r="K8" s="40"/>
      <c r="L8" s="38"/>
      <c r="M8" s="37" t="s">
        <v>8</v>
      </c>
    </row>
    <row r="9" spans="1:13" s="1" customFormat="1" ht="10" x14ac:dyDescent="0.2">
      <c r="A9" s="29" t="s">
        <v>5</v>
      </c>
      <c r="B9" s="39"/>
      <c r="C9" s="39" t="s">
        <v>6</v>
      </c>
      <c r="D9" s="39" t="s">
        <v>6</v>
      </c>
      <c r="E9" s="37" t="s">
        <v>11</v>
      </c>
      <c r="F9" s="37" t="s">
        <v>12</v>
      </c>
      <c r="G9" s="37" t="s">
        <v>13</v>
      </c>
      <c r="H9" s="37" t="s">
        <v>14</v>
      </c>
      <c r="I9" s="37" t="s">
        <v>15</v>
      </c>
      <c r="J9" s="37"/>
      <c r="K9" s="37" t="s">
        <v>8</v>
      </c>
      <c r="L9" s="37"/>
      <c r="M9" s="39" t="s">
        <v>6</v>
      </c>
    </row>
    <row r="10" spans="1:13" s="1" customFormat="1" ht="10" x14ac:dyDescent="0.2">
      <c r="A10" s="29" t="s">
        <v>5</v>
      </c>
      <c r="B10" s="39"/>
      <c r="C10" s="39"/>
      <c r="D10" s="39"/>
      <c r="E10" s="37" t="s">
        <v>6</v>
      </c>
      <c r="F10" s="37" t="s">
        <v>6</v>
      </c>
      <c r="G10" s="37" t="s">
        <v>6</v>
      </c>
      <c r="H10" s="37" t="s">
        <v>6</v>
      </c>
      <c r="I10" s="37" t="s">
        <v>6</v>
      </c>
      <c r="J10" s="30" t="s">
        <v>418</v>
      </c>
      <c r="K10" s="37" t="s">
        <v>6</v>
      </c>
      <c r="L10" s="30" t="s">
        <v>418</v>
      </c>
      <c r="M10" s="39"/>
    </row>
    <row r="11" spans="1:13" s="1" customFormat="1" ht="10.5" x14ac:dyDescent="0.2">
      <c r="A11" s="4" t="s">
        <v>234</v>
      </c>
      <c r="B11" s="5"/>
      <c r="C11" s="5"/>
      <c r="D11" s="5"/>
      <c r="E11" s="5"/>
      <c r="F11" s="5"/>
      <c r="G11" s="5"/>
      <c r="H11" s="5"/>
      <c r="I11" s="5"/>
      <c r="J11" s="31"/>
      <c r="K11" s="5"/>
      <c r="L11" s="31"/>
      <c r="M11" s="5"/>
    </row>
    <row r="12" spans="1:13" s="1" customFormat="1" ht="10.5" x14ac:dyDescent="0.25">
      <c r="A12" s="6" t="s">
        <v>301</v>
      </c>
      <c r="B12" s="5"/>
      <c r="C12" s="5"/>
      <c r="D12" s="5"/>
      <c r="E12" s="5"/>
      <c r="F12" s="5"/>
      <c r="G12" s="5"/>
      <c r="H12" s="5"/>
      <c r="I12" s="5"/>
      <c r="J12" s="31"/>
      <c r="K12" s="5"/>
      <c r="L12" s="31"/>
      <c r="M12" s="5"/>
    </row>
    <row r="13" spans="1:13" s="1" customFormat="1" ht="10.5" x14ac:dyDescent="0.25">
      <c r="A13" s="7" t="s">
        <v>302</v>
      </c>
      <c r="B13" s="5"/>
      <c r="C13" s="5"/>
      <c r="D13" s="5"/>
      <c r="E13" s="5"/>
      <c r="F13" s="5"/>
      <c r="G13" s="5"/>
      <c r="H13" s="5"/>
      <c r="I13" s="5"/>
      <c r="J13" s="31"/>
      <c r="K13" s="5">
        <f t="shared" ref="K13:K44" si="0">SUM(D13:J13)</f>
        <v>0</v>
      </c>
      <c r="L13" s="31"/>
      <c r="M13" s="5">
        <f t="shared" ref="M13:M44" si="1">SUM(B13,K13,L13)+C13</f>
        <v>0</v>
      </c>
    </row>
    <row r="14" spans="1:13" s="1" customFormat="1" ht="10" x14ac:dyDescent="0.2">
      <c r="A14" s="17" t="s">
        <v>303</v>
      </c>
      <c r="B14" s="10">
        <v>0</v>
      </c>
      <c r="C14" s="10">
        <v>0</v>
      </c>
      <c r="D14" s="10">
        <v>4770212.6329301344</v>
      </c>
      <c r="E14" s="10">
        <v>0</v>
      </c>
      <c r="F14" s="10">
        <v>122341.02779302595</v>
      </c>
      <c r="G14" s="10">
        <v>106033.8729648727</v>
      </c>
      <c r="H14" s="10">
        <v>106724.3930775879</v>
      </c>
      <c r="I14" s="10">
        <v>740135.37439230946</v>
      </c>
      <c r="J14" s="32">
        <v>-1131731.7552219215</v>
      </c>
      <c r="K14" s="10">
        <f t="shared" si="0"/>
        <v>4713715.5459360089</v>
      </c>
      <c r="L14" s="32">
        <v>0</v>
      </c>
      <c r="M14" s="10">
        <f t="shared" si="1"/>
        <v>4713715.5459360089</v>
      </c>
    </row>
    <row r="15" spans="1:13" s="1" customFormat="1" ht="10" x14ac:dyDescent="0.2">
      <c r="A15" s="17" t="s">
        <v>304</v>
      </c>
      <c r="B15" s="10">
        <v>0</v>
      </c>
      <c r="C15" s="10">
        <v>0</v>
      </c>
      <c r="D15" s="10">
        <v>271775.36394479696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32"/>
      <c r="K15" s="10">
        <f t="shared" si="0"/>
        <v>271775.36394479696</v>
      </c>
      <c r="L15" s="32"/>
      <c r="M15" s="10">
        <f t="shared" si="1"/>
        <v>271775.36394479696</v>
      </c>
    </row>
    <row r="16" spans="1:13" s="1" customFormat="1" ht="10" x14ac:dyDescent="0.2">
      <c r="A16" s="17" t="s">
        <v>306</v>
      </c>
      <c r="B16" s="10">
        <v>0</v>
      </c>
      <c r="C16" s="10">
        <v>0</v>
      </c>
      <c r="D16" s="10">
        <v>258496.81266337479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32"/>
      <c r="K16" s="10">
        <f t="shared" si="0"/>
        <v>258496.81266337479</v>
      </c>
      <c r="L16" s="32"/>
      <c r="M16" s="10">
        <f t="shared" si="1"/>
        <v>258496.81266337479</v>
      </c>
    </row>
    <row r="17" spans="1:13" s="1" customFormat="1" ht="10.5" x14ac:dyDescent="0.25">
      <c r="A17" s="13" t="s">
        <v>307</v>
      </c>
      <c r="B17" s="12">
        <f>SUM(B14:B16)</f>
        <v>0</v>
      </c>
      <c r="C17" s="12">
        <f>SUM(C14:C16)</f>
        <v>0</v>
      </c>
      <c r="D17" s="12">
        <f>SUM(D14:D16)</f>
        <v>5300484.8095383057</v>
      </c>
      <c r="E17" s="12">
        <f>SUM(E14:E16)</f>
        <v>0</v>
      </c>
      <c r="F17" s="12">
        <f>SUM(F14:F16)</f>
        <v>122341.02779302595</v>
      </c>
      <c r="G17" s="12">
        <f>SUM(G14:G16)</f>
        <v>106033.8729648727</v>
      </c>
      <c r="H17" s="12">
        <f>SUM(H14:H16)</f>
        <v>106724.3930775879</v>
      </c>
      <c r="I17" s="12">
        <f>SUM(I14:I16)</f>
        <v>740135.37439230946</v>
      </c>
      <c r="J17" s="33">
        <f>SUM(J14:J16)</f>
        <v>-1131731.7552219215</v>
      </c>
      <c r="K17" s="12">
        <f t="shared" si="0"/>
        <v>5243987.7225441802</v>
      </c>
      <c r="L17" s="33">
        <f>SUM(L14:L16)</f>
        <v>0</v>
      </c>
      <c r="M17" s="12">
        <f t="shared" si="1"/>
        <v>5243987.7225441802</v>
      </c>
    </row>
    <row r="18" spans="1:13" s="1" customFormat="1" ht="10.5" x14ac:dyDescent="0.25">
      <c r="A18" s="20" t="s">
        <v>308</v>
      </c>
      <c r="B18" s="12">
        <f t="shared" ref="B18:M18" si="2">SUM(B17)</f>
        <v>0</v>
      </c>
      <c r="C18" s="12">
        <f t="shared" si="2"/>
        <v>0</v>
      </c>
      <c r="D18" s="12">
        <f t="shared" si="2"/>
        <v>5300484.8095383057</v>
      </c>
      <c r="E18" s="12">
        <f t="shared" si="2"/>
        <v>0</v>
      </c>
      <c r="F18" s="12">
        <f t="shared" si="2"/>
        <v>122341.02779302595</v>
      </c>
      <c r="G18" s="12">
        <f t="shared" si="2"/>
        <v>106033.8729648727</v>
      </c>
      <c r="H18" s="12">
        <f t="shared" si="2"/>
        <v>106724.3930775879</v>
      </c>
      <c r="I18" s="12">
        <f t="shared" si="2"/>
        <v>740135.37439230946</v>
      </c>
      <c r="J18" s="33">
        <f t="shared" si="2"/>
        <v>-1131731.7552219215</v>
      </c>
      <c r="K18" s="12">
        <f t="shared" si="0"/>
        <v>5243987.7225441802</v>
      </c>
      <c r="L18" s="33">
        <f t="shared" si="2"/>
        <v>0</v>
      </c>
      <c r="M18" s="12">
        <f t="shared" si="1"/>
        <v>5243987.7225441802</v>
      </c>
    </row>
    <row r="19" spans="1:13" s="1" customFormat="1" ht="10.5" x14ac:dyDescent="0.25">
      <c r="A19" s="6" t="s">
        <v>235</v>
      </c>
      <c r="B19" s="5"/>
      <c r="C19" s="5"/>
      <c r="D19" s="5"/>
      <c r="E19" s="5"/>
      <c r="F19" s="5"/>
      <c r="G19" s="5"/>
      <c r="H19" s="5"/>
      <c r="I19" s="5"/>
      <c r="J19" s="31"/>
      <c r="K19" s="5">
        <f t="shared" si="0"/>
        <v>0</v>
      </c>
      <c r="L19" s="31"/>
      <c r="M19" s="5">
        <f t="shared" si="1"/>
        <v>0</v>
      </c>
    </row>
    <row r="20" spans="1:13" s="1" customFormat="1" ht="10.5" x14ac:dyDescent="0.25">
      <c r="A20" s="7" t="s">
        <v>236</v>
      </c>
      <c r="B20" s="5"/>
      <c r="C20" s="5"/>
      <c r="D20" s="5"/>
      <c r="E20" s="5"/>
      <c r="F20" s="5"/>
      <c r="G20" s="5"/>
      <c r="H20" s="5"/>
      <c r="I20" s="5"/>
      <c r="J20" s="31"/>
      <c r="K20" s="5">
        <f t="shared" si="0"/>
        <v>0</v>
      </c>
      <c r="L20" s="31"/>
      <c r="M20" s="5">
        <f t="shared" si="1"/>
        <v>0</v>
      </c>
    </row>
    <row r="21" spans="1:13" s="1" customFormat="1" ht="10" x14ac:dyDescent="0.2">
      <c r="A21" s="22" t="s">
        <v>305</v>
      </c>
      <c r="B21" s="10">
        <v>0</v>
      </c>
      <c r="C21" s="10">
        <v>0</v>
      </c>
      <c r="D21" s="10">
        <v>31299.590839732853</v>
      </c>
      <c r="E21" s="10">
        <v>0</v>
      </c>
      <c r="F21" s="10">
        <v>113.57367803146326</v>
      </c>
      <c r="G21" s="10">
        <v>-170.01165455613545</v>
      </c>
      <c r="H21" s="10">
        <v>0</v>
      </c>
      <c r="I21" s="10">
        <v>0</v>
      </c>
      <c r="J21" s="32"/>
      <c r="K21" s="10">
        <f t="shared" si="0"/>
        <v>31243.152863208179</v>
      </c>
      <c r="L21" s="32"/>
      <c r="M21" s="10">
        <f t="shared" si="1"/>
        <v>31243.152863208179</v>
      </c>
    </row>
    <row r="22" spans="1:13" s="1" customFormat="1" ht="10" x14ac:dyDescent="0.2">
      <c r="A22" s="17" t="s">
        <v>237</v>
      </c>
      <c r="B22" s="10">
        <v>0</v>
      </c>
      <c r="C22" s="10">
        <v>0</v>
      </c>
      <c r="D22" s="10">
        <v>1634639.8475739581</v>
      </c>
      <c r="E22" s="10">
        <v>0</v>
      </c>
      <c r="F22" s="10">
        <v>98834.949076342949</v>
      </c>
      <c r="G22" s="10">
        <v>52010.421893907362</v>
      </c>
      <c r="H22" s="10">
        <v>83517.526062758596</v>
      </c>
      <c r="I22" s="10">
        <v>0</v>
      </c>
      <c r="J22" s="32">
        <v>-259455.73193053462</v>
      </c>
      <c r="K22" s="10">
        <f t="shared" si="0"/>
        <v>1609547.0126764325</v>
      </c>
      <c r="L22" s="32">
        <v>0</v>
      </c>
      <c r="M22" s="10">
        <f t="shared" si="1"/>
        <v>1609547.0126764325</v>
      </c>
    </row>
    <row r="23" spans="1:13" s="1" customFormat="1" ht="10" x14ac:dyDescent="0.2">
      <c r="A23" s="17" t="s">
        <v>541</v>
      </c>
      <c r="B23" s="10">
        <v>0</v>
      </c>
      <c r="C23" s="10">
        <v>0</v>
      </c>
      <c r="D23" s="10">
        <v>12394.532638715993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32"/>
      <c r="K23" s="10">
        <f t="shared" si="0"/>
        <v>12394.532638715993</v>
      </c>
      <c r="L23" s="32"/>
      <c r="M23" s="10">
        <f t="shared" si="1"/>
        <v>12394.532638715993</v>
      </c>
    </row>
    <row r="24" spans="1:13" s="1" customFormat="1" ht="10" x14ac:dyDescent="0.2">
      <c r="A24" s="17" t="s">
        <v>309</v>
      </c>
      <c r="B24" s="10">
        <v>0</v>
      </c>
      <c r="C24" s="10">
        <v>0</v>
      </c>
      <c r="D24" s="10">
        <v>226519.07976608592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32"/>
      <c r="K24" s="10">
        <f t="shared" si="0"/>
        <v>226519.07976608592</v>
      </c>
      <c r="L24" s="32"/>
      <c r="M24" s="10">
        <f t="shared" si="1"/>
        <v>226519.07976608592</v>
      </c>
    </row>
    <row r="25" spans="1:13" s="1" customFormat="1" ht="10" x14ac:dyDescent="0.2">
      <c r="A25" s="17" t="s">
        <v>310</v>
      </c>
      <c r="B25" s="10">
        <v>0</v>
      </c>
      <c r="C25" s="10">
        <v>0</v>
      </c>
      <c r="D25" s="10">
        <v>-3549.166282272673</v>
      </c>
      <c r="E25" s="10">
        <v>0</v>
      </c>
      <c r="F25" s="10">
        <v>-5010.5462262538031</v>
      </c>
      <c r="G25" s="10">
        <v>0</v>
      </c>
      <c r="H25" s="10">
        <v>0</v>
      </c>
      <c r="I25" s="10">
        <v>0</v>
      </c>
      <c r="J25" s="32"/>
      <c r="K25" s="10">
        <f t="shared" si="0"/>
        <v>-8559.7125085264761</v>
      </c>
      <c r="L25" s="32"/>
      <c r="M25" s="10">
        <f t="shared" si="1"/>
        <v>-8559.7125085264761</v>
      </c>
    </row>
    <row r="26" spans="1:13" s="1" customFormat="1" ht="10.5" x14ac:dyDescent="0.25">
      <c r="A26" s="8" t="s">
        <v>542</v>
      </c>
      <c r="B26" s="5"/>
      <c r="C26" s="5"/>
      <c r="D26" s="5"/>
      <c r="E26" s="5"/>
      <c r="F26" s="5"/>
      <c r="G26" s="5"/>
      <c r="H26" s="5"/>
      <c r="I26" s="5"/>
      <c r="J26" s="31"/>
      <c r="K26" s="5">
        <f t="shared" si="0"/>
        <v>0</v>
      </c>
      <c r="L26" s="31"/>
      <c r="M26" s="5">
        <f t="shared" si="1"/>
        <v>0</v>
      </c>
    </row>
    <row r="27" spans="1:13" s="1" customFormat="1" ht="10" x14ac:dyDescent="0.2">
      <c r="A27" s="9" t="s">
        <v>543</v>
      </c>
      <c r="B27" s="10">
        <v>0</v>
      </c>
      <c r="C27" s="10">
        <v>0</v>
      </c>
      <c r="D27" s="10">
        <v>0</v>
      </c>
      <c r="E27" s="10">
        <v>0</v>
      </c>
      <c r="F27" s="10">
        <v>0</v>
      </c>
      <c r="G27" s="10">
        <v>14049.854273169318</v>
      </c>
      <c r="H27" s="10">
        <v>0</v>
      </c>
      <c r="I27" s="10">
        <v>0</v>
      </c>
      <c r="J27" s="32"/>
      <c r="K27" s="10">
        <f t="shared" si="0"/>
        <v>14049.854273169318</v>
      </c>
      <c r="L27" s="32"/>
      <c r="M27" s="10">
        <f t="shared" si="1"/>
        <v>14049.854273169318</v>
      </c>
    </row>
    <row r="28" spans="1:13" s="1" customFormat="1" ht="10" x14ac:dyDescent="0.2">
      <c r="A28" s="9" t="s">
        <v>544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1011.302310503562</v>
      </c>
      <c r="H28" s="10">
        <v>0</v>
      </c>
      <c r="I28" s="10">
        <v>0</v>
      </c>
      <c r="J28" s="32"/>
      <c r="K28" s="10">
        <f t="shared" si="0"/>
        <v>1011.302310503562</v>
      </c>
      <c r="L28" s="32"/>
      <c r="M28" s="10">
        <f t="shared" si="1"/>
        <v>1011.302310503562</v>
      </c>
    </row>
    <row r="29" spans="1:13" s="1" customFormat="1" ht="10.5" x14ac:dyDescent="0.25">
      <c r="A29" s="14" t="s">
        <v>545</v>
      </c>
      <c r="B29" s="5"/>
      <c r="C29" s="5"/>
      <c r="D29" s="5"/>
      <c r="E29" s="5"/>
      <c r="F29" s="5"/>
      <c r="G29" s="5"/>
      <c r="H29" s="5"/>
      <c r="I29" s="5"/>
      <c r="J29" s="31"/>
      <c r="K29" s="5">
        <f t="shared" si="0"/>
        <v>0</v>
      </c>
      <c r="L29" s="31"/>
      <c r="M29" s="5">
        <f t="shared" si="1"/>
        <v>0</v>
      </c>
    </row>
    <row r="30" spans="1:13" s="1" customFormat="1" ht="10" x14ac:dyDescent="0.2">
      <c r="A30" s="15" t="s">
        <v>546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17987.539677014658</v>
      </c>
      <c r="H30" s="10">
        <v>0</v>
      </c>
      <c r="I30" s="10">
        <v>0</v>
      </c>
      <c r="J30" s="32"/>
      <c r="K30" s="10">
        <f t="shared" si="0"/>
        <v>17987.539677014658</v>
      </c>
      <c r="L30" s="32"/>
      <c r="M30" s="10">
        <f t="shared" si="1"/>
        <v>17987.539677014658</v>
      </c>
    </row>
    <row r="31" spans="1:13" s="1" customFormat="1" ht="10" x14ac:dyDescent="0.2">
      <c r="A31" s="15" t="s">
        <v>547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5070.6080123549273</v>
      </c>
      <c r="H31" s="10">
        <v>0</v>
      </c>
      <c r="I31" s="10">
        <v>0</v>
      </c>
      <c r="J31" s="32"/>
      <c r="K31" s="10">
        <f t="shared" si="0"/>
        <v>5070.6080123549273</v>
      </c>
      <c r="L31" s="32"/>
      <c r="M31" s="10">
        <f t="shared" si="1"/>
        <v>5070.6080123549273</v>
      </c>
    </row>
    <row r="32" spans="1:13" s="1" customFormat="1" ht="10.5" x14ac:dyDescent="0.25">
      <c r="A32" s="16" t="s">
        <v>548</v>
      </c>
      <c r="B32" s="12">
        <f t="shared" ref="B32:M32" si="3">SUM(B30:B31)</f>
        <v>0</v>
      </c>
      <c r="C32" s="12">
        <f t="shared" si="3"/>
        <v>0</v>
      </c>
      <c r="D32" s="12">
        <f t="shared" si="3"/>
        <v>0</v>
      </c>
      <c r="E32" s="12">
        <f t="shared" si="3"/>
        <v>0</v>
      </c>
      <c r="F32" s="12">
        <f t="shared" si="3"/>
        <v>0</v>
      </c>
      <c r="G32" s="12">
        <f t="shared" si="3"/>
        <v>23058.147689369587</v>
      </c>
      <c r="H32" s="12">
        <f t="shared" si="3"/>
        <v>0</v>
      </c>
      <c r="I32" s="12">
        <f t="shared" si="3"/>
        <v>0</v>
      </c>
      <c r="J32" s="33">
        <f t="shared" si="3"/>
        <v>0</v>
      </c>
      <c r="K32" s="12">
        <f t="shared" si="0"/>
        <v>23058.147689369587</v>
      </c>
      <c r="L32" s="33">
        <f t="shared" si="3"/>
        <v>0</v>
      </c>
      <c r="M32" s="12">
        <f t="shared" si="1"/>
        <v>23058.147689369587</v>
      </c>
    </row>
    <row r="33" spans="1:13" s="1" customFormat="1" ht="10.5" x14ac:dyDescent="0.25">
      <c r="A33" s="11" t="s">
        <v>549</v>
      </c>
      <c r="B33" s="12">
        <f t="shared" ref="B33:M33" si="4">SUM(B27:B28,B32)</f>
        <v>0</v>
      </c>
      <c r="C33" s="12">
        <f t="shared" si="4"/>
        <v>0</v>
      </c>
      <c r="D33" s="12">
        <f t="shared" si="4"/>
        <v>0</v>
      </c>
      <c r="E33" s="12">
        <f t="shared" si="4"/>
        <v>0</v>
      </c>
      <c r="F33" s="12">
        <f t="shared" si="4"/>
        <v>0</v>
      </c>
      <c r="G33" s="12">
        <f t="shared" si="4"/>
        <v>38119.304273042464</v>
      </c>
      <c r="H33" s="12">
        <f t="shared" si="4"/>
        <v>0</v>
      </c>
      <c r="I33" s="12">
        <f t="shared" si="4"/>
        <v>0</v>
      </c>
      <c r="J33" s="33">
        <f t="shared" si="4"/>
        <v>0</v>
      </c>
      <c r="K33" s="12">
        <f t="shared" si="0"/>
        <v>38119.304273042464</v>
      </c>
      <c r="L33" s="33">
        <f t="shared" si="4"/>
        <v>0</v>
      </c>
      <c r="M33" s="12">
        <f t="shared" si="1"/>
        <v>38119.304273042464</v>
      </c>
    </row>
    <row r="34" spans="1:13" s="1" customFormat="1" ht="10.5" x14ac:dyDescent="0.25">
      <c r="A34" s="13" t="s">
        <v>246</v>
      </c>
      <c r="B34" s="12">
        <f t="shared" ref="B34:M34" si="5">SUM(B22:B25,B33)+B21</f>
        <v>0</v>
      </c>
      <c r="C34" s="12">
        <f t="shared" si="5"/>
        <v>0</v>
      </c>
      <c r="D34" s="12">
        <f t="shared" si="5"/>
        <v>1901303.8845362202</v>
      </c>
      <c r="E34" s="12">
        <f t="shared" si="5"/>
        <v>0</v>
      </c>
      <c r="F34" s="12">
        <f t="shared" si="5"/>
        <v>93937.976528120606</v>
      </c>
      <c r="G34" s="12">
        <f t="shared" si="5"/>
        <v>89959.714512393693</v>
      </c>
      <c r="H34" s="12">
        <f t="shared" si="5"/>
        <v>83517.526062758596</v>
      </c>
      <c r="I34" s="12">
        <f t="shared" si="5"/>
        <v>0</v>
      </c>
      <c r="J34" s="33">
        <f t="shared" si="5"/>
        <v>-259455.73193053462</v>
      </c>
      <c r="K34" s="12">
        <f t="shared" si="0"/>
        <v>1909263.3697089588</v>
      </c>
      <c r="L34" s="33">
        <f t="shared" si="5"/>
        <v>0</v>
      </c>
      <c r="M34" s="12">
        <f t="shared" si="1"/>
        <v>1909263.3697089588</v>
      </c>
    </row>
    <row r="35" spans="1:13" s="1" customFormat="1" ht="10.5" x14ac:dyDescent="0.25">
      <c r="A35" s="20" t="s">
        <v>247</v>
      </c>
      <c r="B35" s="12">
        <f t="shared" ref="B35:M35" si="6">SUM(B34)</f>
        <v>0</v>
      </c>
      <c r="C35" s="12">
        <f t="shared" si="6"/>
        <v>0</v>
      </c>
      <c r="D35" s="12">
        <f t="shared" si="6"/>
        <v>1901303.8845362202</v>
      </c>
      <c r="E35" s="12">
        <f t="shared" si="6"/>
        <v>0</v>
      </c>
      <c r="F35" s="12">
        <f t="shared" si="6"/>
        <v>93937.976528120606</v>
      </c>
      <c r="G35" s="12">
        <f t="shared" si="6"/>
        <v>89959.714512393693</v>
      </c>
      <c r="H35" s="12">
        <f t="shared" si="6"/>
        <v>83517.526062758596</v>
      </c>
      <c r="I35" s="12">
        <f t="shared" si="6"/>
        <v>0</v>
      </c>
      <c r="J35" s="33">
        <f t="shared" si="6"/>
        <v>-259455.73193053462</v>
      </c>
      <c r="K35" s="12">
        <f t="shared" si="0"/>
        <v>1909263.3697089588</v>
      </c>
      <c r="L35" s="33">
        <f t="shared" si="6"/>
        <v>0</v>
      </c>
      <c r="M35" s="12">
        <f t="shared" si="1"/>
        <v>1909263.3697089588</v>
      </c>
    </row>
    <row r="36" spans="1:13" s="1" customFormat="1" ht="10.5" x14ac:dyDescent="0.25">
      <c r="A36" s="18" t="s">
        <v>248</v>
      </c>
      <c r="B36" s="19">
        <f t="shared" ref="B36:M36" si="7">B18-B35</f>
        <v>0</v>
      </c>
      <c r="C36" s="19">
        <f t="shared" si="7"/>
        <v>0</v>
      </c>
      <c r="D36" s="19">
        <f t="shared" si="7"/>
        <v>3399180.9250020855</v>
      </c>
      <c r="E36" s="19">
        <f t="shared" si="7"/>
        <v>0</v>
      </c>
      <c r="F36" s="19">
        <f t="shared" si="7"/>
        <v>28403.051264905342</v>
      </c>
      <c r="G36" s="19">
        <f t="shared" si="7"/>
        <v>16074.158452479009</v>
      </c>
      <c r="H36" s="19">
        <f t="shared" si="7"/>
        <v>23206.867014829302</v>
      </c>
      <c r="I36" s="19">
        <f t="shared" si="7"/>
        <v>740135.37439230946</v>
      </c>
      <c r="J36" s="34">
        <f t="shared" si="7"/>
        <v>-872276.0232913869</v>
      </c>
      <c r="K36" s="19">
        <f t="shared" si="0"/>
        <v>3334724.3528352221</v>
      </c>
      <c r="L36" s="34">
        <f t="shared" si="7"/>
        <v>0</v>
      </c>
      <c r="M36" s="19">
        <f t="shared" si="1"/>
        <v>3334724.3528352221</v>
      </c>
    </row>
    <row r="37" spans="1:13" s="1" customFormat="1" ht="10.5" x14ac:dyDescent="0.25">
      <c r="A37" s="6" t="s">
        <v>311</v>
      </c>
      <c r="B37" s="5"/>
      <c r="C37" s="5"/>
      <c r="D37" s="5"/>
      <c r="E37" s="5"/>
      <c r="F37" s="5"/>
      <c r="G37" s="5"/>
      <c r="H37" s="5"/>
      <c r="I37" s="5"/>
      <c r="J37" s="31"/>
      <c r="K37" s="5">
        <f t="shared" si="0"/>
        <v>0</v>
      </c>
      <c r="L37" s="31"/>
      <c r="M37" s="5">
        <f t="shared" si="1"/>
        <v>0</v>
      </c>
    </row>
    <row r="38" spans="1:13" s="1" customFormat="1" ht="10.5" x14ac:dyDescent="0.25">
      <c r="A38" s="7" t="s">
        <v>312</v>
      </c>
      <c r="B38" s="5"/>
      <c r="C38" s="5"/>
      <c r="D38" s="5"/>
      <c r="E38" s="5"/>
      <c r="F38" s="5"/>
      <c r="G38" s="5"/>
      <c r="H38" s="5"/>
      <c r="I38" s="5"/>
      <c r="J38" s="31"/>
      <c r="K38" s="5">
        <f t="shared" si="0"/>
        <v>0</v>
      </c>
      <c r="L38" s="31"/>
      <c r="M38" s="5">
        <f t="shared" si="1"/>
        <v>0</v>
      </c>
    </row>
    <row r="39" spans="1:13" s="1" customFormat="1" ht="10" x14ac:dyDescent="0.2">
      <c r="A39" s="17" t="s">
        <v>550</v>
      </c>
      <c r="B39" s="10">
        <v>0</v>
      </c>
      <c r="C39" s="10">
        <v>0</v>
      </c>
      <c r="D39" s="10">
        <v>67.751521061645278</v>
      </c>
      <c r="E39" s="10">
        <v>0</v>
      </c>
      <c r="F39" s="10">
        <v>0</v>
      </c>
      <c r="G39" s="10">
        <v>0</v>
      </c>
      <c r="H39" s="10">
        <v>0</v>
      </c>
      <c r="I39" s="10">
        <v>0</v>
      </c>
      <c r="J39" s="32"/>
      <c r="K39" s="10">
        <f t="shared" si="0"/>
        <v>67.751521061645278</v>
      </c>
      <c r="L39" s="32"/>
      <c r="M39" s="10">
        <f t="shared" si="1"/>
        <v>67.751521061645278</v>
      </c>
    </row>
    <row r="40" spans="1:13" s="1" customFormat="1" ht="10.5" x14ac:dyDescent="0.25">
      <c r="A40" s="8" t="s">
        <v>313</v>
      </c>
      <c r="B40" s="5"/>
      <c r="C40" s="5"/>
      <c r="D40" s="5"/>
      <c r="E40" s="5"/>
      <c r="F40" s="5"/>
      <c r="G40" s="5"/>
      <c r="H40" s="5"/>
      <c r="I40" s="5"/>
      <c r="J40" s="31"/>
      <c r="K40" s="5">
        <f t="shared" si="0"/>
        <v>0</v>
      </c>
      <c r="L40" s="31"/>
      <c r="M40" s="5">
        <f t="shared" si="1"/>
        <v>0</v>
      </c>
    </row>
    <row r="41" spans="1:13" s="1" customFormat="1" ht="10" x14ac:dyDescent="0.2">
      <c r="A41" s="9" t="s">
        <v>314</v>
      </c>
      <c r="B41" s="10">
        <v>0</v>
      </c>
      <c r="C41" s="10">
        <v>0</v>
      </c>
      <c r="D41" s="10">
        <v>420280.50775430485</v>
      </c>
      <c r="E41" s="10">
        <v>0</v>
      </c>
      <c r="F41" s="10">
        <v>1099.8858614210978</v>
      </c>
      <c r="G41" s="10">
        <v>32300.330802762001</v>
      </c>
      <c r="H41" s="10">
        <v>0</v>
      </c>
      <c r="I41" s="10">
        <v>21678.449499142593</v>
      </c>
      <c r="J41" s="32"/>
      <c r="K41" s="10">
        <f t="shared" si="0"/>
        <v>475359.17391763057</v>
      </c>
      <c r="L41" s="32"/>
      <c r="M41" s="10">
        <f t="shared" si="1"/>
        <v>475359.17391763057</v>
      </c>
    </row>
    <row r="42" spans="1:13" s="1" customFormat="1" ht="10" x14ac:dyDescent="0.2">
      <c r="A42" s="9" t="s">
        <v>315</v>
      </c>
      <c r="B42" s="10">
        <v>0</v>
      </c>
      <c r="C42" s="10">
        <v>0</v>
      </c>
      <c r="D42" s="10">
        <v>529988.93709928286</v>
      </c>
      <c r="E42" s="10">
        <v>0</v>
      </c>
      <c r="F42" s="10">
        <v>0</v>
      </c>
      <c r="G42" s="10">
        <v>64600.661605524001</v>
      </c>
      <c r="H42" s="10">
        <v>0</v>
      </c>
      <c r="I42" s="10">
        <v>152355.79014199055</v>
      </c>
      <c r="J42" s="32"/>
      <c r="K42" s="10">
        <f t="shared" si="0"/>
        <v>746945.3888467974</v>
      </c>
      <c r="L42" s="32"/>
      <c r="M42" s="10">
        <f t="shared" si="1"/>
        <v>746945.3888467974</v>
      </c>
    </row>
    <row r="43" spans="1:13" s="1" customFormat="1" ht="10" x14ac:dyDescent="0.2">
      <c r="A43" s="9" t="s">
        <v>316</v>
      </c>
      <c r="B43" s="10">
        <v>0</v>
      </c>
      <c r="C43" s="10">
        <v>0</v>
      </c>
      <c r="D43" s="10">
        <v>90241.7657618425</v>
      </c>
      <c r="E43" s="10">
        <v>0</v>
      </c>
      <c r="F43" s="10">
        <v>0</v>
      </c>
      <c r="G43" s="10">
        <v>300.91229073976939</v>
      </c>
      <c r="H43" s="10">
        <v>0</v>
      </c>
      <c r="I43" s="10">
        <v>19466.907636584758</v>
      </c>
      <c r="J43" s="32"/>
      <c r="K43" s="10">
        <f t="shared" si="0"/>
        <v>110009.58568916703</v>
      </c>
      <c r="L43" s="32"/>
      <c r="M43" s="10">
        <f t="shared" si="1"/>
        <v>110009.58568916703</v>
      </c>
    </row>
    <row r="44" spans="1:13" s="1" customFormat="1" ht="10" x14ac:dyDescent="0.2">
      <c r="A44" s="9" t="s">
        <v>317</v>
      </c>
      <c r="B44" s="10">
        <v>0</v>
      </c>
      <c r="C44" s="10">
        <v>0</v>
      </c>
      <c r="D44" s="10">
        <v>22648.011382212746</v>
      </c>
      <c r="E44" s="10">
        <v>0</v>
      </c>
      <c r="F44" s="10">
        <v>0</v>
      </c>
      <c r="G44" s="10">
        <v>12299.508362817223</v>
      </c>
      <c r="H44" s="10">
        <v>0</v>
      </c>
      <c r="I44" s="10">
        <v>0</v>
      </c>
      <c r="J44" s="32"/>
      <c r="K44" s="10">
        <f t="shared" si="0"/>
        <v>34947.519745029967</v>
      </c>
      <c r="L44" s="32"/>
      <c r="M44" s="10">
        <f t="shared" si="1"/>
        <v>34947.519745029967</v>
      </c>
    </row>
    <row r="45" spans="1:13" s="1" customFormat="1" ht="10.5" x14ac:dyDescent="0.25">
      <c r="A45" s="11" t="s">
        <v>318</v>
      </c>
      <c r="B45" s="12">
        <f t="shared" ref="B45:M45" si="8">SUM(B41:B44)</f>
        <v>0</v>
      </c>
      <c r="C45" s="12">
        <f t="shared" si="8"/>
        <v>0</v>
      </c>
      <c r="D45" s="12">
        <f t="shared" si="8"/>
        <v>1063159.2219976429</v>
      </c>
      <c r="E45" s="12">
        <f t="shared" si="8"/>
        <v>0</v>
      </c>
      <c r="F45" s="12">
        <f t="shared" si="8"/>
        <v>1099.8858614210978</v>
      </c>
      <c r="G45" s="12">
        <f t="shared" si="8"/>
        <v>109501.41306184299</v>
      </c>
      <c r="H45" s="12">
        <f t="shared" si="8"/>
        <v>0</v>
      </c>
      <c r="I45" s="12">
        <f t="shared" si="8"/>
        <v>193501.14727771789</v>
      </c>
      <c r="J45" s="33">
        <f t="shared" si="8"/>
        <v>0</v>
      </c>
      <c r="K45" s="12">
        <f t="shared" ref="K45:K76" si="9">SUM(D45:J45)</f>
        <v>1367261.6681986249</v>
      </c>
      <c r="L45" s="33">
        <f t="shared" si="8"/>
        <v>0</v>
      </c>
      <c r="M45" s="12">
        <f t="shared" ref="M45:M76" si="10">SUM(B45,K45,L45)+C45</f>
        <v>1367261.6681986249</v>
      </c>
    </row>
    <row r="46" spans="1:13" s="1" customFormat="1" ht="10.5" x14ac:dyDescent="0.25">
      <c r="A46" s="8" t="s">
        <v>319</v>
      </c>
      <c r="B46" s="5"/>
      <c r="C46" s="5"/>
      <c r="D46" s="5"/>
      <c r="E46" s="5"/>
      <c r="F46" s="5"/>
      <c r="G46" s="5"/>
      <c r="H46" s="5"/>
      <c r="I46" s="5"/>
      <c r="J46" s="31"/>
      <c r="K46" s="5">
        <f t="shared" si="9"/>
        <v>0</v>
      </c>
      <c r="L46" s="31"/>
      <c r="M46" s="5">
        <f t="shared" si="10"/>
        <v>0</v>
      </c>
    </row>
    <row r="47" spans="1:13" s="1" customFormat="1" ht="10" x14ac:dyDescent="0.2">
      <c r="A47" s="9" t="s">
        <v>320</v>
      </c>
      <c r="B47" s="10">
        <v>0</v>
      </c>
      <c r="C47" s="10">
        <v>0</v>
      </c>
      <c r="D47" s="10">
        <v>230.93312542776411</v>
      </c>
      <c r="E47" s="10">
        <v>0</v>
      </c>
      <c r="F47" s="10">
        <v>0</v>
      </c>
      <c r="G47" s="10">
        <v>2009.0001050855044</v>
      </c>
      <c r="H47" s="10">
        <v>0</v>
      </c>
      <c r="I47" s="10">
        <v>289.27017074812284</v>
      </c>
      <c r="J47" s="32"/>
      <c r="K47" s="10">
        <f t="shared" si="9"/>
        <v>2529.2034012613913</v>
      </c>
      <c r="L47" s="32"/>
      <c r="M47" s="10">
        <f t="shared" si="10"/>
        <v>2529.2034012613913</v>
      </c>
    </row>
    <row r="48" spans="1:13" s="1" customFormat="1" ht="10" x14ac:dyDescent="0.2">
      <c r="A48" s="9" t="s">
        <v>321</v>
      </c>
      <c r="B48" s="10">
        <v>0</v>
      </c>
      <c r="C48" s="10">
        <v>0</v>
      </c>
      <c r="D48" s="10">
        <v>243.69089515342154</v>
      </c>
      <c r="E48" s="10">
        <v>0</v>
      </c>
      <c r="F48" s="10">
        <v>97.047464564808251</v>
      </c>
      <c r="G48" s="10">
        <v>0</v>
      </c>
      <c r="H48" s="10">
        <v>0</v>
      </c>
      <c r="I48" s="10">
        <v>16224.495828653413</v>
      </c>
      <c r="J48" s="32"/>
      <c r="K48" s="10">
        <f t="shared" si="9"/>
        <v>16565.234188371644</v>
      </c>
      <c r="L48" s="32"/>
      <c r="M48" s="10">
        <f t="shared" si="10"/>
        <v>16565.234188371644</v>
      </c>
    </row>
    <row r="49" spans="1:13" s="1" customFormat="1" ht="10" x14ac:dyDescent="0.2">
      <c r="A49" s="9" t="s">
        <v>322</v>
      </c>
      <c r="B49" s="10">
        <v>0</v>
      </c>
      <c r="C49" s="10">
        <v>0</v>
      </c>
      <c r="D49" s="10">
        <v>1383.6877861822206</v>
      </c>
      <c r="E49" s="10">
        <v>0</v>
      </c>
      <c r="F49" s="10">
        <v>0</v>
      </c>
      <c r="G49" s="10">
        <v>0</v>
      </c>
      <c r="H49" s="10">
        <v>0</v>
      </c>
      <c r="I49" s="10">
        <v>0</v>
      </c>
      <c r="J49" s="32"/>
      <c r="K49" s="10">
        <f t="shared" si="9"/>
        <v>1383.6877861822206</v>
      </c>
      <c r="L49" s="32"/>
      <c r="M49" s="10">
        <f t="shared" si="10"/>
        <v>1383.6877861822206</v>
      </c>
    </row>
    <row r="50" spans="1:13" s="1" customFormat="1" ht="10" x14ac:dyDescent="0.2">
      <c r="A50" s="9" t="s">
        <v>551</v>
      </c>
      <c r="B50" s="10">
        <v>0</v>
      </c>
      <c r="C50" s="10">
        <v>0</v>
      </c>
      <c r="D50" s="10">
        <v>-0.2118907719454092</v>
      </c>
      <c r="E50" s="10">
        <v>0</v>
      </c>
      <c r="F50" s="10">
        <v>0</v>
      </c>
      <c r="G50" s="10">
        <v>0</v>
      </c>
      <c r="H50" s="10">
        <v>0</v>
      </c>
      <c r="I50" s="10">
        <v>0</v>
      </c>
      <c r="J50" s="32"/>
      <c r="K50" s="10">
        <f t="shared" si="9"/>
        <v>-0.2118907719454092</v>
      </c>
      <c r="L50" s="32"/>
      <c r="M50" s="10">
        <f t="shared" si="10"/>
        <v>-0.2118907719454092</v>
      </c>
    </row>
    <row r="51" spans="1:13" s="1" customFormat="1" ht="10" x14ac:dyDescent="0.2">
      <c r="A51" s="9" t="s">
        <v>449</v>
      </c>
      <c r="B51" s="10">
        <v>0</v>
      </c>
      <c r="C51" s="10">
        <v>0</v>
      </c>
      <c r="D51" s="10">
        <v>1760.7079721381499</v>
      </c>
      <c r="E51" s="10">
        <v>0</v>
      </c>
      <c r="F51" s="10">
        <v>0</v>
      </c>
      <c r="G51" s="10">
        <v>0</v>
      </c>
      <c r="H51" s="10">
        <v>0</v>
      </c>
      <c r="I51" s="10">
        <v>0</v>
      </c>
      <c r="J51" s="32"/>
      <c r="K51" s="10">
        <f t="shared" si="9"/>
        <v>1760.7079721381499</v>
      </c>
      <c r="L51" s="32"/>
      <c r="M51" s="10">
        <f t="shared" si="10"/>
        <v>1760.7079721381499</v>
      </c>
    </row>
    <row r="52" spans="1:13" s="1" customFormat="1" ht="10.5" x14ac:dyDescent="0.25">
      <c r="A52" s="11" t="s">
        <v>323</v>
      </c>
      <c r="B52" s="12">
        <f t="shared" ref="B52:M52" si="11">SUM(B47:B51)</f>
        <v>0</v>
      </c>
      <c r="C52" s="12">
        <f t="shared" si="11"/>
        <v>0</v>
      </c>
      <c r="D52" s="12">
        <f t="shared" si="11"/>
        <v>3618.8078881296105</v>
      </c>
      <c r="E52" s="12">
        <f t="shared" si="11"/>
        <v>0</v>
      </c>
      <c r="F52" s="12">
        <f t="shared" si="11"/>
        <v>97.047464564808251</v>
      </c>
      <c r="G52" s="12">
        <f t="shared" si="11"/>
        <v>2009.0001050855044</v>
      </c>
      <c r="H52" s="12">
        <f t="shared" si="11"/>
        <v>0</v>
      </c>
      <c r="I52" s="12">
        <f t="shared" si="11"/>
        <v>16513.765999401534</v>
      </c>
      <c r="J52" s="33">
        <f t="shared" si="11"/>
        <v>0</v>
      </c>
      <c r="K52" s="12">
        <f t="shared" si="9"/>
        <v>22238.621457181456</v>
      </c>
      <c r="L52" s="33">
        <f t="shared" si="11"/>
        <v>0</v>
      </c>
      <c r="M52" s="12">
        <f t="shared" si="10"/>
        <v>22238.621457181456</v>
      </c>
    </row>
    <row r="53" spans="1:13" s="1" customFormat="1" ht="10.5" x14ac:dyDescent="0.25">
      <c r="A53" s="8" t="s">
        <v>324</v>
      </c>
      <c r="B53" s="5"/>
      <c r="C53" s="5"/>
      <c r="D53" s="5"/>
      <c r="E53" s="5"/>
      <c r="F53" s="5"/>
      <c r="G53" s="5"/>
      <c r="H53" s="5"/>
      <c r="I53" s="5"/>
      <c r="J53" s="31"/>
      <c r="K53" s="5">
        <f t="shared" si="9"/>
        <v>0</v>
      </c>
      <c r="L53" s="31"/>
      <c r="M53" s="5">
        <f t="shared" si="10"/>
        <v>0</v>
      </c>
    </row>
    <row r="54" spans="1:13" s="1" customFormat="1" ht="10" x14ac:dyDescent="0.2">
      <c r="A54" s="9" t="s">
        <v>325</v>
      </c>
      <c r="B54" s="10">
        <v>0</v>
      </c>
      <c r="C54" s="10">
        <v>0</v>
      </c>
      <c r="D54" s="10">
        <v>52198.153604441948</v>
      </c>
      <c r="E54" s="10">
        <v>0</v>
      </c>
      <c r="F54" s="10">
        <v>0</v>
      </c>
      <c r="G54" s="10">
        <v>2842.429110643056</v>
      </c>
      <c r="H54" s="10">
        <v>0</v>
      </c>
      <c r="I54" s="10">
        <v>27482.213130964348</v>
      </c>
      <c r="J54" s="32"/>
      <c r="K54" s="10">
        <f t="shared" si="9"/>
        <v>82522.795846049354</v>
      </c>
      <c r="L54" s="32"/>
      <c r="M54" s="10">
        <f t="shared" si="10"/>
        <v>82522.795846049354</v>
      </c>
    </row>
    <row r="55" spans="1:13" s="1" customFormat="1" ht="10" x14ac:dyDescent="0.2">
      <c r="A55" s="9" t="s">
        <v>552</v>
      </c>
      <c r="B55" s="10">
        <v>0</v>
      </c>
      <c r="C55" s="10">
        <v>0</v>
      </c>
      <c r="D55" s="10">
        <v>5770.0221472798594</v>
      </c>
      <c r="E55" s="10">
        <v>0</v>
      </c>
      <c r="F55" s="10">
        <v>0</v>
      </c>
      <c r="G55" s="10">
        <v>0</v>
      </c>
      <c r="H55" s="10">
        <v>0</v>
      </c>
      <c r="I55" s="10">
        <v>0</v>
      </c>
      <c r="J55" s="32"/>
      <c r="K55" s="10">
        <f t="shared" si="9"/>
        <v>5770.0221472798594</v>
      </c>
      <c r="L55" s="32"/>
      <c r="M55" s="10">
        <f t="shared" si="10"/>
        <v>5770.0221472798594</v>
      </c>
    </row>
    <row r="56" spans="1:13" s="1" customFormat="1" ht="10" x14ac:dyDescent="0.2">
      <c r="A56" s="9" t="s">
        <v>326</v>
      </c>
      <c r="B56" s="10">
        <v>0</v>
      </c>
      <c r="C56" s="10">
        <v>0</v>
      </c>
      <c r="D56" s="10">
        <v>205431.21592084542</v>
      </c>
      <c r="E56" s="10">
        <v>0</v>
      </c>
      <c r="F56" s="10">
        <v>5725.8000718839248</v>
      </c>
      <c r="G56" s="10">
        <v>791.35810466766895</v>
      </c>
      <c r="H56" s="10">
        <v>0</v>
      </c>
      <c r="I56" s="10">
        <v>34659.900817561211</v>
      </c>
      <c r="J56" s="32"/>
      <c r="K56" s="10">
        <f t="shared" si="9"/>
        <v>246608.27491495822</v>
      </c>
      <c r="L56" s="32"/>
      <c r="M56" s="10">
        <f t="shared" si="10"/>
        <v>246608.27491495822</v>
      </c>
    </row>
    <row r="57" spans="1:13" s="1" customFormat="1" ht="10.5" x14ac:dyDescent="0.25">
      <c r="A57" s="11" t="s">
        <v>327</v>
      </c>
      <c r="B57" s="12">
        <f t="shared" ref="B57:M57" si="12">SUM(B54:B56)</f>
        <v>0</v>
      </c>
      <c r="C57" s="12">
        <f t="shared" si="12"/>
        <v>0</v>
      </c>
      <c r="D57" s="12">
        <f t="shared" si="12"/>
        <v>263399.39167256723</v>
      </c>
      <c r="E57" s="12">
        <f t="shared" si="12"/>
        <v>0</v>
      </c>
      <c r="F57" s="12">
        <f t="shared" si="12"/>
        <v>5725.8000718839248</v>
      </c>
      <c r="G57" s="12">
        <f t="shared" si="12"/>
        <v>3633.7872153107251</v>
      </c>
      <c r="H57" s="12">
        <f t="shared" si="12"/>
        <v>0</v>
      </c>
      <c r="I57" s="12">
        <f t="shared" si="12"/>
        <v>62142.113948525555</v>
      </c>
      <c r="J57" s="33">
        <f t="shared" si="12"/>
        <v>0</v>
      </c>
      <c r="K57" s="12">
        <f t="shared" si="9"/>
        <v>334901.09290828748</v>
      </c>
      <c r="L57" s="33">
        <f t="shared" si="12"/>
        <v>0</v>
      </c>
      <c r="M57" s="12">
        <f t="shared" si="10"/>
        <v>334901.09290828748</v>
      </c>
    </row>
    <row r="58" spans="1:13" s="1" customFormat="1" ht="10.5" x14ac:dyDescent="0.25">
      <c r="A58" s="8" t="s">
        <v>553</v>
      </c>
      <c r="B58" s="5"/>
      <c r="C58" s="5"/>
      <c r="D58" s="5"/>
      <c r="E58" s="5"/>
      <c r="F58" s="5"/>
      <c r="G58" s="5"/>
      <c r="H58" s="5"/>
      <c r="I58" s="5"/>
      <c r="J58" s="31"/>
      <c r="K58" s="5">
        <f t="shared" si="9"/>
        <v>0</v>
      </c>
      <c r="L58" s="31"/>
      <c r="M58" s="5">
        <f t="shared" si="10"/>
        <v>0</v>
      </c>
    </row>
    <row r="59" spans="1:13" s="1" customFormat="1" ht="10" x14ac:dyDescent="0.2">
      <c r="A59" s="9" t="s">
        <v>554</v>
      </c>
      <c r="B59" s="10">
        <v>0</v>
      </c>
      <c r="C59" s="10">
        <v>0</v>
      </c>
      <c r="D59" s="10">
        <v>3185.88026950828</v>
      </c>
      <c r="E59" s="10">
        <v>0</v>
      </c>
      <c r="F59" s="10">
        <v>0</v>
      </c>
      <c r="G59" s="10">
        <v>0</v>
      </c>
      <c r="H59" s="10">
        <v>0</v>
      </c>
      <c r="I59" s="10">
        <v>0</v>
      </c>
      <c r="J59" s="32"/>
      <c r="K59" s="10">
        <f t="shared" si="9"/>
        <v>3185.88026950828</v>
      </c>
      <c r="L59" s="32"/>
      <c r="M59" s="10">
        <f t="shared" si="10"/>
        <v>3185.88026950828</v>
      </c>
    </row>
    <row r="60" spans="1:13" s="1" customFormat="1" ht="10" x14ac:dyDescent="0.2">
      <c r="A60" s="9" t="s">
        <v>555</v>
      </c>
      <c r="B60" s="10">
        <v>0</v>
      </c>
      <c r="C60" s="10">
        <v>0</v>
      </c>
      <c r="D60" s="10">
        <v>3532.8210630406602</v>
      </c>
      <c r="E60" s="10">
        <v>0</v>
      </c>
      <c r="F60" s="10">
        <v>0</v>
      </c>
      <c r="G60" s="10">
        <v>0</v>
      </c>
      <c r="H60" s="10">
        <v>0</v>
      </c>
      <c r="I60" s="10">
        <v>0</v>
      </c>
      <c r="J60" s="32"/>
      <c r="K60" s="10">
        <f t="shared" si="9"/>
        <v>3532.8210630406602</v>
      </c>
      <c r="L60" s="32"/>
      <c r="M60" s="10">
        <f t="shared" si="10"/>
        <v>3532.8210630406602</v>
      </c>
    </row>
    <row r="61" spans="1:13" s="1" customFormat="1" ht="10.5" x14ac:dyDescent="0.25">
      <c r="A61" s="11" t="s">
        <v>556</v>
      </c>
      <c r="B61" s="12">
        <f t="shared" ref="B61:M61" si="13">SUM(B59:B60)</f>
        <v>0</v>
      </c>
      <c r="C61" s="12">
        <f t="shared" si="13"/>
        <v>0</v>
      </c>
      <c r="D61" s="12">
        <f t="shared" si="13"/>
        <v>6718.7013325489406</v>
      </c>
      <c r="E61" s="12">
        <f t="shared" si="13"/>
        <v>0</v>
      </c>
      <c r="F61" s="12">
        <f t="shared" si="13"/>
        <v>0</v>
      </c>
      <c r="G61" s="12">
        <f t="shared" si="13"/>
        <v>0</v>
      </c>
      <c r="H61" s="12">
        <f t="shared" si="13"/>
        <v>0</v>
      </c>
      <c r="I61" s="12">
        <f t="shared" si="13"/>
        <v>0</v>
      </c>
      <c r="J61" s="33">
        <f t="shared" si="13"/>
        <v>0</v>
      </c>
      <c r="K61" s="12">
        <f t="shared" si="9"/>
        <v>6718.7013325489406</v>
      </c>
      <c r="L61" s="33">
        <f t="shared" si="13"/>
        <v>0</v>
      </c>
      <c r="M61" s="12">
        <f t="shared" si="10"/>
        <v>6718.7013325489406</v>
      </c>
    </row>
    <row r="62" spans="1:13" s="1" customFormat="1" ht="10.5" x14ac:dyDescent="0.25">
      <c r="A62" s="8" t="s">
        <v>328</v>
      </c>
      <c r="B62" s="5"/>
      <c r="C62" s="5"/>
      <c r="D62" s="5"/>
      <c r="E62" s="5"/>
      <c r="F62" s="5"/>
      <c r="G62" s="5"/>
      <c r="H62" s="5"/>
      <c r="I62" s="5"/>
      <c r="J62" s="31"/>
      <c r="K62" s="5">
        <f t="shared" si="9"/>
        <v>0</v>
      </c>
      <c r="L62" s="31"/>
      <c r="M62" s="5">
        <f t="shared" si="10"/>
        <v>0</v>
      </c>
    </row>
    <row r="63" spans="1:13" s="1" customFormat="1" ht="10" x14ac:dyDescent="0.2">
      <c r="A63" s="9" t="s">
        <v>329</v>
      </c>
      <c r="B63" s="10">
        <v>0</v>
      </c>
      <c r="C63" s="10">
        <v>0</v>
      </c>
      <c r="D63" s="10">
        <v>11528.392622402385</v>
      </c>
      <c r="E63" s="10">
        <v>466.31601857002477</v>
      </c>
      <c r="F63" s="10">
        <v>2146.7732956994191</v>
      </c>
      <c r="G63" s="10">
        <v>6689.6632626549726</v>
      </c>
      <c r="H63" s="10">
        <v>0</v>
      </c>
      <c r="I63" s="10">
        <v>5639.9132515854708</v>
      </c>
      <c r="J63" s="32"/>
      <c r="K63" s="10">
        <f t="shared" si="9"/>
        <v>26471.058450912271</v>
      </c>
      <c r="L63" s="32"/>
      <c r="M63" s="10">
        <f t="shared" si="10"/>
        <v>26471.058450912271</v>
      </c>
    </row>
    <row r="64" spans="1:13" s="1" customFormat="1" ht="10" x14ac:dyDescent="0.2">
      <c r="A64" s="9" t="s">
        <v>330</v>
      </c>
      <c r="B64" s="10">
        <v>0</v>
      </c>
      <c r="C64" s="10">
        <v>0</v>
      </c>
      <c r="D64" s="10">
        <v>16734.546372010973</v>
      </c>
      <c r="E64" s="10">
        <v>1225.1440298013715</v>
      </c>
      <c r="F64" s="10">
        <v>8279.59597137114</v>
      </c>
      <c r="G64" s="10">
        <v>1803.2134061385784</v>
      </c>
      <c r="H64" s="10">
        <v>0</v>
      </c>
      <c r="I64" s="10">
        <v>29368.790644694898</v>
      </c>
      <c r="J64" s="32"/>
      <c r="K64" s="10">
        <f t="shared" si="9"/>
        <v>57411.290424016959</v>
      </c>
      <c r="L64" s="32"/>
      <c r="M64" s="10">
        <f t="shared" si="10"/>
        <v>57411.290424016959</v>
      </c>
    </row>
    <row r="65" spans="1:13" s="1" customFormat="1" ht="10" x14ac:dyDescent="0.2">
      <c r="A65" s="9" t="s">
        <v>331</v>
      </c>
      <c r="B65" s="10">
        <v>0</v>
      </c>
      <c r="C65" s="10">
        <v>0</v>
      </c>
      <c r="D65" s="10">
        <v>8277.4210365276576</v>
      </c>
      <c r="E65" s="10">
        <v>0</v>
      </c>
      <c r="F65" s="10">
        <v>7191.066552019538</v>
      </c>
      <c r="G65" s="10">
        <v>4819.07828679667</v>
      </c>
      <c r="H65" s="10">
        <v>0</v>
      </c>
      <c r="I65" s="10">
        <v>45751.183790364186</v>
      </c>
      <c r="J65" s="32"/>
      <c r="K65" s="10">
        <f t="shared" si="9"/>
        <v>66038.749665708048</v>
      </c>
      <c r="L65" s="32"/>
      <c r="M65" s="10">
        <f t="shared" si="10"/>
        <v>66038.749665708048</v>
      </c>
    </row>
    <row r="66" spans="1:13" s="1" customFormat="1" ht="10" x14ac:dyDescent="0.2">
      <c r="A66" s="9" t="s">
        <v>332</v>
      </c>
      <c r="B66" s="10">
        <v>0</v>
      </c>
      <c r="C66" s="10">
        <v>0</v>
      </c>
      <c r="D66" s="10">
        <v>18796.851207292351</v>
      </c>
      <c r="E66" s="10">
        <v>139.45602245319853</v>
      </c>
      <c r="F66" s="10">
        <v>683.77241202736582</v>
      </c>
      <c r="G66" s="10">
        <v>0</v>
      </c>
      <c r="H66" s="10">
        <v>0</v>
      </c>
      <c r="I66" s="10">
        <v>-4686.7748686029308</v>
      </c>
      <c r="J66" s="32"/>
      <c r="K66" s="10">
        <f t="shared" si="9"/>
        <v>14933.304773169988</v>
      </c>
      <c r="L66" s="32"/>
      <c r="M66" s="10">
        <f t="shared" si="10"/>
        <v>14933.304773169988</v>
      </c>
    </row>
    <row r="67" spans="1:13" s="1" customFormat="1" ht="10" x14ac:dyDescent="0.2">
      <c r="A67" s="9" t="s">
        <v>333</v>
      </c>
      <c r="B67" s="10">
        <v>0</v>
      </c>
      <c r="C67" s="10">
        <v>0</v>
      </c>
      <c r="D67" s="10">
        <v>569.30935350000004</v>
      </c>
      <c r="E67" s="10">
        <v>0</v>
      </c>
      <c r="F67" s="10">
        <v>1242.2604992655827</v>
      </c>
      <c r="G67" s="10">
        <v>0</v>
      </c>
      <c r="H67" s="10">
        <v>0</v>
      </c>
      <c r="I67" s="10">
        <v>1346.1625062848045</v>
      </c>
      <c r="J67" s="32"/>
      <c r="K67" s="10">
        <f t="shared" si="9"/>
        <v>3157.7323590503875</v>
      </c>
      <c r="L67" s="32"/>
      <c r="M67" s="10">
        <f t="shared" si="10"/>
        <v>3157.7323590503875</v>
      </c>
    </row>
    <row r="68" spans="1:13" s="1" customFormat="1" ht="10" x14ac:dyDescent="0.2">
      <c r="A68" s="9" t="s">
        <v>334</v>
      </c>
      <c r="B68" s="10">
        <v>0</v>
      </c>
      <c r="C68" s="10">
        <v>0</v>
      </c>
      <c r="D68" s="10">
        <v>7766.5042145074658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32"/>
      <c r="K68" s="10">
        <f t="shared" si="9"/>
        <v>7766.5042145074658</v>
      </c>
      <c r="L68" s="32"/>
      <c r="M68" s="10">
        <f t="shared" si="10"/>
        <v>7766.5042145074658</v>
      </c>
    </row>
    <row r="69" spans="1:13" s="1" customFormat="1" ht="10" x14ac:dyDescent="0.2">
      <c r="A69" s="9" t="s">
        <v>335</v>
      </c>
      <c r="B69" s="10">
        <v>0</v>
      </c>
      <c r="C69" s="10">
        <v>0</v>
      </c>
      <c r="D69" s="10">
        <v>85.535504198850958</v>
      </c>
      <c r="E69" s="10">
        <v>0</v>
      </c>
      <c r="F69" s="10">
        <v>0</v>
      </c>
      <c r="G69" s="10">
        <v>546.53299215961442</v>
      </c>
      <c r="H69" s="10">
        <v>0</v>
      </c>
      <c r="I69" s="10">
        <v>1772.7123462162174</v>
      </c>
      <c r="J69" s="32"/>
      <c r="K69" s="10">
        <f t="shared" si="9"/>
        <v>2404.7808425746825</v>
      </c>
      <c r="L69" s="32"/>
      <c r="M69" s="10">
        <f t="shared" si="10"/>
        <v>2404.7808425746825</v>
      </c>
    </row>
    <row r="70" spans="1:13" s="1" customFormat="1" ht="10" x14ac:dyDescent="0.2">
      <c r="A70" s="9" t="s">
        <v>428</v>
      </c>
      <c r="B70" s="10">
        <v>0</v>
      </c>
      <c r="C70" s="10">
        <v>0</v>
      </c>
      <c r="D70" s="10">
        <v>5446.6601935679673</v>
      </c>
      <c r="E70" s="10">
        <v>0</v>
      </c>
      <c r="F70" s="10">
        <v>0</v>
      </c>
      <c r="G70" s="10">
        <v>0</v>
      </c>
      <c r="H70" s="10">
        <v>0</v>
      </c>
      <c r="I70" s="10">
        <v>8977.6706668902534</v>
      </c>
      <c r="J70" s="32"/>
      <c r="K70" s="10">
        <f t="shared" si="9"/>
        <v>14424.33086045822</v>
      </c>
      <c r="L70" s="32"/>
      <c r="M70" s="10">
        <f t="shared" si="10"/>
        <v>14424.33086045822</v>
      </c>
    </row>
    <row r="71" spans="1:13" s="1" customFormat="1" ht="10" x14ac:dyDescent="0.2">
      <c r="A71" s="9" t="s">
        <v>336</v>
      </c>
      <c r="B71" s="10">
        <v>0</v>
      </c>
      <c r="C71" s="10">
        <v>0</v>
      </c>
      <c r="D71" s="10">
        <v>10872.473689896071</v>
      </c>
      <c r="E71" s="10">
        <v>0</v>
      </c>
      <c r="F71" s="10">
        <v>331.51227675033897</v>
      </c>
      <c r="G71" s="10">
        <v>1598.8563677538739</v>
      </c>
      <c r="H71" s="10">
        <v>0</v>
      </c>
      <c r="I71" s="10">
        <v>4521.5239101806937</v>
      </c>
      <c r="J71" s="32"/>
      <c r="K71" s="10">
        <f t="shared" si="9"/>
        <v>17324.366244580979</v>
      </c>
      <c r="L71" s="32"/>
      <c r="M71" s="10">
        <f t="shared" si="10"/>
        <v>17324.366244580979</v>
      </c>
    </row>
    <row r="72" spans="1:13" s="1" customFormat="1" ht="10.5" x14ac:dyDescent="0.25">
      <c r="A72" s="11" t="s">
        <v>337</v>
      </c>
      <c r="B72" s="12">
        <f t="shared" ref="B72:M72" si="14">SUM(B63:B71)</f>
        <v>0</v>
      </c>
      <c r="C72" s="12">
        <f t="shared" si="14"/>
        <v>0</v>
      </c>
      <c r="D72" s="12">
        <f t="shared" si="14"/>
        <v>80077.694193903721</v>
      </c>
      <c r="E72" s="12">
        <f t="shared" si="14"/>
        <v>1830.9160708245947</v>
      </c>
      <c r="F72" s="12">
        <f t="shared" si="14"/>
        <v>19874.981007133385</v>
      </c>
      <c r="G72" s="12">
        <f t="shared" si="14"/>
        <v>15457.344315503709</v>
      </c>
      <c r="H72" s="12">
        <f t="shared" si="14"/>
        <v>0</v>
      </c>
      <c r="I72" s="12">
        <f t="shared" si="14"/>
        <v>92691.182247613586</v>
      </c>
      <c r="J72" s="33">
        <f t="shared" si="14"/>
        <v>0</v>
      </c>
      <c r="K72" s="12">
        <f t="shared" si="9"/>
        <v>209932.11783497897</v>
      </c>
      <c r="L72" s="33">
        <f t="shared" si="14"/>
        <v>0</v>
      </c>
      <c r="M72" s="12">
        <f t="shared" si="10"/>
        <v>209932.11783497897</v>
      </c>
    </row>
    <row r="73" spans="1:13" s="1" customFormat="1" ht="10.5" x14ac:dyDescent="0.25">
      <c r="A73" s="8" t="s">
        <v>338</v>
      </c>
      <c r="B73" s="5"/>
      <c r="C73" s="5"/>
      <c r="D73" s="5"/>
      <c r="E73" s="5"/>
      <c r="F73" s="5"/>
      <c r="G73" s="5"/>
      <c r="H73" s="5"/>
      <c r="I73" s="5"/>
      <c r="J73" s="31"/>
      <c r="K73" s="5">
        <f t="shared" si="9"/>
        <v>0</v>
      </c>
      <c r="L73" s="31"/>
      <c r="M73" s="5">
        <f t="shared" si="10"/>
        <v>0</v>
      </c>
    </row>
    <row r="74" spans="1:13" s="1" customFormat="1" ht="10" x14ac:dyDescent="0.2">
      <c r="A74" s="9" t="s">
        <v>339</v>
      </c>
      <c r="B74" s="10">
        <v>30969.5</v>
      </c>
      <c r="C74" s="10">
        <v>0</v>
      </c>
      <c r="D74" s="10">
        <v>47873.941978863535</v>
      </c>
      <c r="E74" s="10">
        <v>0</v>
      </c>
      <c r="F74" s="10">
        <v>2247.5046951378599</v>
      </c>
      <c r="G74" s="10">
        <v>64.600661605523996</v>
      </c>
      <c r="H74" s="10">
        <v>0</v>
      </c>
      <c r="I74" s="10">
        <v>0</v>
      </c>
      <c r="J74" s="32"/>
      <c r="K74" s="10">
        <f t="shared" si="9"/>
        <v>50186.04733560692</v>
      </c>
      <c r="L74" s="32"/>
      <c r="M74" s="10">
        <f t="shared" si="10"/>
        <v>81155.547335606912</v>
      </c>
    </row>
    <row r="75" spans="1:13" s="1" customFormat="1" ht="10" x14ac:dyDescent="0.2">
      <c r="A75" s="9" t="s">
        <v>340</v>
      </c>
      <c r="B75" s="10">
        <v>0</v>
      </c>
      <c r="C75" s="10">
        <v>0</v>
      </c>
      <c r="D75" s="10">
        <v>38736.718222231044</v>
      </c>
      <c r="E75" s="10">
        <v>0</v>
      </c>
      <c r="F75" s="10">
        <v>0</v>
      </c>
      <c r="G75" s="10">
        <v>0</v>
      </c>
      <c r="H75" s="10">
        <v>0</v>
      </c>
      <c r="I75" s="10">
        <v>0</v>
      </c>
      <c r="J75" s="32"/>
      <c r="K75" s="10">
        <f t="shared" si="9"/>
        <v>38736.718222231044</v>
      </c>
      <c r="L75" s="32"/>
      <c r="M75" s="10">
        <f t="shared" si="10"/>
        <v>38736.718222231044</v>
      </c>
    </row>
    <row r="76" spans="1:13" s="1" customFormat="1" ht="10" x14ac:dyDescent="0.2">
      <c r="A76" s="9" t="s">
        <v>341</v>
      </c>
      <c r="B76" s="10">
        <v>46471.75</v>
      </c>
      <c r="C76" s="10">
        <v>0</v>
      </c>
      <c r="D76" s="10">
        <v>144046.16972495223</v>
      </c>
      <c r="E76" s="10">
        <v>0</v>
      </c>
      <c r="F76" s="10">
        <v>0</v>
      </c>
      <c r="G76" s="10">
        <v>0</v>
      </c>
      <c r="H76" s="10">
        <v>0</v>
      </c>
      <c r="I76" s="10">
        <v>150.07640615099999</v>
      </c>
      <c r="J76" s="32"/>
      <c r="K76" s="10">
        <f t="shared" si="9"/>
        <v>144196.24613110322</v>
      </c>
      <c r="L76" s="32"/>
      <c r="M76" s="10">
        <f t="shared" si="10"/>
        <v>190667.99613110322</v>
      </c>
    </row>
    <row r="77" spans="1:13" s="1" customFormat="1" ht="10" x14ac:dyDescent="0.2">
      <c r="A77" s="9" t="s">
        <v>557</v>
      </c>
      <c r="B77" s="10">
        <v>0</v>
      </c>
      <c r="C77" s="10">
        <v>0</v>
      </c>
      <c r="D77" s="10">
        <v>1526.2233957886494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32"/>
      <c r="K77" s="10">
        <f t="shared" ref="K77:K108" si="15">SUM(D77:J77)</f>
        <v>1526.2233957886494</v>
      </c>
      <c r="L77" s="32"/>
      <c r="M77" s="10">
        <f t="shared" ref="M77:M108" si="16">SUM(B77,K77,L77)+C77</f>
        <v>1526.2233957886494</v>
      </c>
    </row>
    <row r="78" spans="1:13" s="1" customFormat="1" ht="10" x14ac:dyDescent="0.2">
      <c r="A78" s="9" t="s">
        <v>342</v>
      </c>
      <c r="B78" s="10">
        <v>33675</v>
      </c>
      <c r="C78" s="10">
        <v>1558.85715</v>
      </c>
      <c r="D78" s="10">
        <v>1282.9637058202979</v>
      </c>
      <c r="E78" s="10">
        <v>293.66219999999998</v>
      </c>
      <c r="F78" s="10">
        <v>5958.2689554518638</v>
      </c>
      <c r="G78" s="10">
        <v>24749.169012897528</v>
      </c>
      <c r="H78" s="10">
        <v>0</v>
      </c>
      <c r="I78" s="10">
        <v>2136.3632932637024</v>
      </c>
      <c r="J78" s="32"/>
      <c r="K78" s="10">
        <f t="shared" si="15"/>
        <v>34420.427167433394</v>
      </c>
      <c r="L78" s="32"/>
      <c r="M78" s="10">
        <f t="shared" si="16"/>
        <v>69654.284317433398</v>
      </c>
    </row>
    <row r="79" spans="1:13" s="1" customFormat="1" ht="10" x14ac:dyDescent="0.2">
      <c r="A79" s="9" t="s">
        <v>558</v>
      </c>
      <c r="B79" s="10">
        <v>65000</v>
      </c>
      <c r="C79" s="10">
        <v>0</v>
      </c>
      <c r="D79" s="10">
        <v>0</v>
      </c>
      <c r="E79" s="10">
        <v>0</v>
      </c>
      <c r="F79" s="10">
        <v>0</v>
      </c>
      <c r="G79" s="10">
        <v>0</v>
      </c>
      <c r="H79" s="10">
        <v>0</v>
      </c>
      <c r="I79" s="10">
        <v>0</v>
      </c>
      <c r="J79" s="32"/>
      <c r="K79" s="10">
        <f t="shared" si="15"/>
        <v>0</v>
      </c>
      <c r="L79" s="32"/>
      <c r="M79" s="10">
        <f t="shared" si="16"/>
        <v>65000</v>
      </c>
    </row>
    <row r="80" spans="1:13" s="1" customFormat="1" ht="10.5" x14ac:dyDescent="0.25">
      <c r="A80" s="11" t="s">
        <v>343</v>
      </c>
      <c r="B80" s="12">
        <f t="shared" ref="B80:M80" si="17">SUM(B74:B79)</f>
        <v>176116.25</v>
      </c>
      <c r="C80" s="12">
        <f t="shared" si="17"/>
        <v>1558.85715</v>
      </c>
      <c r="D80" s="12">
        <f t="shared" si="17"/>
        <v>233466.01702765576</v>
      </c>
      <c r="E80" s="12">
        <f t="shared" si="17"/>
        <v>293.66219999999998</v>
      </c>
      <c r="F80" s="12">
        <f t="shared" si="17"/>
        <v>8205.7736505897228</v>
      </c>
      <c r="G80" s="12">
        <f t="shared" si="17"/>
        <v>24813.769674503052</v>
      </c>
      <c r="H80" s="12">
        <f t="shared" si="17"/>
        <v>0</v>
      </c>
      <c r="I80" s="12">
        <f t="shared" si="17"/>
        <v>2286.4396994147023</v>
      </c>
      <c r="J80" s="33">
        <f t="shared" si="17"/>
        <v>0</v>
      </c>
      <c r="K80" s="12">
        <f t="shared" si="15"/>
        <v>269065.66225216322</v>
      </c>
      <c r="L80" s="33">
        <f t="shared" si="17"/>
        <v>0</v>
      </c>
      <c r="M80" s="12">
        <f t="shared" si="16"/>
        <v>446740.76940216322</v>
      </c>
    </row>
    <row r="81" spans="1:13" s="1" customFormat="1" ht="10.5" x14ac:dyDescent="0.25">
      <c r="A81" s="8" t="s">
        <v>344</v>
      </c>
      <c r="B81" s="5"/>
      <c r="C81" s="5"/>
      <c r="D81" s="5"/>
      <c r="E81" s="5"/>
      <c r="F81" s="5"/>
      <c r="G81" s="5"/>
      <c r="H81" s="5"/>
      <c r="I81" s="5"/>
      <c r="J81" s="31"/>
      <c r="K81" s="5">
        <f t="shared" si="15"/>
        <v>0</v>
      </c>
      <c r="L81" s="31"/>
      <c r="M81" s="5">
        <f t="shared" si="16"/>
        <v>0</v>
      </c>
    </row>
    <row r="82" spans="1:13" s="1" customFormat="1" ht="10" x14ac:dyDescent="0.2">
      <c r="A82" s="9" t="s">
        <v>345</v>
      </c>
      <c r="B82" s="10">
        <v>0</v>
      </c>
      <c r="C82" s="10">
        <v>0</v>
      </c>
      <c r="D82" s="10">
        <v>4070.9736484829928</v>
      </c>
      <c r="E82" s="10">
        <v>56.033805789156006</v>
      </c>
      <c r="F82" s="10">
        <v>48.494649577482768</v>
      </c>
      <c r="G82" s="10">
        <v>2928.8803118448031</v>
      </c>
      <c r="H82" s="10">
        <v>0</v>
      </c>
      <c r="I82" s="10">
        <v>12057.019168549878</v>
      </c>
      <c r="J82" s="32"/>
      <c r="K82" s="10">
        <f t="shared" si="15"/>
        <v>19161.401584244311</v>
      </c>
      <c r="L82" s="32"/>
      <c r="M82" s="10">
        <f t="shared" si="16"/>
        <v>19161.401584244311</v>
      </c>
    </row>
    <row r="83" spans="1:13" s="1" customFormat="1" ht="10" x14ac:dyDescent="0.2">
      <c r="A83" s="9" t="s">
        <v>346</v>
      </c>
      <c r="B83" s="10">
        <v>0</v>
      </c>
      <c r="C83" s="10">
        <v>0</v>
      </c>
      <c r="D83" s="10">
        <v>5065.1036815095113</v>
      </c>
      <c r="E83" s="10">
        <v>0</v>
      </c>
      <c r="F83" s="10">
        <v>0</v>
      </c>
      <c r="G83" s="10">
        <v>4187.3091092793193</v>
      </c>
      <c r="H83" s="10">
        <v>0</v>
      </c>
      <c r="I83" s="10">
        <v>655.07619310034681</v>
      </c>
      <c r="J83" s="32"/>
      <c r="K83" s="10">
        <f t="shared" si="15"/>
        <v>9907.4889838891777</v>
      </c>
      <c r="L83" s="32"/>
      <c r="M83" s="10">
        <f t="shared" si="16"/>
        <v>9907.4889838891777</v>
      </c>
    </row>
    <row r="84" spans="1:13" s="1" customFormat="1" ht="10" x14ac:dyDescent="0.2">
      <c r="A84" s="9" t="s">
        <v>347</v>
      </c>
      <c r="B84" s="10">
        <v>0</v>
      </c>
      <c r="C84" s="10">
        <v>0</v>
      </c>
      <c r="D84" s="10">
        <v>293.27027684502332</v>
      </c>
      <c r="E84" s="10">
        <v>0</v>
      </c>
      <c r="F84" s="10">
        <v>115.70571416588663</v>
      </c>
      <c r="G84" s="10">
        <v>269.44592294191426</v>
      </c>
      <c r="H84" s="10">
        <v>0</v>
      </c>
      <c r="I84" s="10">
        <v>5693.9895357428122</v>
      </c>
      <c r="J84" s="32"/>
      <c r="K84" s="10">
        <f t="shared" si="15"/>
        <v>6372.4114496956363</v>
      </c>
      <c r="L84" s="32"/>
      <c r="M84" s="10">
        <f t="shared" si="16"/>
        <v>6372.4114496956363</v>
      </c>
    </row>
    <row r="85" spans="1:13" s="1" customFormat="1" ht="10" x14ac:dyDescent="0.2">
      <c r="A85" s="9" t="s">
        <v>348</v>
      </c>
      <c r="B85" s="10">
        <v>0</v>
      </c>
      <c r="C85" s="10">
        <v>0</v>
      </c>
      <c r="D85" s="10">
        <v>118372.95315455561</v>
      </c>
      <c r="E85" s="10">
        <v>8364.4017139106782</v>
      </c>
      <c r="F85" s="10">
        <v>1499.9852012787019</v>
      </c>
      <c r="G85" s="10">
        <v>0</v>
      </c>
      <c r="H85" s="10">
        <v>0</v>
      </c>
      <c r="I85" s="10">
        <v>34457.428421690936</v>
      </c>
      <c r="J85" s="32"/>
      <c r="K85" s="10">
        <f t="shared" si="15"/>
        <v>162694.76849143591</v>
      </c>
      <c r="L85" s="32"/>
      <c r="M85" s="10">
        <f t="shared" si="16"/>
        <v>162694.76849143591</v>
      </c>
    </row>
    <row r="86" spans="1:13" s="1" customFormat="1" ht="10" x14ac:dyDescent="0.2">
      <c r="A86" s="9" t="s">
        <v>349</v>
      </c>
      <c r="B86" s="10">
        <v>0</v>
      </c>
      <c r="C86" s="10">
        <v>0</v>
      </c>
      <c r="D86" s="10">
        <v>0</v>
      </c>
      <c r="E86" s="10">
        <v>0</v>
      </c>
      <c r="F86" s="10">
        <v>0</v>
      </c>
      <c r="G86" s="10">
        <v>344.92836125887209</v>
      </c>
      <c r="H86" s="10">
        <v>0</v>
      </c>
      <c r="I86" s="10">
        <v>0</v>
      </c>
      <c r="J86" s="32"/>
      <c r="K86" s="10">
        <f t="shared" si="15"/>
        <v>344.92836125887209</v>
      </c>
      <c r="L86" s="32"/>
      <c r="M86" s="10">
        <f t="shared" si="16"/>
        <v>344.92836125887209</v>
      </c>
    </row>
    <row r="87" spans="1:13" s="1" customFormat="1" ht="10" x14ac:dyDescent="0.2">
      <c r="A87" s="9" t="s">
        <v>435</v>
      </c>
      <c r="B87" s="10">
        <v>0</v>
      </c>
      <c r="C87" s="10">
        <v>0</v>
      </c>
      <c r="D87" s="10">
        <v>1698.5526819315389</v>
      </c>
      <c r="E87" s="10">
        <v>0</v>
      </c>
      <c r="F87" s="10">
        <v>0</v>
      </c>
      <c r="G87" s="10">
        <v>0</v>
      </c>
      <c r="H87" s="10">
        <v>0</v>
      </c>
      <c r="I87" s="10">
        <v>0</v>
      </c>
      <c r="J87" s="32"/>
      <c r="K87" s="10">
        <f t="shared" si="15"/>
        <v>1698.5526819315389</v>
      </c>
      <c r="L87" s="32"/>
      <c r="M87" s="10">
        <f t="shared" si="16"/>
        <v>1698.5526819315389</v>
      </c>
    </row>
    <row r="88" spans="1:13" s="1" customFormat="1" ht="10.5" x14ac:dyDescent="0.25">
      <c r="A88" s="11" t="s">
        <v>350</v>
      </c>
      <c r="B88" s="12">
        <f t="shared" ref="B88:M88" si="18">SUM(B82:B87)</f>
        <v>0</v>
      </c>
      <c r="C88" s="12">
        <f t="shared" si="18"/>
        <v>0</v>
      </c>
      <c r="D88" s="12">
        <f t="shared" si="18"/>
        <v>129500.85344332468</v>
      </c>
      <c r="E88" s="12">
        <f t="shared" si="18"/>
        <v>8420.4355196998349</v>
      </c>
      <c r="F88" s="12">
        <f t="shared" si="18"/>
        <v>1664.1855650220714</v>
      </c>
      <c r="G88" s="12">
        <f t="shared" si="18"/>
        <v>7730.5637053249093</v>
      </c>
      <c r="H88" s="12">
        <f t="shared" si="18"/>
        <v>0</v>
      </c>
      <c r="I88" s="12">
        <f t="shared" si="18"/>
        <v>52863.51331908397</v>
      </c>
      <c r="J88" s="33">
        <f t="shared" si="18"/>
        <v>0</v>
      </c>
      <c r="K88" s="12">
        <f t="shared" si="15"/>
        <v>200179.55155245546</v>
      </c>
      <c r="L88" s="33">
        <f t="shared" si="18"/>
        <v>0</v>
      </c>
      <c r="M88" s="12">
        <f t="shared" si="16"/>
        <v>200179.55155245546</v>
      </c>
    </row>
    <row r="89" spans="1:13" s="1" customFormat="1" ht="10.5" x14ac:dyDescent="0.25">
      <c r="A89" s="8" t="s">
        <v>351</v>
      </c>
      <c r="B89" s="5"/>
      <c r="C89" s="5"/>
      <c r="D89" s="5"/>
      <c r="E89" s="5"/>
      <c r="F89" s="5"/>
      <c r="G89" s="5"/>
      <c r="H89" s="5"/>
      <c r="I89" s="5"/>
      <c r="J89" s="31"/>
      <c r="K89" s="5">
        <f t="shared" si="15"/>
        <v>0</v>
      </c>
      <c r="L89" s="31"/>
      <c r="M89" s="5">
        <f t="shared" si="16"/>
        <v>0</v>
      </c>
    </row>
    <row r="90" spans="1:13" s="1" customFormat="1" ht="10" x14ac:dyDescent="0.2">
      <c r="A90" s="9" t="s">
        <v>352</v>
      </c>
      <c r="B90" s="10">
        <v>5420.63</v>
      </c>
      <c r="C90" s="10">
        <v>0</v>
      </c>
      <c r="D90" s="10">
        <v>57562.931128450495</v>
      </c>
      <c r="E90" s="10">
        <v>0</v>
      </c>
      <c r="F90" s="10">
        <v>9.2108317918502998</v>
      </c>
      <c r="G90" s="10">
        <v>1754.136788031434</v>
      </c>
      <c r="H90" s="10">
        <v>0</v>
      </c>
      <c r="I90" s="10">
        <v>3327.0624860318776</v>
      </c>
      <c r="J90" s="32"/>
      <c r="K90" s="10">
        <f t="shared" si="15"/>
        <v>62653.341234305663</v>
      </c>
      <c r="L90" s="32"/>
      <c r="M90" s="10">
        <f t="shared" si="16"/>
        <v>68073.97123430566</v>
      </c>
    </row>
    <row r="91" spans="1:13" s="1" customFormat="1" ht="10" x14ac:dyDescent="0.2">
      <c r="A91" s="9" t="s">
        <v>353</v>
      </c>
      <c r="B91" s="10">
        <v>0</v>
      </c>
      <c r="C91" s="10">
        <v>0</v>
      </c>
      <c r="D91" s="10">
        <v>15305.946703310326</v>
      </c>
      <c r="E91" s="10">
        <v>0</v>
      </c>
      <c r="F91" s="10">
        <v>0</v>
      </c>
      <c r="G91" s="10">
        <v>0</v>
      </c>
      <c r="H91" s="10">
        <v>0</v>
      </c>
      <c r="I91" s="10">
        <v>0</v>
      </c>
      <c r="J91" s="32"/>
      <c r="K91" s="10">
        <f t="shared" si="15"/>
        <v>15305.946703310326</v>
      </c>
      <c r="L91" s="32"/>
      <c r="M91" s="10">
        <f t="shared" si="16"/>
        <v>15305.946703310326</v>
      </c>
    </row>
    <row r="92" spans="1:13" s="1" customFormat="1" ht="10" x14ac:dyDescent="0.2">
      <c r="A92" s="9" t="s">
        <v>559</v>
      </c>
      <c r="B92" s="10">
        <v>1362.27</v>
      </c>
      <c r="C92" s="10">
        <v>0</v>
      </c>
      <c r="D92" s="10">
        <v>0</v>
      </c>
      <c r="E92" s="10">
        <v>0</v>
      </c>
      <c r="F92" s="10">
        <v>0</v>
      </c>
      <c r="G92" s="10">
        <v>0</v>
      </c>
      <c r="H92" s="10">
        <v>0</v>
      </c>
      <c r="I92" s="10">
        <v>0</v>
      </c>
      <c r="J92" s="32"/>
      <c r="K92" s="10">
        <f t="shared" si="15"/>
        <v>0</v>
      </c>
      <c r="L92" s="32"/>
      <c r="M92" s="10">
        <f t="shared" si="16"/>
        <v>1362.27</v>
      </c>
    </row>
    <row r="93" spans="1:13" s="1" customFormat="1" ht="10" x14ac:dyDescent="0.2">
      <c r="A93" s="9" t="s">
        <v>354</v>
      </c>
      <c r="B93" s="10">
        <v>0</v>
      </c>
      <c r="C93" s="10">
        <v>0</v>
      </c>
      <c r="D93" s="10">
        <v>5326.6125579873769</v>
      </c>
      <c r="E93" s="10">
        <v>0</v>
      </c>
      <c r="F93" s="10">
        <v>0</v>
      </c>
      <c r="G93" s="10">
        <v>117.11826209533091</v>
      </c>
      <c r="H93" s="10">
        <v>1060.5058309643071</v>
      </c>
      <c r="I93" s="10">
        <v>113.49824215462779</v>
      </c>
      <c r="J93" s="32"/>
      <c r="K93" s="10">
        <f t="shared" si="15"/>
        <v>6617.7348932016421</v>
      </c>
      <c r="L93" s="32"/>
      <c r="M93" s="10">
        <f t="shared" si="16"/>
        <v>6617.7348932016421</v>
      </c>
    </row>
    <row r="94" spans="1:13" s="1" customFormat="1" ht="10" x14ac:dyDescent="0.2">
      <c r="A94" s="9" t="s">
        <v>355</v>
      </c>
      <c r="B94" s="10">
        <v>0</v>
      </c>
      <c r="C94" s="10">
        <v>0</v>
      </c>
      <c r="D94" s="10">
        <v>0</v>
      </c>
      <c r="E94" s="10">
        <v>0</v>
      </c>
      <c r="F94" s="10">
        <v>0</v>
      </c>
      <c r="G94" s="10">
        <v>6133.413515475524</v>
      </c>
      <c r="H94" s="10">
        <v>0</v>
      </c>
      <c r="I94" s="10">
        <v>0</v>
      </c>
      <c r="J94" s="32"/>
      <c r="K94" s="10">
        <f t="shared" si="15"/>
        <v>6133.413515475524</v>
      </c>
      <c r="L94" s="32"/>
      <c r="M94" s="10">
        <f t="shared" si="16"/>
        <v>6133.413515475524</v>
      </c>
    </row>
    <row r="95" spans="1:13" s="1" customFormat="1" ht="10" x14ac:dyDescent="0.2">
      <c r="A95" s="9" t="s">
        <v>560</v>
      </c>
      <c r="B95" s="10">
        <v>1342.5</v>
      </c>
      <c r="C95" s="10">
        <v>0</v>
      </c>
      <c r="D95" s="10">
        <v>0</v>
      </c>
      <c r="E95" s="10">
        <v>166.47899826706811</v>
      </c>
      <c r="F95" s="10">
        <v>0</v>
      </c>
      <c r="G95" s="10">
        <v>0</v>
      </c>
      <c r="H95" s="10">
        <v>0</v>
      </c>
      <c r="I95" s="10">
        <v>0</v>
      </c>
      <c r="J95" s="32"/>
      <c r="K95" s="10">
        <f t="shared" si="15"/>
        <v>166.47899826706811</v>
      </c>
      <c r="L95" s="32"/>
      <c r="M95" s="10">
        <f t="shared" si="16"/>
        <v>1508.9789982670682</v>
      </c>
    </row>
    <row r="96" spans="1:13" s="1" customFormat="1" ht="10" x14ac:dyDescent="0.2">
      <c r="A96" s="9" t="s">
        <v>561</v>
      </c>
      <c r="B96" s="10">
        <v>0</v>
      </c>
      <c r="C96" s="10">
        <v>0</v>
      </c>
      <c r="D96" s="10">
        <v>0</v>
      </c>
      <c r="E96" s="10">
        <v>0</v>
      </c>
      <c r="F96" s="10">
        <v>0</v>
      </c>
      <c r="G96" s="10">
        <v>238.13843007132749</v>
      </c>
      <c r="H96" s="10">
        <v>0</v>
      </c>
      <c r="I96" s="10">
        <v>0</v>
      </c>
      <c r="J96" s="32"/>
      <c r="K96" s="10">
        <f t="shared" si="15"/>
        <v>238.13843007132749</v>
      </c>
      <c r="L96" s="32"/>
      <c r="M96" s="10">
        <f t="shared" si="16"/>
        <v>238.13843007132749</v>
      </c>
    </row>
    <row r="97" spans="1:13" s="1" customFormat="1" ht="10" x14ac:dyDescent="0.2">
      <c r="A97" s="9" t="s">
        <v>356</v>
      </c>
      <c r="B97" s="10">
        <v>0</v>
      </c>
      <c r="C97" s="10">
        <v>0</v>
      </c>
      <c r="D97" s="10">
        <v>16474.179330893661</v>
      </c>
      <c r="E97" s="10">
        <v>75.639799904099164</v>
      </c>
      <c r="F97" s="10">
        <v>444.75442502621814</v>
      </c>
      <c r="G97" s="10">
        <v>0</v>
      </c>
      <c r="H97" s="10">
        <v>0</v>
      </c>
      <c r="I97" s="10">
        <v>3529.359391464724</v>
      </c>
      <c r="J97" s="32"/>
      <c r="K97" s="10">
        <f t="shared" si="15"/>
        <v>20523.932947288704</v>
      </c>
      <c r="L97" s="32"/>
      <c r="M97" s="10">
        <f t="shared" si="16"/>
        <v>20523.932947288704</v>
      </c>
    </row>
    <row r="98" spans="1:13" s="1" customFormat="1" ht="10" x14ac:dyDescent="0.2">
      <c r="A98" s="9" t="s">
        <v>562</v>
      </c>
      <c r="B98" s="10">
        <v>0</v>
      </c>
      <c r="C98" s="10">
        <v>0</v>
      </c>
      <c r="D98" s="10">
        <v>0</v>
      </c>
      <c r="E98" s="10">
        <v>0</v>
      </c>
      <c r="F98" s="10">
        <v>0</v>
      </c>
      <c r="G98" s="10">
        <v>8.1369035582039995E-3</v>
      </c>
      <c r="H98" s="10">
        <v>0</v>
      </c>
      <c r="I98" s="10">
        <v>0</v>
      </c>
      <c r="J98" s="32"/>
      <c r="K98" s="10">
        <f t="shared" si="15"/>
        <v>8.1369035582039995E-3</v>
      </c>
      <c r="L98" s="32"/>
      <c r="M98" s="10">
        <f t="shared" si="16"/>
        <v>8.1369035582039995E-3</v>
      </c>
    </row>
    <row r="99" spans="1:13" s="1" customFormat="1" ht="10" x14ac:dyDescent="0.2">
      <c r="A99" s="9" t="s">
        <v>357</v>
      </c>
      <c r="B99" s="10">
        <v>0</v>
      </c>
      <c r="C99" s="10">
        <v>0</v>
      </c>
      <c r="D99" s="10">
        <v>5013.1667444990062</v>
      </c>
      <c r="E99" s="10">
        <v>0</v>
      </c>
      <c r="F99" s="10">
        <v>2894.21266044</v>
      </c>
      <c r="G99" s="10">
        <v>0</v>
      </c>
      <c r="H99" s="10">
        <v>0</v>
      </c>
      <c r="I99" s="10">
        <v>0</v>
      </c>
      <c r="J99" s="32"/>
      <c r="K99" s="10">
        <f t="shared" si="15"/>
        <v>7907.3794049390062</v>
      </c>
      <c r="L99" s="32"/>
      <c r="M99" s="10">
        <f t="shared" si="16"/>
        <v>7907.3794049390062</v>
      </c>
    </row>
    <row r="100" spans="1:13" s="1" customFormat="1" ht="10" x14ac:dyDescent="0.2">
      <c r="A100" s="9" t="s">
        <v>563</v>
      </c>
      <c r="B100" s="10">
        <v>0</v>
      </c>
      <c r="C100" s="10">
        <v>0</v>
      </c>
      <c r="D100" s="10">
        <v>212.46048057505163</v>
      </c>
      <c r="E100" s="10">
        <v>0</v>
      </c>
      <c r="F100" s="10">
        <v>0</v>
      </c>
      <c r="G100" s="10">
        <v>0</v>
      </c>
      <c r="H100" s="10">
        <v>0</v>
      </c>
      <c r="I100" s="10">
        <v>0</v>
      </c>
      <c r="J100" s="32"/>
      <c r="K100" s="10">
        <f t="shared" si="15"/>
        <v>212.46048057505163</v>
      </c>
      <c r="L100" s="32"/>
      <c r="M100" s="10">
        <f t="shared" si="16"/>
        <v>212.46048057505163</v>
      </c>
    </row>
    <row r="101" spans="1:13" s="1" customFormat="1" ht="10.5" x14ac:dyDescent="0.25">
      <c r="A101" s="11" t="s">
        <v>358</v>
      </c>
      <c r="B101" s="12">
        <f t="shared" ref="B101:M101" si="19">SUM(B90:B100)</f>
        <v>8125.4</v>
      </c>
      <c r="C101" s="12">
        <f t="shared" si="19"/>
        <v>0</v>
      </c>
      <c r="D101" s="12">
        <f t="shared" si="19"/>
        <v>99895.29694571592</v>
      </c>
      <c r="E101" s="12">
        <f t="shared" si="19"/>
        <v>242.11879817116727</v>
      </c>
      <c r="F101" s="12">
        <f t="shared" si="19"/>
        <v>3348.1779172580686</v>
      </c>
      <c r="G101" s="12">
        <f t="shared" si="19"/>
        <v>8242.8151325771742</v>
      </c>
      <c r="H101" s="12">
        <f t="shared" si="19"/>
        <v>1060.5058309643071</v>
      </c>
      <c r="I101" s="12">
        <f t="shared" si="19"/>
        <v>6969.9201196512295</v>
      </c>
      <c r="J101" s="33">
        <f t="shared" si="19"/>
        <v>0</v>
      </c>
      <c r="K101" s="12">
        <f t="shared" si="15"/>
        <v>119758.83474433787</v>
      </c>
      <c r="L101" s="33">
        <f t="shared" si="19"/>
        <v>0</v>
      </c>
      <c r="M101" s="12">
        <f t="shared" si="16"/>
        <v>127884.23474433787</v>
      </c>
    </row>
    <row r="102" spans="1:13" s="1" customFormat="1" ht="10.5" x14ac:dyDescent="0.25">
      <c r="A102" s="8" t="s">
        <v>564</v>
      </c>
      <c r="B102" s="5"/>
      <c r="C102" s="5"/>
      <c r="D102" s="5"/>
      <c r="E102" s="5"/>
      <c r="F102" s="5"/>
      <c r="G102" s="5"/>
      <c r="H102" s="5"/>
      <c r="I102" s="5"/>
      <c r="J102" s="31"/>
      <c r="K102" s="5">
        <f t="shared" si="15"/>
        <v>0</v>
      </c>
      <c r="L102" s="31"/>
      <c r="M102" s="5">
        <f t="shared" si="16"/>
        <v>0</v>
      </c>
    </row>
    <row r="103" spans="1:13" s="1" customFormat="1" ht="10" x14ac:dyDescent="0.2">
      <c r="A103" s="9" t="s">
        <v>565</v>
      </c>
      <c r="B103" s="10">
        <v>0</v>
      </c>
      <c r="C103" s="10">
        <v>0</v>
      </c>
      <c r="D103" s="10">
        <v>78.700417769717944</v>
      </c>
      <c r="E103" s="10">
        <v>0</v>
      </c>
      <c r="F103" s="10">
        <v>0</v>
      </c>
      <c r="G103" s="10">
        <v>962.65078972033427</v>
      </c>
      <c r="H103" s="10">
        <v>0</v>
      </c>
      <c r="I103" s="10">
        <v>0</v>
      </c>
      <c r="J103" s="32"/>
      <c r="K103" s="10">
        <f t="shared" si="15"/>
        <v>1041.3512074900523</v>
      </c>
      <c r="L103" s="32"/>
      <c r="M103" s="10">
        <f t="shared" si="16"/>
        <v>1041.3512074900523</v>
      </c>
    </row>
    <row r="104" spans="1:13" s="1" customFormat="1" ht="10.5" x14ac:dyDescent="0.25">
      <c r="A104" s="11" t="s">
        <v>566</v>
      </c>
      <c r="B104" s="12">
        <f t="shared" ref="B104:M104" si="20">SUM(B103)</f>
        <v>0</v>
      </c>
      <c r="C104" s="12">
        <f t="shared" si="20"/>
        <v>0</v>
      </c>
      <c r="D104" s="12">
        <f t="shared" si="20"/>
        <v>78.700417769717944</v>
      </c>
      <c r="E104" s="12">
        <f t="shared" si="20"/>
        <v>0</v>
      </c>
      <c r="F104" s="12">
        <f t="shared" si="20"/>
        <v>0</v>
      </c>
      <c r="G104" s="12">
        <f t="shared" si="20"/>
        <v>962.65078972033427</v>
      </c>
      <c r="H104" s="12">
        <f t="shared" si="20"/>
        <v>0</v>
      </c>
      <c r="I104" s="12">
        <f t="shared" si="20"/>
        <v>0</v>
      </c>
      <c r="J104" s="33">
        <f t="shared" si="20"/>
        <v>0</v>
      </c>
      <c r="K104" s="12">
        <f t="shared" si="15"/>
        <v>1041.3512074900523</v>
      </c>
      <c r="L104" s="33">
        <f t="shared" si="20"/>
        <v>0</v>
      </c>
      <c r="M104" s="12">
        <f t="shared" si="16"/>
        <v>1041.3512074900523</v>
      </c>
    </row>
    <row r="105" spans="1:13" s="1" customFormat="1" ht="10.5" x14ac:dyDescent="0.25">
      <c r="A105" s="8" t="s">
        <v>567</v>
      </c>
      <c r="B105" s="5"/>
      <c r="C105" s="5"/>
      <c r="D105" s="5"/>
      <c r="E105" s="5"/>
      <c r="F105" s="5"/>
      <c r="G105" s="5"/>
      <c r="H105" s="5"/>
      <c r="I105" s="5"/>
      <c r="J105" s="31"/>
      <c r="K105" s="5">
        <f t="shared" si="15"/>
        <v>0</v>
      </c>
      <c r="L105" s="31"/>
      <c r="M105" s="5">
        <f t="shared" si="16"/>
        <v>0</v>
      </c>
    </row>
    <row r="106" spans="1:13" s="1" customFormat="1" ht="10" x14ac:dyDescent="0.2">
      <c r="A106" s="9" t="s">
        <v>568</v>
      </c>
      <c r="B106" s="10">
        <v>0</v>
      </c>
      <c r="C106" s="10">
        <v>0</v>
      </c>
      <c r="D106" s="10">
        <v>3907.409870099048</v>
      </c>
      <c r="E106" s="10">
        <v>0</v>
      </c>
      <c r="F106" s="10">
        <v>0</v>
      </c>
      <c r="G106" s="10">
        <v>0</v>
      </c>
      <c r="H106" s="10">
        <v>0</v>
      </c>
      <c r="I106" s="10">
        <v>0</v>
      </c>
      <c r="J106" s="32"/>
      <c r="K106" s="10">
        <f t="shared" si="15"/>
        <v>3907.409870099048</v>
      </c>
      <c r="L106" s="32"/>
      <c r="M106" s="10">
        <f t="shared" si="16"/>
        <v>3907.409870099048</v>
      </c>
    </row>
    <row r="107" spans="1:13" s="1" customFormat="1" ht="10.5" x14ac:dyDescent="0.25">
      <c r="A107" s="11" t="s">
        <v>569</v>
      </c>
      <c r="B107" s="12">
        <f t="shared" ref="B107:M107" si="21">SUM(B106)</f>
        <v>0</v>
      </c>
      <c r="C107" s="12">
        <f t="shared" si="21"/>
        <v>0</v>
      </c>
      <c r="D107" s="12">
        <f t="shared" si="21"/>
        <v>3907.409870099048</v>
      </c>
      <c r="E107" s="12">
        <f t="shared" si="21"/>
        <v>0</v>
      </c>
      <c r="F107" s="12">
        <f t="shared" si="21"/>
        <v>0</v>
      </c>
      <c r="G107" s="12">
        <f t="shared" si="21"/>
        <v>0</v>
      </c>
      <c r="H107" s="12">
        <f t="shared" si="21"/>
        <v>0</v>
      </c>
      <c r="I107" s="12">
        <f t="shared" si="21"/>
        <v>0</v>
      </c>
      <c r="J107" s="33">
        <f t="shared" si="21"/>
        <v>0</v>
      </c>
      <c r="K107" s="12">
        <f t="shared" si="15"/>
        <v>3907.409870099048</v>
      </c>
      <c r="L107" s="33">
        <f t="shared" si="21"/>
        <v>0</v>
      </c>
      <c r="M107" s="12">
        <f t="shared" si="16"/>
        <v>3907.409870099048</v>
      </c>
    </row>
    <row r="108" spans="1:13" s="1" customFormat="1" ht="10.5" x14ac:dyDescent="0.25">
      <c r="A108" s="8" t="s">
        <v>359</v>
      </c>
      <c r="B108" s="5"/>
      <c r="C108" s="5"/>
      <c r="D108" s="5"/>
      <c r="E108" s="5"/>
      <c r="F108" s="5"/>
      <c r="G108" s="5"/>
      <c r="H108" s="5"/>
      <c r="I108" s="5"/>
      <c r="J108" s="31"/>
      <c r="K108" s="5">
        <f t="shared" si="15"/>
        <v>0</v>
      </c>
      <c r="L108" s="31"/>
      <c r="M108" s="5">
        <f t="shared" si="16"/>
        <v>0</v>
      </c>
    </row>
    <row r="109" spans="1:13" s="1" customFormat="1" ht="10" x14ac:dyDescent="0.2">
      <c r="A109" s="9" t="s">
        <v>360</v>
      </c>
      <c r="B109" s="10">
        <v>0</v>
      </c>
      <c r="C109" s="10">
        <v>0</v>
      </c>
      <c r="D109" s="10">
        <v>0</v>
      </c>
      <c r="E109" s="10">
        <v>0</v>
      </c>
      <c r="F109" s="10">
        <v>0</v>
      </c>
      <c r="G109" s="10">
        <v>14029.470121524388</v>
      </c>
      <c r="H109" s="10">
        <v>0</v>
      </c>
      <c r="I109" s="10">
        <v>0</v>
      </c>
      <c r="J109" s="32"/>
      <c r="K109" s="10">
        <f t="shared" ref="K109:K140" si="22">SUM(D109:J109)</f>
        <v>14029.470121524388</v>
      </c>
      <c r="L109" s="32"/>
      <c r="M109" s="10">
        <f t="shared" ref="M109:M140" si="23">SUM(B109,K109,L109)+C109</f>
        <v>14029.470121524388</v>
      </c>
    </row>
    <row r="110" spans="1:13" s="1" customFormat="1" ht="10" x14ac:dyDescent="0.2">
      <c r="A110" s="9" t="s">
        <v>361</v>
      </c>
      <c r="B110" s="10">
        <v>0</v>
      </c>
      <c r="C110" s="10">
        <v>0</v>
      </c>
      <c r="D110" s="10">
        <v>161923.12844959216</v>
      </c>
      <c r="E110" s="10">
        <v>10031.973071825856</v>
      </c>
      <c r="F110" s="10">
        <v>10735.193111047611</v>
      </c>
      <c r="G110" s="10">
        <v>0</v>
      </c>
      <c r="H110" s="10">
        <v>0</v>
      </c>
      <c r="I110" s="10">
        <v>436.69232661817978</v>
      </c>
      <c r="J110" s="32"/>
      <c r="K110" s="10">
        <f t="shared" si="22"/>
        <v>183126.98695908382</v>
      </c>
      <c r="L110" s="32"/>
      <c r="M110" s="10">
        <f t="shared" si="23"/>
        <v>183126.98695908382</v>
      </c>
    </row>
    <row r="111" spans="1:13" s="1" customFormat="1" ht="10" x14ac:dyDescent="0.2">
      <c r="A111" s="9" t="s">
        <v>429</v>
      </c>
      <c r="B111" s="10">
        <v>79.37</v>
      </c>
      <c r="C111" s="10">
        <v>0</v>
      </c>
      <c r="D111" s="10">
        <v>1157.9184119401903</v>
      </c>
      <c r="E111" s="10">
        <v>0</v>
      </c>
      <c r="F111" s="10">
        <v>0</v>
      </c>
      <c r="G111" s="10">
        <v>0</v>
      </c>
      <c r="H111" s="10">
        <v>0</v>
      </c>
      <c r="I111" s="10">
        <v>0</v>
      </c>
      <c r="J111" s="32"/>
      <c r="K111" s="10">
        <f t="shared" si="22"/>
        <v>1157.9184119401903</v>
      </c>
      <c r="L111" s="32"/>
      <c r="M111" s="10">
        <f t="shared" si="23"/>
        <v>1237.2884119401901</v>
      </c>
    </row>
    <row r="112" spans="1:13" s="1" customFormat="1" ht="10" x14ac:dyDescent="0.2">
      <c r="A112" s="9" t="s">
        <v>362</v>
      </c>
      <c r="B112" s="10">
        <v>0</v>
      </c>
      <c r="C112" s="10">
        <v>0</v>
      </c>
      <c r="D112" s="10">
        <v>6723.4625370032563</v>
      </c>
      <c r="E112" s="10">
        <v>0</v>
      </c>
      <c r="F112" s="10">
        <v>311.31354620026599</v>
      </c>
      <c r="G112" s="10">
        <v>0</v>
      </c>
      <c r="H112" s="10">
        <v>0</v>
      </c>
      <c r="I112" s="10">
        <v>0</v>
      </c>
      <c r="J112" s="32"/>
      <c r="K112" s="10">
        <f t="shared" si="22"/>
        <v>7034.7760832035219</v>
      </c>
      <c r="L112" s="32"/>
      <c r="M112" s="10">
        <f t="shared" si="23"/>
        <v>7034.7760832035219</v>
      </c>
    </row>
    <row r="113" spans="1:13" s="1" customFormat="1" ht="10" x14ac:dyDescent="0.2">
      <c r="A113" s="9" t="s">
        <v>363</v>
      </c>
      <c r="B113" s="10">
        <v>800</v>
      </c>
      <c r="C113" s="10">
        <v>0</v>
      </c>
      <c r="D113" s="10">
        <v>816.01598778504354</v>
      </c>
      <c r="E113" s="10">
        <v>0</v>
      </c>
      <c r="F113" s="10">
        <v>0</v>
      </c>
      <c r="G113" s="10">
        <v>0</v>
      </c>
      <c r="H113" s="10">
        <v>0</v>
      </c>
      <c r="I113" s="10">
        <v>1619.8255260938672</v>
      </c>
      <c r="J113" s="32"/>
      <c r="K113" s="10">
        <f t="shared" si="22"/>
        <v>2435.8415138789105</v>
      </c>
      <c r="L113" s="32"/>
      <c r="M113" s="10">
        <f t="shared" si="23"/>
        <v>3235.8415138789105</v>
      </c>
    </row>
    <row r="114" spans="1:13" s="1" customFormat="1" ht="10" x14ac:dyDescent="0.2">
      <c r="A114" s="9" t="s">
        <v>570</v>
      </c>
      <c r="B114" s="10">
        <v>0</v>
      </c>
      <c r="C114" s="10">
        <v>0</v>
      </c>
      <c r="D114" s="10">
        <v>0</v>
      </c>
      <c r="E114" s="10">
        <v>0</v>
      </c>
      <c r="F114" s="10">
        <v>0</v>
      </c>
      <c r="G114" s="10">
        <v>9318.1570813529597</v>
      </c>
      <c r="H114" s="10">
        <v>0</v>
      </c>
      <c r="I114" s="10">
        <v>0</v>
      </c>
      <c r="J114" s="32"/>
      <c r="K114" s="10">
        <f t="shared" si="22"/>
        <v>9318.1570813529597</v>
      </c>
      <c r="L114" s="32"/>
      <c r="M114" s="10">
        <f t="shared" si="23"/>
        <v>9318.1570813529597</v>
      </c>
    </row>
    <row r="115" spans="1:13" s="1" customFormat="1" ht="10" x14ac:dyDescent="0.2">
      <c r="A115" s="9" t="s">
        <v>571</v>
      </c>
      <c r="B115" s="10">
        <v>0</v>
      </c>
      <c r="C115" s="10">
        <v>0</v>
      </c>
      <c r="D115" s="10">
        <v>4953.5175845547992</v>
      </c>
      <c r="E115" s="10">
        <v>0</v>
      </c>
      <c r="F115" s="10">
        <v>0</v>
      </c>
      <c r="G115" s="10">
        <v>0</v>
      </c>
      <c r="H115" s="10">
        <v>0</v>
      </c>
      <c r="I115" s="10">
        <v>854.21620781963293</v>
      </c>
      <c r="J115" s="32"/>
      <c r="K115" s="10">
        <f t="shared" si="22"/>
        <v>5807.7337923744326</v>
      </c>
      <c r="L115" s="32"/>
      <c r="M115" s="10">
        <f t="shared" si="23"/>
        <v>5807.7337923744326</v>
      </c>
    </row>
    <row r="116" spans="1:13" s="1" customFormat="1" ht="10" x14ac:dyDescent="0.2">
      <c r="A116" s="9" t="s">
        <v>445</v>
      </c>
      <c r="B116" s="10">
        <v>0</v>
      </c>
      <c r="C116" s="10">
        <v>0</v>
      </c>
      <c r="D116" s="10">
        <v>454.45510650415696</v>
      </c>
      <c r="E116" s="10">
        <v>0</v>
      </c>
      <c r="F116" s="10">
        <v>0</v>
      </c>
      <c r="G116" s="10">
        <v>0</v>
      </c>
      <c r="H116" s="10">
        <v>0</v>
      </c>
      <c r="I116" s="10">
        <v>0</v>
      </c>
      <c r="J116" s="32"/>
      <c r="K116" s="10">
        <f t="shared" si="22"/>
        <v>454.45510650415696</v>
      </c>
      <c r="L116" s="32"/>
      <c r="M116" s="10">
        <f t="shared" si="23"/>
        <v>454.45510650415696</v>
      </c>
    </row>
    <row r="117" spans="1:13" s="1" customFormat="1" ht="10" x14ac:dyDescent="0.2">
      <c r="A117" s="9" t="s">
        <v>430</v>
      </c>
      <c r="B117" s="10">
        <v>0</v>
      </c>
      <c r="C117" s="10">
        <v>0</v>
      </c>
      <c r="D117" s="10">
        <v>6852.4466848468173</v>
      </c>
      <c r="E117" s="10">
        <v>0</v>
      </c>
      <c r="F117" s="10">
        <v>0</v>
      </c>
      <c r="G117" s="10">
        <v>0</v>
      </c>
      <c r="H117" s="10">
        <v>0</v>
      </c>
      <c r="I117" s="10">
        <v>0</v>
      </c>
      <c r="J117" s="32"/>
      <c r="K117" s="10">
        <f t="shared" si="22"/>
        <v>6852.4466848468173</v>
      </c>
      <c r="L117" s="32"/>
      <c r="M117" s="10">
        <f t="shared" si="23"/>
        <v>6852.4466848468173</v>
      </c>
    </row>
    <row r="118" spans="1:13" s="1" customFormat="1" ht="10" x14ac:dyDescent="0.2">
      <c r="A118" s="9" t="s">
        <v>364</v>
      </c>
      <c r="B118" s="10">
        <v>0</v>
      </c>
      <c r="C118" s="10">
        <v>0</v>
      </c>
      <c r="D118" s="10">
        <v>20262.412163767916</v>
      </c>
      <c r="E118" s="10">
        <v>0</v>
      </c>
      <c r="F118" s="10">
        <v>0</v>
      </c>
      <c r="G118" s="10">
        <v>0</v>
      </c>
      <c r="H118" s="10">
        <v>0</v>
      </c>
      <c r="I118" s="10">
        <v>0</v>
      </c>
      <c r="J118" s="32"/>
      <c r="K118" s="10">
        <f t="shared" si="22"/>
        <v>20262.412163767916</v>
      </c>
      <c r="L118" s="32"/>
      <c r="M118" s="10">
        <f t="shared" si="23"/>
        <v>20262.412163767916</v>
      </c>
    </row>
    <row r="119" spans="1:13" s="1" customFormat="1" ht="10" x14ac:dyDescent="0.2">
      <c r="A119" s="9" t="s">
        <v>572</v>
      </c>
      <c r="B119" s="10">
        <v>0</v>
      </c>
      <c r="C119" s="10">
        <v>0</v>
      </c>
      <c r="D119" s="10">
        <v>5795.2124368346513</v>
      </c>
      <c r="E119" s="10">
        <v>0</v>
      </c>
      <c r="F119" s="10">
        <v>0</v>
      </c>
      <c r="G119" s="10">
        <v>0</v>
      </c>
      <c r="H119" s="10">
        <v>0</v>
      </c>
      <c r="I119" s="10">
        <v>0</v>
      </c>
      <c r="J119" s="32"/>
      <c r="K119" s="10">
        <f t="shared" si="22"/>
        <v>5795.2124368346513</v>
      </c>
      <c r="L119" s="32"/>
      <c r="M119" s="10">
        <f t="shared" si="23"/>
        <v>5795.2124368346513</v>
      </c>
    </row>
    <row r="120" spans="1:13" s="1" customFormat="1" ht="10" x14ac:dyDescent="0.2">
      <c r="A120" s="9" t="s">
        <v>573</v>
      </c>
      <c r="B120" s="10">
        <v>0</v>
      </c>
      <c r="C120" s="10">
        <v>0</v>
      </c>
      <c r="D120" s="10">
        <v>27020.515912169227</v>
      </c>
      <c r="E120" s="10">
        <v>0</v>
      </c>
      <c r="F120" s="10">
        <v>0</v>
      </c>
      <c r="G120" s="10">
        <v>0</v>
      </c>
      <c r="H120" s="10">
        <v>0</v>
      </c>
      <c r="I120" s="10">
        <v>0</v>
      </c>
      <c r="J120" s="32"/>
      <c r="K120" s="10">
        <f t="shared" si="22"/>
        <v>27020.515912169227</v>
      </c>
      <c r="L120" s="32"/>
      <c r="M120" s="10">
        <f t="shared" si="23"/>
        <v>27020.515912169227</v>
      </c>
    </row>
    <row r="121" spans="1:13" s="1" customFormat="1" ht="10" x14ac:dyDescent="0.2">
      <c r="A121" s="9" t="s">
        <v>574</v>
      </c>
      <c r="B121" s="10">
        <v>0</v>
      </c>
      <c r="C121" s="10">
        <v>0</v>
      </c>
      <c r="D121" s="10">
        <v>15589.575679843369</v>
      </c>
      <c r="E121" s="10">
        <v>0</v>
      </c>
      <c r="F121" s="10">
        <v>0</v>
      </c>
      <c r="G121" s="10">
        <v>0</v>
      </c>
      <c r="H121" s="10">
        <v>0</v>
      </c>
      <c r="I121" s="10">
        <v>0</v>
      </c>
      <c r="J121" s="32"/>
      <c r="K121" s="10">
        <f t="shared" si="22"/>
        <v>15589.575679843369</v>
      </c>
      <c r="L121" s="32"/>
      <c r="M121" s="10">
        <f t="shared" si="23"/>
        <v>15589.575679843369</v>
      </c>
    </row>
    <row r="122" spans="1:13" s="1" customFormat="1" ht="10.5" x14ac:dyDescent="0.25">
      <c r="A122" s="11" t="s">
        <v>365</v>
      </c>
      <c r="B122" s="12">
        <f t="shared" ref="B122:M122" si="24">SUM(B109:B121)</f>
        <v>879.37</v>
      </c>
      <c r="C122" s="12">
        <f t="shared" si="24"/>
        <v>0</v>
      </c>
      <c r="D122" s="12">
        <f t="shared" si="24"/>
        <v>251548.66095484153</v>
      </c>
      <c r="E122" s="12">
        <f t="shared" si="24"/>
        <v>10031.973071825856</v>
      </c>
      <c r="F122" s="12">
        <f t="shared" si="24"/>
        <v>11046.506657247877</v>
      </c>
      <c r="G122" s="12">
        <f t="shared" si="24"/>
        <v>23347.627202877346</v>
      </c>
      <c r="H122" s="12">
        <f t="shared" si="24"/>
        <v>0</v>
      </c>
      <c r="I122" s="12">
        <f t="shared" si="24"/>
        <v>2910.7340605316799</v>
      </c>
      <c r="J122" s="33">
        <f t="shared" si="24"/>
        <v>0</v>
      </c>
      <c r="K122" s="12">
        <f t="shared" si="22"/>
        <v>298885.50194732432</v>
      </c>
      <c r="L122" s="33">
        <f t="shared" si="24"/>
        <v>0</v>
      </c>
      <c r="M122" s="12">
        <f t="shared" si="23"/>
        <v>299764.87194732431</v>
      </c>
    </row>
    <row r="123" spans="1:13" s="1" customFormat="1" ht="10.5" x14ac:dyDescent="0.25">
      <c r="A123" s="8" t="s">
        <v>366</v>
      </c>
      <c r="B123" s="5"/>
      <c r="C123" s="5"/>
      <c r="D123" s="5"/>
      <c r="E123" s="5"/>
      <c r="F123" s="5"/>
      <c r="G123" s="5"/>
      <c r="H123" s="5"/>
      <c r="I123" s="5"/>
      <c r="J123" s="31"/>
      <c r="K123" s="5">
        <f t="shared" si="22"/>
        <v>0</v>
      </c>
      <c r="L123" s="31"/>
      <c r="M123" s="5">
        <f t="shared" si="23"/>
        <v>0</v>
      </c>
    </row>
    <row r="124" spans="1:13" s="1" customFormat="1" ht="10" x14ac:dyDescent="0.2">
      <c r="A124" s="9" t="s">
        <v>367</v>
      </c>
      <c r="B124" s="10">
        <v>613.88</v>
      </c>
      <c r="C124" s="10">
        <v>0</v>
      </c>
      <c r="D124" s="10">
        <v>20100.703836940098</v>
      </c>
      <c r="E124" s="10">
        <v>560.95381249732986</v>
      </c>
      <c r="F124" s="10">
        <v>59.934886917758277</v>
      </c>
      <c r="G124" s="10">
        <v>318.33034315132909</v>
      </c>
      <c r="H124" s="10">
        <v>4.9794331407171164</v>
      </c>
      <c r="I124" s="10">
        <v>3459.507727438076</v>
      </c>
      <c r="J124" s="32"/>
      <c r="K124" s="10">
        <f t="shared" si="22"/>
        <v>24504.410040085309</v>
      </c>
      <c r="L124" s="32"/>
      <c r="M124" s="10">
        <f t="shared" si="23"/>
        <v>25118.29004008531</v>
      </c>
    </row>
    <row r="125" spans="1:13" s="1" customFormat="1" ht="10" x14ac:dyDescent="0.2">
      <c r="A125" s="9" t="s">
        <v>368</v>
      </c>
      <c r="B125" s="10">
        <v>73742.55</v>
      </c>
      <c r="C125" s="10">
        <v>0</v>
      </c>
      <c r="D125" s="10">
        <v>1015.3813685963094</v>
      </c>
      <c r="E125" s="10">
        <v>342.59559461993484</v>
      </c>
      <c r="F125" s="10">
        <v>0</v>
      </c>
      <c r="G125" s="10">
        <v>0</v>
      </c>
      <c r="H125" s="10">
        <v>0</v>
      </c>
      <c r="I125" s="10">
        <v>4528.5200486558833</v>
      </c>
      <c r="J125" s="32"/>
      <c r="K125" s="10">
        <f t="shared" si="22"/>
        <v>5886.4970118721276</v>
      </c>
      <c r="L125" s="32"/>
      <c r="M125" s="10">
        <f t="shared" si="23"/>
        <v>79629.047011872128</v>
      </c>
    </row>
    <row r="126" spans="1:13" s="1" customFormat="1" ht="10" x14ac:dyDescent="0.2">
      <c r="A126" s="9" t="s">
        <v>369</v>
      </c>
      <c r="B126" s="10">
        <v>0</v>
      </c>
      <c r="C126" s="10">
        <v>0</v>
      </c>
      <c r="D126" s="10">
        <v>17829.916036851864</v>
      </c>
      <c r="E126" s="10">
        <v>244.54381328645852</v>
      </c>
      <c r="F126" s="10">
        <v>0</v>
      </c>
      <c r="G126" s="10">
        <v>0</v>
      </c>
      <c r="H126" s="10">
        <v>0</v>
      </c>
      <c r="I126" s="10">
        <v>0</v>
      </c>
      <c r="J126" s="32"/>
      <c r="K126" s="10">
        <f t="shared" si="22"/>
        <v>18074.459850138323</v>
      </c>
      <c r="L126" s="32"/>
      <c r="M126" s="10">
        <f t="shared" si="23"/>
        <v>18074.459850138323</v>
      </c>
    </row>
    <row r="127" spans="1:13" s="1" customFormat="1" ht="10" x14ac:dyDescent="0.2">
      <c r="A127" s="9" t="s">
        <v>575</v>
      </c>
      <c r="B127" s="10">
        <v>0</v>
      </c>
      <c r="C127" s="10">
        <v>0</v>
      </c>
      <c r="D127" s="10">
        <v>-16.89834403300376</v>
      </c>
      <c r="E127" s="10">
        <v>0</v>
      </c>
      <c r="F127" s="10">
        <v>0</v>
      </c>
      <c r="G127" s="10">
        <v>0</v>
      </c>
      <c r="H127" s="10">
        <v>0</v>
      </c>
      <c r="I127" s="10">
        <v>0</v>
      </c>
      <c r="J127" s="32"/>
      <c r="K127" s="10">
        <f t="shared" si="22"/>
        <v>-16.89834403300376</v>
      </c>
      <c r="L127" s="32"/>
      <c r="M127" s="10">
        <f t="shared" si="23"/>
        <v>-16.89834403300376</v>
      </c>
    </row>
    <row r="128" spans="1:13" s="1" customFormat="1" ht="10.5" x14ac:dyDescent="0.25">
      <c r="A128" s="11" t="s">
        <v>370</v>
      </c>
      <c r="B128" s="12">
        <f t="shared" ref="B128:M128" si="25">SUM(B124:B127)</f>
        <v>74356.430000000008</v>
      </c>
      <c r="C128" s="12">
        <f t="shared" si="25"/>
        <v>0</v>
      </c>
      <c r="D128" s="12">
        <f t="shared" si="25"/>
        <v>38929.102898355268</v>
      </c>
      <c r="E128" s="12">
        <f t="shared" si="25"/>
        <v>1148.0932204037233</v>
      </c>
      <c r="F128" s="12">
        <f t="shared" si="25"/>
        <v>59.934886917758277</v>
      </c>
      <c r="G128" s="12">
        <f t="shared" si="25"/>
        <v>318.33034315132909</v>
      </c>
      <c r="H128" s="12">
        <f t="shared" si="25"/>
        <v>4.9794331407171164</v>
      </c>
      <c r="I128" s="12">
        <f t="shared" si="25"/>
        <v>7988.0277760939589</v>
      </c>
      <c r="J128" s="33">
        <f t="shared" si="25"/>
        <v>0</v>
      </c>
      <c r="K128" s="12">
        <f t="shared" si="22"/>
        <v>48448.468558062748</v>
      </c>
      <c r="L128" s="33">
        <f t="shared" si="25"/>
        <v>0</v>
      </c>
      <c r="M128" s="12">
        <f t="shared" si="23"/>
        <v>122804.89855806276</v>
      </c>
    </row>
    <row r="129" spans="1:13" s="1" customFormat="1" ht="10.5" x14ac:dyDescent="0.25">
      <c r="A129" s="13" t="s">
        <v>371</v>
      </c>
      <c r="B129" s="12">
        <f t="shared" ref="B129:M129" si="26">SUM(B39,B45,B52,B57,B61,B72,B80,B88,B101,B104,B107,B122,B128)</f>
        <v>259477.45</v>
      </c>
      <c r="C129" s="12">
        <f t="shared" si="26"/>
        <v>1558.85715</v>
      </c>
      <c r="D129" s="12">
        <f t="shared" si="26"/>
        <v>2174367.610163616</v>
      </c>
      <c r="E129" s="12">
        <f t="shared" si="26"/>
        <v>21967.198880925178</v>
      </c>
      <c r="F129" s="12">
        <f t="shared" si="26"/>
        <v>51122.293082038712</v>
      </c>
      <c r="G129" s="12">
        <f t="shared" si="26"/>
        <v>196017.30154589706</v>
      </c>
      <c r="H129" s="12">
        <f t="shared" si="26"/>
        <v>1065.4852641050243</v>
      </c>
      <c r="I129" s="12">
        <f t="shared" si="26"/>
        <v>437866.84444803413</v>
      </c>
      <c r="J129" s="33">
        <f t="shared" si="26"/>
        <v>0</v>
      </c>
      <c r="K129" s="12">
        <f t="shared" si="22"/>
        <v>2882406.7333846167</v>
      </c>
      <c r="L129" s="33">
        <f t="shared" si="26"/>
        <v>0</v>
      </c>
      <c r="M129" s="12">
        <f t="shared" si="23"/>
        <v>3143443.0405346169</v>
      </c>
    </row>
    <row r="130" spans="1:13" s="1" customFormat="1" ht="10.5" x14ac:dyDescent="0.25">
      <c r="A130" s="7" t="s">
        <v>372</v>
      </c>
      <c r="B130" s="5"/>
      <c r="C130" s="5"/>
      <c r="D130" s="5"/>
      <c r="E130" s="5"/>
      <c r="F130" s="5"/>
      <c r="G130" s="5"/>
      <c r="H130" s="5"/>
      <c r="I130" s="5"/>
      <c r="J130" s="31"/>
      <c r="K130" s="5">
        <f t="shared" si="22"/>
        <v>0</v>
      </c>
      <c r="L130" s="31"/>
      <c r="M130" s="5">
        <f t="shared" si="23"/>
        <v>0</v>
      </c>
    </row>
    <row r="131" spans="1:13" s="1" customFormat="1" ht="10" x14ac:dyDescent="0.2">
      <c r="A131" s="17" t="s">
        <v>373</v>
      </c>
      <c r="B131" s="10">
        <v>0</v>
      </c>
      <c r="C131" s="10">
        <v>0</v>
      </c>
      <c r="D131" s="10">
        <v>33849.338960405737</v>
      </c>
      <c r="E131" s="10">
        <v>0</v>
      </c>
      <c r="F131" s="10">
        <v>4704.5585725461442</v>
      </c>
      <c r="G131" s="10">
        <v>3957.1740583006908</v>
      </c>
      <c r="H131" s="10">
        <v>0</v>
      </c>
      <c r="I131" s="10">
        <v>0</v>
      </c>
      <c r="J131" s="32"/>
      <c r="K131" s="10">
        <f t="shared" si="22"/>
        <v>42511.07159125257</v>
      </c>
      <c r="L131" s="32"/>
      <c r="M131" s="10">
        <f t="shared" si="23"/>
        <v>42511.07159125257</v>
      </c>
    </row>
    <row r="132" spans="1:13" s="1" customFormat="1" ht="10" x14ac:dyDescent="0.2">
      <c r="A132" s="17" t="s">
        <v>374</v>
      </c>
      <c r="B132" s="10">
        <v>0</v>
      </c>
      <c r="C132" s="10">
        <v>0</v>
      </c>
      <c r="D132" s="10">
        <v>21994.891688840271</v>
      </c>
      <c r="E132" s="10">
        <v>0</v>
      </c>
      <c r="F132" s="10">
        <v>0</v>
      </c>
      <c r="G132" s="10">
        <v>0</v>
      </c>
      <c r="H132" s="10">
        <v>0</v>
      </c>
      <c r="I132" s="10">
        <v>0</v>
      </c>
      <c r="J132" s="32"/>
      <c r="K132" s="10">
        <f t="shared" si="22"/>
        <v>21994.891688840271</v>
      </c>
      <c r="L132" s="32"/>
      <c r="M132" s="10">
        <f t="shared" si="23"/>
        <v>21994.891688840271</v>
      </c>
    </row>
    <row r="133" spans="1:13" s="1" customFormat="1" ht="10" x14ac:dyDescent="0.2">
      <c r="A133" s="17" t="s">
        <v>436</v>
      </c>
      <c r="B133" s="10">
        <v>0</v>
      </c>
      <c r="C133" s="10">
        <v>0</v>
      </c>
      <c r="D133" s="10">
        <v>2008.6116783597536</v>
      </c>
      <c r="E133" s="10">
        <v>0</v>
      </c>
      <c r="F133" s="10">
        <v>0</v>
      </c>
      <c r="G133" s="10">
        <v>0</v>
      </c>
      <c r="H133" s="10">
        <v>0</v>
      </c>
      <c r="I133" s="10">
        <v>0</v>
      </c>
      <c r="J133" s="32"/>
      <c r="K133" s="10">
        <f t="shared" si="22"/>
        <v>2008.6116783597536</v>
      </c>
      <c r="L133" s="32"/>
      <c r="M133" s="10">
        <f t="shared" si="23"/>
        <v>2008.6116783597536</v>
      </c>
    </row>
    <row r="134" spans="1:13" s="1" customFormat="1" ht="10" x14ac:dyDescent="0.2">
      <c r="A134" s="17" t="s">
        <v>375</v>
      </c>
      <c r="B134" s="10">
        <v>0</v>
      </c>
      <c r="C134" s="10">
        <v>0</v>
      </c>
      <c r="D134" s="10">
        <v>2402.2151931356348</v>
      </c>
      <c r="E134" s="10">
        <v>0</v>
      </c>
      <c r="F134" s="10">
        <v>0</v>
      </c>
      <c r="G134" s="10">
        <v>7440.7699193604476</v>
      </c>
      <c r="H134" s="10">
        <v>0</v>
      </c>
      <c r="I134" s="10">
        <v>0</v>
      </c>
      <c r="J134" s="32"/>
      <c r="K134" s="10">
        <f t="shared" si="22"/>
        <v>9842.9851124960824</v>
      </c>
      <c r="L134" s="32"/>
      <c r="M134" s="10">
        <f t="shared" si="23"/>
        <v>9842.9851124960824</v>
      </c>
    </row>
    <row r="135" spans="1:13" s="1" customFormat="1" ht="10" x14ac:dyDescent="0.2">
      <c r="A135" s="17" t="s">
        <v>576</v>
      </c>
      <c r="B135" s="10">
        <v>0</v>
      </c>
      <c r="C135" s="10">
        <v>0</v>
      </c>
      <c r="D135" s="10">
        <v>5297.2692986352304</v>
      </c>
      <c r="E135" s="10">
        <v>0</v>
      </c>
      <c r="F135" s="10">
        <v>0</v>
      </c>
      <c r="G135" s="10">
        <v>0</v>
      </c>
      <c r="H135" s="10">
        <v>0</v>
      </c>
      <c r="I135" s="10">
        <v>2490.6879225950024</v>
      </c>
      <c r="J135" s="32"/>
      <c r="K135" s="10">
        <f t="shared" si="22"/>
        <v>7787.9572212302328</v>
      </c>
      <c r="L135" s="32"/>
      <c r="M135" s="10">
        <f t="shared" si="23"/>
        <v>7787.9572212302328</v>
      </c>
    </row>
    <row r="136" spans="1:13" s="1" customFormat="1" ht="10" x14ac:dyDescent="0.2">
      <c r="A136" s="17" t="s">
        <v>376</v>
      </c>
      <c r="B136" s="10">
        <v>0</v>
      </c>
      <c r="C136" s="10">
        <v>0</v>
      </c>
      <c r="D136" s="10">
        <v>8904.2682149136581</v>
      </c>
      <c r="E136" s="10">
        <v>0</v>
      </c>
      <c r="F136" s="10">
        <v>8554.3266092659687</v>
      </c>
      <c r="G136" s="10">
        <v>19982.979096433515</v>
      </c>
      <c r="H136" s="10">
        <v>0</v>
      </c>
      <c r="I136" s="10">
        <v>0</v>
      </c>
      <c r="J136" s="32"/>
      <c r="K136" s="10">
        <f t="shared" si="22"/>
        <v>37441.57392061314</v>
      </c>
      <c r="L136" s="32"/>
      <c r="M136" s="10">
        <f t="shared" si="23"/>
        <v>37441.57392061314</v>
      </c>
    </row>
    <row r="137" spans="1:13" s="1" customFormat="1" ht="10" x14ac:dyDescent="0.2">
      <c r="A137" s="17" t="s">
        <v>377</v>
      </c>
      <c r="B137" s="10">
        <v>0</v>
      </c>
      <c r="C137" s="10">
        <v>0</v>
      </c>
      <c r="D137" s="10">
        <v>0</v>
      </c>
      <c r="E137" s="10">
        <v>2.6420175161044024</v>
      </c>
      <c r="F137" s="10">
        <v>0</v>
      </c>
      <c r="G137" s="10">
        <v>0</v>
      </c>
      <c r="H137" s="10">
        <v>0</v>
      </c>
      <c r="I137" s="10">
        <v>13663.915720341707</v>
      </c>
      <c r="J137" s="32"/>
      <c r="K137" s="10">
        <f t="shared" si="22"/>
        <v>13666.557737857811</v>
      </c>
      <c r="L137" s="32"/>
      <c r="M137" s="10">
        <f t="shared" si="23"/>
        <v>13666.557737857811</v>
      </c>
    </row>
    <row r="138" spans="1:13" s="1" customFormat="1" ht="10" x14ac:dyDescent="0.2">
      <c r="A138" s="17" t="s">
        <v>378</v>
      </c>
      <c r="B138" s="10">
        <v>0</v>
      </c>
      <c r="C138" s="10">
        <v>0</v>
      </c>
      <c r="D138" s="10">
        <v>13133.238982815175</v>
      </c>
      <c r="E138" s="10">
        <v>0</v>
      </c>
      <c r="F138" s="10">
        <v>0</v>
      </c>
      <c r="G138" s="10">
        <v>0</v>
      </c>
      <c r="H138" s="10">
        <v>0</v>
      </c>
      <c r="I138" s="10">
        <v>49685.618072358469</v>
      </c>
      <c r="J138" s="32"/>
      <c r="K138" s="10">
        <f t="shared" si="22"/>
        <v>62818.857055173648</v>
      </c>
      <c r="L138" s="32"/>
      <c r="M138" s="10">
        <f t="shared" si="23"/>
        <v>62818.857055173648</v>
      </c>
    </row>
    <row r="139" spans="1:13" s="1" customFormat="1" ht="10" x14ac:dyDescent="0.2">
      <c r="A139" s="17" t="s">
        <v>379</v>
      </c>
      <c r="B139" s="10">
        <v>0</v>
      </c>
      <c r="C139" s="10">
        <v>0</v>
      </c>
      <c r="D139" s="10">
        <v>422.7801932659882</v>
      </c>
      <c r="E139" s="10">
        <v>0</v>
      </c>
      <c r="F139" s="10">
        <v>0</v>
      </c>
      <c r="G139" s="10">
        <v>0</v>
      </c>
      <c r="H139" s="10">
        <v>0</v>
      </c>
      <c r="I139" s="10">
        <v>1328.0064650514876</v>
      </c>
      <c r="J139" s="32"/>
      <c r="K139" s="10">
        <f t="shared" si="22"/>
        <v>1750.7866583174757</v>
      </c>
      <c r="L139" s="32"/>
      <c r="M139" s="10">
        <f t="shared" si="23"/>
        <v>1750.7866583174757</v>
      </c>
    </row>
    <row r="140" spans="1:13" s="1" customFormat="1" ht="10" x14ac:dyDescent="0.2">
      <c r="A140" s="17" t="s">
        <v>380</v>
      </c>
      <c r="B140" s="10">
        <v>0</v>
      </c>
      <c r="C140" s="10">
        <v>0</v>
      </c>
      <c r="D140" s="10">
        <v>37254.002037296588</v>
      </c>
      <c r="E140" s="10">
        <v>25.269337206627331</v>
      </c>
      <c r="F140" s="10">
        <v>0</v>
      </c>
      <c r="G140" s="10">
        <v>2303.9494463548417</v>
      </c>
      <c r="H140" s="10">
        <v>0</v>
      </c>
      <c r="I140" s="10">
        <v>50782.06153087908</v>
      </c>
      <c r="J140" s="32"/>
      <c r="K140" s="10">
        <f t="shared" si="22"/>
        <v>90365.282351737143</v>
      </c>
      <c r="L140" s="32"/>
      <c r="M140" s="10">
        <f t="shared" si="23"/>
        <v>90365.282351737143</v>
      </c>
    </row>
    <row r="141" spans="1:13" s="1" customFormat="1" ht="10" x14ac:dyDescent="0.2">
      <c r="A141" s="17" t="s">
        <v>381</v>
      </c>
      <c r="B141" s="10">
        <v>0</v>
      </c>
      <c r="C141" s="10">
        <v>0</v>
      </c>
      <c r="D141" s="10">
        <v>0</v>
      </c>
      <c r="E141" s="10">
        <v>0</v>
      </c>
      <c r="F141" s="10">
        <v>0</v>
      </c>
      <c r="G141" s="10">
        <v>0</v>
      </c>
      <c r="H141" s="10">
        <v>0</v>
      </c>
      <c r="I141" s="10">
        <v>4496.9719669514689</v>
      </c>
      <c r="J141" s="32"/>
      <c r="K141" s="10">
        <f t="shared" ref="K141:K172" si="27">SUM(D141:J141)</f>
        <v>4496.9719669514689</v>
      </c>
      <c r="L141" s="32"/>
      <c r="M141" s="10">
        <f t="shared" ref="M141:M172" si="28">SUM(B141,K141,L141)+C141</f>
        <v>4496.9719669514689</v>
      </c>
    </row>
    <row r="142" spans="1:13" s="1" customFormat="1" ht="10" x14ac:dyDescent="0.2">
      <c r="A142" s="17" t="s">
        <v>382</v>
      </c>
      <c r="B142" s="10">
        <v>0</v>
      </c>
      <c r="C142" s="10">
        <v>0</v>
      </c>
      <c r="D142" s="10">
        <v>105831.6231941783</v>
      </c>
      <c r="E142" s="10">
        <v>0</v>
      </c>
      <c r="F142" s="10">
        <v>0</v>
      </c>
      <c r="G142" s="10">
        <v>2327.154417646344</v>
      </c>
      <c r="H142" s="10">
        <v>0</v>
      </c>
      <c r="I142" s="10">
        <v>0</v>
      </c>
      <c r="J142" s="32"/>
      <c r="K142" s="10">
        <f t="shared" si="27"/>
        <v>108158.77761182465</v>
      </c>
      <c r="L142" s="32"/>
      <c r="M142" s="10">
        <f t="shared" si="28"/>
        <v>108158.77761182465</v>
      </c>
    </row>
    <row r="143" spans="1:13" s="1" customFormat="1" ht="10" x14ac:dyDescent="0.2">
      <c r="A143" s="17" t="s">
        <v>383</v>
      </c>
      <c r="B143" s="10">
        <v>0</v>
      </c>
      <c r="C143" s="10">
        <v>0</v>
      </c>
      <c r="D143" s="10">
        <v>0</v>
      </c>
      <c r="E143" s="10">
        <v>0</v>
      </c>
      <c r="F143" s="10">
        <v>730.85535602278901</v>
      </c>
      <c r="G143" s="10">
        <v>0</v>
      </c>
      <c r="H143" s="10">
        <v>0</v>
      </c>
      <c r="I143" s="10">
        <v>6562.0253496547521</v>
      </c>
      <c r="J143" s="32"/>
      <c r="K143" s="10">
        <f t="shared" si="27"/>
        <v>7292.8807056775413</v>
      </c>
      <c r="L143" s="32"/>
      <c r="M143" s="10">
        <f t="shared" si="28"/>
        <v>7292.8807056775413</v>
      </c>
    </row>
    <row r="144" spans="1:13" s="1" customFormat="1" ht="10" x14ac:dyDescent="0.2">
      <c r="A144" s="17" t="s">
        <v>384</v>
      </c>
      <c r="B144" s="10">
        <v>0</v>
      </c>
      <c r="C144" s="10">
        <v>0</v>
      </c>
      <c r="D144" s="10">
        <v>772383.9716801038</v>
      </c>
      <c r="E144" s="10">
        <v>0</v>
      </c>
      <c r="F144" s="10">
        <v>4080.5002680201997</v>
      </c>
      <c r="G144" s="10">
        <v>10160.181126004865</v>
      </c>
      <c r="H144" s="10">
        <v>0</v>
      </c>
      <c r="I144" s="10">
        <v>17773.24876041364</v>
      </c>
      <c r="J144" s="32">
        <v>-740135.37439230946</v>
      </c>
      <c r="K144" s="10">
        <f t="shared" si="27"/>
        <v>64262.527442233055</v>
      </c>
      <c r="L144" s="32"/>
      <c r="M144" s="10">
        <f t="shared" si="28"/>
        <v>64262.527442233055</v>
      </c>
    </row>
    <row r="145" spans="1:13" s="1" customFormat="1" ht="10" x14ac:dyDescent="0.2">
      <c r="A145" s="17" t="s">
        <v>577</v>
      </c>
      <c r="B145" s="10">
        <v>0</v>
      </c>
      <c r="C145" s="10">
        <v>0</v>
      </c>
      <c r="D145" s="10">
        <v>17000.26644381052</v>
      </c>
      <c r="E145" s="10">
        <v>0</v>
      </c>
      <c r="F145" s="10">
        <v>2780.4271054688666</v>
      </c>
      <c r="G145" s="10">
        <v>0</v>
      </c>
      <c r="H145" s="10">
        <v>0</v>
      </c>
      <c r="I145" s="10">
        <v>0</v>
      </c>
      <c r="J145" s="32"/>
      <c r="K145" s="10">
        <f t="shared" si="27"/>
        <v>19780.693549279385</v>
      </c>
      <c r="L145" s="32"/>
      <c r="M145" s="10">
        <f t="shared" si="28"/>
        <v>19780.693549279385</v>
      </c>
    </row>
    <row r="146" spans="1:13" s="1" customFormat="1" ht="10" x14ac:dyDescent="0.2">
      <c r="A146" s="17" t="s">
        <v>385</v>
      </c>
      <c r="B146" s="10">
        <v>82245.37</v>
      </c>
      <c r="C146" s="10">
        <v>0</v>
      </c>
      <c r="D146" s="10">
        <v>57345.837936344076</v>
      </c>
      <c r="E146" s="10">
        <v>0</v>
      </c>
      <c r="F146" s="10">
        <v>22554.417190704138</v>
      </c>
      <c r="G146" s="10">
        <v>0</v>
      </c>
      <c r="H146" s="10">
        <v>0</v>
      </c>
      <c r="I146" s="10">
        <v>30999.290849315308</v>
      </c>
      <c r="J146" s="32"/>
      <c r="K146" s="10">
        <f t="shared" si="27"/>
        <v>110899.54597636352</v>
      </c>
      <c r="L146" s="32"/>
      <c r="M146" s="10">
        <f t="shared" si="28"/>
        <v>193144.91597636353</v>
      </c>
    </row>
    <row r="147" spans="1:13" s="1" customFormat="1" ht="10" x14ac:dyDescent="0.2">
      <c r="A147" s="17" t="s">
        <v>431</v>
      </c>
      <c r="B147" s="10">
        <v>0</v>
      </c>
      <c r="C147" s="10">
        <v>0</v>
      </c>
      <c r="D147" s="10">
        <v>24521.756454447364</v>
      </c>
      <c r="E147" s="10">
        <v>0</v>
      </c>
      <c r="F147" s="10">
        <v>0</v>
      </c>
      <c r="G147" s="10">
        <v>0</v>
      </c>
      <c r="H147" s="10">
        <v>0</v>
      </c>
      <c r="I147" s="10">
        <v>0</v>
      </c>
      <c r="J147" s="32"/>
      <c r="K147" s="10">
        <f t="shared" si="27"/>
        <v>24521.756454447364</v>
      </c>
      <c r="L147" s="32"/>
      <c r="M147" s="10">
        <f t="shared" si="28"/>
        <v>24521.756454447364</v>
      </c>
    </row>
    <row r="148" spans="1:13" s="1" customFormat="1" ht="10" x14ac:dyDescent="0.2">
      <c r="A148" s="17" t="s">
        <v>386</v>
      </c>
      <c r="B148" s="10">
        <v>0</v>
      </c>
      <c r="C148" s="10">
        <v>0</v>
      </c>
      <c r="D148" s="10">
        <v>5683.2716353146798</v>
      </c>
      <c r="E148" s="10">
        <v>0</v>
      </c>
      <c r="F148" s="10">
        <v>4987.4522861851219</v>
      </c>
      <c r="G148" s="10">
        <v>35248.323258842844</v>
      </c>
      <c r="H148" s="10">
        <v>0</v>
      </c>
      <c r="I148" s="10">
        <v>32759.16675241922</v>
      </c>
      <c r="J148" s="32"/>
      <c r="K148" s="10">
        <f t="shared" si="27"/>
        <v>78678.213932761864</v>
      </c>
      <c r="L148" s="32"/>
      <c r="M148" s="10">
        <f t="shared" si="28"/>
        <v>78678.213932761864</v>
      </c>
    </row>
    <row r="149" spans="1:13" s="1" customFormat="1" ht="10.5" x14ac:dyDescent="0.25">
      <c r="A149" s="8" t="s">
        <v>387</v>
      </c>
      <c r="B149" s="5"/>
      <c r="C149" s="5"/>
      <c r="D149" s="5"/>
      <c r="E149" s="5"/>
      <c r="F149" s="5"/>
      <c r="G149" s="5"/>
      <c r="H149" s="5"/>
      <c r="I149" s="5"/>
      <c r="J149" s="31"/>
      <c r="K149" s="5">
        <f t="shared" si="27"/>
        <v>0</v>
      </c>
      <c r="L149" s="31"/>
      <c r="M149" s="5">
        <f t="shared" si="28"/>
        <v>0</v>
      </c>
    </row>
    <row r="150" spans="1:13" s="1" customFormat="1" ht="10" x14ac:dyDescent="0.2">
      <c r="A150" s="9" t="s">
        <v>388</v>
      </c>
      <c r="B150" s="10">
        <v>0</v>
      </c>
      <c r="C150" s="10">
        <v>0</v>
      </c>
      <c r="D150" s="10">
        <v>244284.83956977085</v>
      </c>
      <c r="E150" s="10">
        <v>0</v>
      </c>
      <c r="F150" s="10">
        <v>0</v>
      </c>
      <c r="G150" s="10">
        <v>0</v>
      </c>
      <c r="H150" s="10">
        <v>0</v>
      </c>
      <c r="I150" s="10">
        <v>0</v>
      </c>
      <c r="J150" s="32"/>
      <c r="K150" s="10">
        <f t="shared" si="27"/>
        <v>244284.83956977085</v>
      </c>
      <c r="L150" s="32"/>
      <c r="M150" s="10">
        <f t="shared" si="28"/>
        <v>244284.83956977085</v>
      </c>
    </row>
    <row r="151" spans="1:13" s="1" customFormat="1" ht="10" x14ac:dyDescent="0.2">
      <c r="A151" s="9" t="s">
        <v>440</v>
      </c>
      <c r="B151" s="10">
        <v>0</v>
      </c>
      <c r="C151" s="10">
        <v>0</v>
      </c>
      <c r="D151" s="10">
        <v>6103.7287128989392</v>
      </c>
      <c r="E151" s="10">
        <v>0</v>
      </c>
      <c r="F151" s="10">
        <v>0</v>
      </c>
      <c r="G151" s="10">
        <v>0</v>
      </c>
      <c r="H151" s="10">
        <v>0</v>
      </c>
      <c r="I151" s="10">
        <v>0</v>
      </c>
      <c r="J151" s="32"/>
      <c r="K151" s="10">
        <f t="shared" si="27"/>
        <v>6103.7287128989392</v>
      </c>
      <c r="L151" s="32"/>
      <c r="M151" s="10">
        <f t="shared" si="28"/>
        <v>6103.7287128989392</v>
      </c>
    </row>
    <row r="152" spans="1:13" s="1" customFormat="1" ht="10" x14ac:dyDescent="0.2">
      <c r="A152" s="9" t="s">
        <v>446</v>
      </c>
      <c r="B152" s="10">
        <v>0</v>
      </c>
      <c r="C152" s="10">
        <v>0</v>
      </c>
      <c r="D152" s="10">
        <v>2713.1581706269471</v>
      </c>
      <c r="E152" s="10">
        <v>0</v>
      </c>
      <c r="F152" s="10">
        <v>0</v>
      </c>
      <c r="G152" s="10">
        <v>0</v>
      </c>
      <c r="H152" s="10">
        <v>0</v>
      </c>
      <c r="I152" s="10">
        <v>0</v>
      </c>
      <c r="J152" s="32"/>
      <c r="K152" s="10">
        <f t="shared" si="27"/>
        <v>2713.1581706269471</v>
      </c>
      <c r="L152" s="32"/>
      <c r="M152" s="10">
        <f t="shared" si="28"/>
        <v>2713.1581706269471</v>
      </c>
    </row>
    <row r="153" spans="1:13" s="1" customFormat="1" ht="10.5" x14ac:dyDescent="0.25">
      <c r="A153" s="11" t="s">
        <v>389</v>
      </c>
      <c r="B153" s="12">
        <f t="shared" ref="B153:M153" si="29">SUM(B150:B152)</f>
        <v>0</v>
      </c>
      <c r="C153" s="12">
        <f t="shared" si="29"/>
        <v>0</v>
      </c>
      <c r="D153" s="12">
        <f t="shared" si="29"/>
        <v>253101.72645329672</v>
      </c>
      <c r="E153" s="12">
        <f t="shared" si="29"/>
        <v>0</v>
      </c>
      <c r="F153" s="12">
        <f t="shared" si="29"/>
        <v>0</v>
      </c>
      <c r="G153" s="12">
        <f t="shared" si="29"/>
        <v>0</v>
      </c>
      <c r="H153" s="12">
        <f t="shared" si="29"/>
        <v>0</v>
      </c>
      <c r="I153" s="12">
        <f t="shared" si="29"/>
        <v>0</v>
      </c>
      <c r="J153" s="33">
        <f t="shared" si="29"/>
        <v>0</v>
      </c>
      <c r="K153" s="12">
        <f t="shared" si="27"/>
        <v>253101.72645329672</v>
      </c>
      <c r="L153" s="33">
        <f t="shared" si="29"/>
        <v>0</v>
      </c>
      <c r="M153" s="12">
        <f t="shared" si="28"/>
        <v>253101.72645329672</v>
      </c>
    </row>
    <row r="154" spans="1:13" s="1" customFormat="1" ht="10.5" x14ac:dyDescent="0.25">
      <c r="A154" s="8" t="s">
        <v>390</v>
      </c>
      <c r="B154" s="5"/>
      <c r="C154" s="5"/>
      <c r="D154" s="5"/>
      <c r="E154" s="5"/>
      <c r="F154" s="5"/>
      <c r="G154" s="5"/>
      <c r="H154" s="5"/>
      <c r="I154" s="5"/>
      <c r="J154" s="31"/>
      <c r="K154" s="5">
        <f t="shared" si="27"/>
        <v>0</v>
      </c>
      <c r="L154" s="31"/>
      <c r="M154" s="5">
        <f t="shared" si="28"/>
        <v>0</v>
      </c>
    </row>
    <row r="155" spans="1:13" s="1" customFormat="1" ht="10" x14ac:dyDescent="0.2">
      <c r="A155" s="9" t="s">
        <v>391</v>
      </c>
      <c r="B155" s="10">
        <v>0</v>
      </c>
      <c r="C155" s="10">
        <v>0</v>
      </c>
      <c r="D155" s="10">
        <v>-182726.81093266385</v>
      </c>
      <c r="E155" s="10">
        <v>0</v>
      </c>
      <c r="F155" s="10">
        <v>0</v>
      </c>
      <c r="G155" s="10">
        <v>8559.6621348376448</v>
      </c>
      <c r="H155" s="10">
        <v>5857.7822690887579</v>
      </c>
      <c r="I155" s="10">
        <v>0</v>
      </c>
      <c r="J155" s="32"/>
      <c r="K155" s="10">
        <f t="shared" si="27"/>
        <v>-168309.36652873745</v>
      </c>
      <c r="L155" s="32"/>
      <c r="M155" s="10">
        <f t="shared" si="28"/>
        <v>-168309.36652873745</v>
      </c>
    </row>
    <row r="156" spans="1:13" s="1" customFormat="1" ht="10" x14ac:dyDescent="0.2">
      <c r="A156" s="9" t="s">
        <v>392</v>
      </c>
      <c r="B156" s="10">
        <v>0</v>
      </c>
      <c r="C156" s="10">
        <v>0</v>
      </c>
      <c r="D156" s="10">
        <v>309320.76366050966</v>
      </c>
      <c r="E156" s="10">
        <v>0</v>
      </c>
      <c r="F156" s="10">
        <v>2747.9063391402015</v>
      </c>
      <c r="G156" s="10">
        <v>0</v>
      </c>
      <c r="H156" s="10">
        <v>0</v>
      </c>
      <c r="I156" s="10">
        <v>79307.065051347716</v>
      </c>
      <c r="J156" s="32"/>
      <c r="K156" s="10">
        <f t="shared" si="27"/>
        <v>391375.73505099758</v>
      </c>
      <c r="L156" s="32"/>
      <c r="M156" s="10">
        <f t="shared" si="28"/>
        <v>391375.73505099758</v>
      </c>
    </row>
    <row r="157" spans="1:13" s="1" customFormat="1" ht="10.5" x14ac:dyDescent="0.25">
      <c r="A157" s="11" t="s">
        <v>393</v>
      </c>
      <c r="B157" s="12">
        <f t="shared" ref="B157:M157" si="30">SUM(B155:B156)</f>
        <v>0</v>
      </c>
      <c r="C157" s="12">
        <f t="shared" si="30"/>
        <v>0</v>
      </c>
      <c r="D157" s="12">
        <f t="shared" si="30"/>
        <v>126593.95272784581</v>
      </c>
      <c r="E157" s="12">
        <f t="shared" si="30"/>
        <v>0</v>
      </c>
      <c r="F157" s="12">
        <f t="shared" si="30"/>
        <v>2747.9063391402015</v>
      </c>
      <c r="G157" s="12">
        <f t="shared" si="30"/>
        <v>8559.6621348376448</v>
      </c>
      <c r="H157" s="12">
        <f t="shared" si="30"/>
        <v>5857.7822690887579</v>
      </c>
      <c r="I157" s="12">
        <f t="shared" si="30"/>
        <v>79307.065051347716</v>
      </c>
      <c r="J157" s="33">
        <f t="shared" si="30"/>
        <v>0</v>
      </c>
      <c r="K157" s="12">
        <f t="shared" si="27"/>
        <v>223066.36852226013</v>
      </c>
      <c r="L157" s="33">
        <f t="shared" si="30"/>
        <v>0</v>
      </c>
      <c r="M157" s="12">
        <f t="shared" si="28"/>
        <v>223066.36852226013</v>
      </c>
    </row>
    <row r="158" spans="1:13" s="1" customFormat="1" ht="10.5" x14ac:dyDescent="0.25">
      <c r="A158" s="13" t="s">
        <v>394</v>
      </c>
      <c r="B158" s="12">
        <f t="shared" ref="B158:M158" si="31">SUM(B131:B148,B153,B157)</f>
        <v>82245.37</v>
      </c>
      <c r="C158" s="12">
        <f t="shared" si="31"/>
        <v>0</v>
      </c>
      <c r="D158" s="12">
        <f t="shared" si="31"/>
        <v>1487729.0227730093</v>
      </c>
      <c r="E158" s="12">
        <f t="shared" si="31"/>
        <v>27.911354722731733</v>
      </c>
      <c r="F158" s="12">
        <f t="shared" si="31"/>
        <v>51140.443727353428</v>
      </c>
      <c r="G158" s="12">
        <f t="shared" si="31"/>
        <v>89980.193457781192</v>
      </c>
      <c r="H158" s="12">
        <f t="shared" si="31"/>
        <v>5857.7822690887579</v>
      </c>
      <c r="I158" s="12">
        <f t="shared" si="31"/>
        <v>289848.05844132788</v>
      </c>
      <c r="J158" s="33">
        <f t="shared" si="31"/>
        <v>-740135.37439230946</v>
      </c>
      <c r="K158" s="12">
        <f t="shared" si="27"/>
        <v>1184448.0376309736</v>
      </c>
      <c r="L158" s="33">
        <f t="shared" si="31"/>
        <v>0</v>
      </c>
      <c r="M158" s="12">
        <f t="shared" si="28"/>
        <v>1266693.4076309735</v>
      </c>
    </row>
    <row r="159" spans="1:13" s="1" customFormat="1" ht="10.5" x14ac:dyDescent="0.25">
      <c r="A159" s="13" t="s">
        <v>410</v>
      </c>
      <c r="B159" s="12"/>
      <c r="C159" s="12"/>
      <c r="D159" s="12"/>
      <c r="E159" s="12"/>
      <c r="F159" s="12"/>
      <c r="G159" s="12"/>
      <c r="H159" s="12"/>
      <c r="I159" s="12"/>
      <c r="J159" s="33"/>
      <c r="K159" s="12">
        <f t="shared" si="27"/>
        <v>0</v>
      </c>
      <c r="L159" s="33">
        <f xml:space="preserve"> -Goodwill!B3</f>
        <v>0</v>
      </c>
      <c r="M159" s="12">
        <f t="shared" si="28"/>
        <v>0</v>
      </c>
    </row>
    <row r="160" spans="1:13" s="1" customFormat="1" ht="10.5" x14ac:dyDescent="0.25">
      <c r="A160" s="20" t="s">
        <v>395</v>
      </c>
      <c r="B160" s="12">
        <f t="shared" ref="B160:M160" si="32">SUM(B129,B158)+ B159</f>
        <v>341722.82</v>
      </c>
      <c r="C160" s="12">
        <f t="shared" si="32"/>
        <v>1558.85715</v>
      </c>
      <c r="D160" s="12">
        <f t="shared" si="32"/>
        <v>3662096.6329366253</v>
      </c>
      <c r="E160" s="12">
        <f t="shared" si="32"/>
        <v>21995.11023564791</v>
      </c>
      <c r="F160" s="12">
        <f t="shared" si="32"/>
        <v>102262.73680939214</v>
      </c>
      <c r="G160" s="12">
        <f t="shared" si="32"/>
        <v>285997.49500367825</v>
      </c>
      <c r="H160" s="12">
        <f t="shared" si="32"/>
        <v>6923.2675331937826</v>
      </c>
      <c r="I160" s="12">
        <f t="shared" si="32"/>
        <v>727714.90288936207</v>
      </c>
      <c r="J160" s="33">
        <f t="shared" si="32"/>
        <v>-740135.37439230946</v>
      </c>
      <c r="K160" s="12">
        <f t="shared" si="27"/>
        <v>4066854.7710155901</v>
      </c>
      <c r="L160" s="33">
        <f t="shared" si="32"/>
        <v>0</v>
      </c>
      <c r="M160" s="12">
        <f t="shared" si="28"/>
        <v>4410136.4481655899</v>
      </c>
    </row>
    <row r="161" spans="1:13" s="1" customFormat="1" ht="10.5" x14ac:dyDescent="0.2">
      <c r="A161" s="21" t="s">
        <v>249</v>
      </c>
      <c r="B161" s="19">
        <f t="shared" ref="B161:M161" si="33">B36-B160</f>
        <v>-341722.82</v>
      </c>
      <c r="C161" s="19">
        <f t="shared" si="33"/>
        <v>-1558.85715</v>
      </c>
      <c r="D161" s="19">
        <f t="shared" si="33"/>
        <v>-262915.70793453977</v>
      </c>
      <c r="E161" s="19">
        <f t="shared" si="33"/>
        <v>-21995.11023564791</v>
      </c>
      <c r="F161" s="19">
        <f t="shared" si="33"/>
        <v>-73859.685544486798</v>
      </c>
      <c r="G161" s="19">
        <f t="shared" si="33"/>
        <v>-269923.33655119926</v>
      </c>
      <c r="H161" s="19">
        <f t="shared" si="33"/>
        <v>16283.59948163552</v>
      </c>
      <c r="I161" s="19">
        <f t="shared" si="33"/>
        <v>12420.471502947388</v>
      </c>
      <c r="J161" s="34">
        <f t="shared" si="33"/>
        <v>-132140.64889907744</v>
      </c>
      <c r="K161" s="19">
        <f t="shared" si="27"/>
        <v>-732130.41818036826</v>
      </c>
      <c r="L161" s="34">
        <f t="shared" si="33"/>
        <v>0</v>
      </c>
      <c r="M161" s="19">
        <f t="shared" si="28"/>
        <v>-1075412.0953303683</v>
      </c>
    </row>
    <row r="162" spans="1:13" s="1" customFormat="1" ht="10.5" x14ac:dyDescent="0.2">
      <c r="A162" s="4" t="s">
        <v>396</v>
      </c>
      <c r="B162" s="5"/>
      <c r="C162" s="5"/>
      <c r="D162" s="5"/>
      <c r="E162" s="5"/>
      <c r="F162" s="5"/>
      <c r="G162" s="5"/>
      <c r="H162" s="5"/>
      <c r="I162" s="5"/>
      <c r="J162" s="31"/>
      <c r="K162" s="5">
        <f t="shared" si="27"/>
        <v>0</v>
      </c>
      <c r="L162" s="31"/>
      <c r="M162" s="5">
        <f t="shared" si="28"/>
        <v>0</v>
      </c>
    </row>
    <row r="163" spans="1:13" s="1" customFormat="1" ht="10.5" x14ac:dyDescent="0.25">
      <c r="A163" s="6" t="s">
        <v>397</v>
      </c>
      <c r="B163" s="5"/>
      <c r="C163" s="5"/>
      <c r="D163" s="5"/>
      <c r="E163" s="5"/>
      <c r="F163" s="5"/>
      <c r="G163" s="5"/>
      <c r="H163" s="5"/>
      <c r="I163" s="5"/>
      <c r="J163" s="31"/>
      <c r="K163" s="5">
        <f t="shared" si="27"/>
        <v>0</v>
      </c>
      <c r="L163" s="31"/>
      <c r="M163" s="5">
        <f t="shared" si="28"/>
        <v>0</v>
      </c>
    </row>
    <row r="164" spans="1:13" s="1" customFormat="1" ht="10.5" x14ac:dyDescent="0.25">
      <c r="A164" s="7" t="s">
        <v>398</v>
      </c>
      <c r="B164" s="5"/>
      <c r="C164" s="5"/>
      <c r="D164" s="5"/>
      <c r="E164" s="5"/>
      <c r="F164" s="5"/>
      <c r="G164" s="5"/>
      <c r="H164" s="5"/>
      <c r="I164" s="5"/>
      <c r="J164" s="31"/>
      <c r="K164" s="5">
        <f t="shared" si="27"/>
        <v>0</v>
      </c>
      <c r="L164" s="31"/>
      <c r="M164" s="5">
        <f t="shared" si="28"/>
        <v>0</v>
      </c>
    </row>
    <row r="165" spans="1:13" s="1" customFormat="1" ht="10" x14ac:dyDescent="0.2">
      <c r="A165" s="17" t="s">
        <v>578</v>
      </c>
      <c r="B165" s="10">
        <v>0</v>
      </c>
      <c r="C165" s="10">
        <v>0</v>
      </c>
      <c r="D165" s="10">
        <v>0</v>
      </c>
      <c r="E165" s="10">
        <v>0</v>
      </c>
      <c r="F165" s="10">
        <v>0</v>
      </c>
      <c r="G165" s="10">
        <v>8.1369035582039995E-3</v>
      </c>
      <c r="H165" s="10">
        <v>0</v>
      </c>
      <c r="I165" s="10">
        <v>0</v>
      </c>
      <c r="J165" s="32"/>
      <c r="K165" s="10">
        <f t="shared" si="27"/>
        <v>8.1369035582039995E-3</v>
      </c>
      <c r="L165" s="32"/>
      <c r="M165" s="10">
        <f t="shared" si="28"/>
        <v>8.1369035582039995E-3</v>
      </c>
    </row>
    <row r="166" spans="1:13" s="1" customFormat="1" ht="10" x14ac:dyDescent="0.2">
      <c r="A166" s="17" t="s">
        <v>399</v>
      </c>
      <c r="B166" s="10">
        <v>34.049999999999997</v>
      </c>
      <c r="C166" s="10">
        <v>0</v>
      </c>
      <c r="D166" s="10">
        <v>0</v>
      </c>
      <c r="E166" s="10">
        <v>0</v>
      </c>
      <c r="F166" s="10">
        <v>0</v>
      </c>
      <c r="G166" s="10">
        <v>0.149968209284607</v>
      </c>
      <c r="H166" s="10">
        <v>0</v>
      </c>
      <c r="I166" s="10">
        <v>0</v>
      </c>
      <c r="J166" s="32"/>
      <c r="K166" s="10">
        <f t="shared" si="27"/>
        <v>0.149968209284607</v>
      </c>
      <c r="L166" s="32"/>
      <c r="M166" s="10">
        <f t="shared" si="28"/>
        <v>34.199968209284606</v>
      </c>
    </row>
    <row r="167" spans="1:13" s="1" customFormat="1" ht="10" x14ac:dyDescent="0.2">
      <c r="A167" s="17" t="s">
        <v>579</v>
      </c>
      <c r="B167" s="10">
        <v>0</v>
      </c>
      <c r="C167" s="10">
        <v>0</v>
      </c>
      <c r="D167" s="10">
        <v>0</v>
      </c>
      <c r="E167" s="10">
        <v>0</v>
      </c>
      <c r="F167" s="10">
        <v>0</v>
      </c>
      <c r="G167" s="10">
        <v>-166.48400114211884</v>
      </c>
      <c r="H167" s="10">
        <v>0</v>
      </c>
      <c r="I167" s="10">
        <v>0</v>
      </c>
      <c r="J167" s="32"/>
      <c r="K167" s="10">
        <f t="shared" si="27"/>
        <v>-166.48400114211884</v>
      </c>
      <c r="L167" s="32"/>
      <c r="M167" s="10">
        <f t="shared" si="28"/>
        <v>-166.48400114211884</v>
      </c>
    </row>
    <row r="168" spans="1:13" s="1" customFormat="1" ht="10.5" x14ac:dyDescent="0.25">
      <c r="A168" s="13" t="s">
        <v>400</v>
      </c>
      <c r="B168" s="12">
        <f t="shared" ref="B168:M168" si="34">SUM(B165:B167)</f>
        <v>34.049999999999997</v>
      </c>
      <c r="C168" s="12">
        <f t="shared" si="34"/>
        <v>0</v>
      </c>
      <c r="D168" s="12">
        <f t="shared" si="34"/>
        <v>0</v>
      </c>
      <c r="E168" s="12">
        <f t="shared" si="34"/>
        <v>0</v>
      </c>
      <c r="F168" s="12">
        <f t="shared" si="34"/>
        <v>0</v>
      </c>
      <c r="G168" s="12">
        <f t="shared" si="34"/>
        <v>-166.32589602927604</v>
      </c>
      <c r="H168" s="12">
        <f t="shared" si="34"/>
        <v>0</v>
      </c>
      <c r="I168" s="12">
        <f t="shared" si="34"/>
        <v>0</v>
      </c>
      <c r="J168" s="33">
        <f t="shared" si="34"/>
        <v>0</v>
      </c>
      <c r="K168" s="12">
        <f t="shared" si="27"/>
        <v>-166.32589602927604</v>
      </c>
      <c r="L168" s="33">
        <f t="shared" si="34"/>
        <v>0</v>
      </c>
      <c r="M168" s="12">
        <f t="shared" si="28"/>
        <v>-132.27589602927605</v>
      </c>
    </row>
    <row r="169" spans="1:13" s="1" customFormat="1" ht="10.5" x14ac:dyDescent="0.25">
      <c r="A169" s="20" t="s">
        <v>401</v>
      </c>
      <c r="B169" s="12">
        <f t="shared" ref="B169:M169" si="35">SUM(B168)</f>
        <v>34.049999999999997</v>
      </c>
      <c r="C169" s="12">
        <f t="shared" si="35"/>
        <v>0</v>
      </c>
      <c r="D169" s="12">
        <f t="shared" si="35"/>
        <v>0</v>
      </c>
      <c r="E169" s="12">
        <f t="shared" si="35"/>
        <v>0</v>
      </c>
      <c r="F169" s="12">
        <f t="shared" si="35"/>
        <v>0</v>
      </c>
      <c r="G169" s="12">
        <f t="shared" si="35"/>
        <v>-166.32589602927604</v>
      </c>
      <c r="H169" s="12">
        <f t="shared" si="35"/>
        <v>0</v>
      </c>
      <c r="I169" s="12">
        <f t="shared" si="35"/>
        <v>0</v>
      </c>
      <c r="J169" s="33">
        <f t="shared" si="35"/>
        <v>0</v>
      </c>
      <c r="K169" s="12">
        <f t="shared" si="27"/>
        <v>-166.32589602927604</v>
      </c>
      <c r="L169" s="33">
        <f t="shared" si="35"/>
        <v>0</v>
      </c>
      <c r="M169" s="12">
        <f t="shared" si="28"/>
        <v>-132.27589602927605</v>
      </c>
    </row>
    <row r="170" spans="1:13" s="1" customFormat="1" ht="10.5" x14ac:dyDescent="0.25">
      <c r="A170" s="6" t="s">
        <v>402</v>
      </c>
      <c r="B170" s="5"/>
      <c r="C170" s="5"/>
      <c r="D170" s="5"/>
      <c r="E170" s="5"/>
      <c r="F170" s="5"/>
      <c r="G170" s="5"/>
      <c r="H170" s="5"/>
      <c r="I170" s="5"/>
      <c r="J170" s="31"/>
      <c r="K170" s="5">
        <f t="shared" si="27"/>
        <v>0</v>
      </c>
      <c r="L170" s="31"/>
      <c r="M170" s="5">
        <f t="shared" si="28"/>
        <v>0</v>
      </c>
    </row>
    <row r="171" spans="1:13" s="1" customFormat="1" ht="10" x14ac:dyDescent="0.2">
      <c r="A171" s="22" t="s">
        <v>580</v>
      </c>
      <c r="B171" s="10">
        <v>0</v>
      </c>
      <c r="C171" s="10">
        <v>0</v>
      </c>
      <c r="D171" s="10">
        <v>0</v>
      </c>
      <c r="E171" s="10">
        <v>0</v>
      </c>
      <c r="F171" s="10">
        <v>0</v>
      </c>
      <c r="G171" s="10">
        <v>-1711.517523259236</v>
      </c>
      <c r="H171" s="10">
        <v>0</v>
      </c>
      <c r="I171" s="10">
        <v>0</v>
      </c>
      <c r="J171" s="32"/>
      <c r="K171" s="10">
        <f t="shared" si="27"/>
        <v>-1711.517523259236</v>
      </c>
      <c r="L171" s="32"/>
      <c r="M171" s="10">
        <f t="shared" si="28"/>
        <v>-1711.517523259236</v>
      </c>
    </row>
    <row r="172" spans="1:13" s="1" customFormat="1" ht="10.5" x14ac:dyDescent="0.25">
      <c r="A172" s="7" t="s">
        <v>581</v>
      </c>
      <c r="B172" s="5"/>
      <c r="C172" s="5"/>
      <c r="D172" s="5"/>
      <c r="E172" s="5"/>
      <c r="F172" s="5"/>
      <c r="G172" s="5"/>
      <c r="H172" s="5"/>
      <c r="I172" s="5"/>
      <c r="J172" s="31"/>
      <c r="K172" s="5">
        <f t="shared" si="27"/>
        <v>0</v>
      </c>
      <c r="L172" s="31"/>
      <c r="M172" s="5">
        <f t="shared" si="28"/>
        <v>0</v>
      </c>
    </row>
    <row r="173" spans="1:13" s="1" customFormat="1" ht="10" x14ac:dyDescent="0.2">
      <c r="A173" s="17" t="s">
        <v>582</v>
      </c>
      <c r="B173" s="10">
        <v>0</v>
      </c>
      <c r="C173" s="10">
        <v>0</v>
      </c>
      <c r="D173" s="10">
        <v>0</v>
      </c>
      <c r="E173" s="10">
        <v>0</v>
      </c>
      <c r="F173" s="10">
        <v>5207.7309520479448</v>
      </c>
      <c r="G173" s="10">
        <v>0</v>
      </c>
      <c r="H173" s="10">
        <v>0</v>
      </c>
      <c r="I173" s="10">
        <v>0</v>
      </c>
      <c r="J173" s="32"/>
      <c r="K173" s="10">
        <f t="shared" ref="K173:K204" si="36">SUM(D173:J173)</f>
        <v>5207.7309520479448</v>
      </c>
      <c r="L173" s="32"/>
      <c r="M173" s="10">
        <f t="shared" ref="M173:M204" si="37">SUM(B173,K173,L173)+C173</f>
        <v>5207.7309520479448</v>
      </c>
    </row>
    <row r="174" spans="1:13" s="1" customFormat="1" ht="10.5" x14ac:dyDescent="0.25">
      <c r="A174" s="13" t="s">
        <v>583</v>
      </c>
      <c r="B174" s="12">
        <f t="shared" ref="B174:M174" si="38">SUM(B173)</f>
        <v>0</v>
      </c>
      <c r="C174" s="12">
        <f t="shared" si="38"/>
        <v>0</v>
      </c>
      <c r="D174" s="12">
        <f t="shared" si="38"/>
        <v>0</v>
      </c>
      <c r="E174" s="12">
        <f t="shared" si="38"/>
        <v>0</v>
      </c>
      <c r="F174" s="12">
        <f t="shared" si="38"/>
        <v>5207.7309520479448</v>
      </c>
      <c r="G174" s="12">
        <f t="shared" si="38"/>
        <v>0</v>
      </c>
      <c r="H174" s="12">
        <f t="shared" si="38"/>
        <v>0</v>
      </c>
      <c r="I174" s="12">
        <f t="shared" si="38"/>
        <v>0</v>
      </c>
      <c r="J174" s="33">
        <f t="shared" si="38"/>
        <v>0</v>
      </c>
      <c r="K174" s="12">
        <f t="shared" si="36"/>
        <v>5207.7309520479448</v>
      </c>
      <c r="L174" s="33">
        <f t="shared" si="38"/>
        <v>0</v>
      </c>
      <c r="M174" s="12">
        <f t="shared" si="37"/>
        <v>5207.7309520479448</v>
      </c>
    </row>
    <row r="175" spans="1:13" s="1" customFormat="1" ht="10" x14ac:dyDescent="0.2">
      <c r="A175" s="22" t="s">
        <v>403</v>
      </c>
      <c r="B175" s="10">
        <v>0.02</v>
      </c>
      <c r="C175" s="10">
        <v>0</v>
      </c>
      <c r="D175" s="10">
        <v>7.4147272208950676E-2</v>
      </c>
      <c r="E175" s="10">
        <v>0</v>
      </c>
      <c r="F175" s="10">
        <v>0</v>
      </c>
      <c r="G175" s="10">
        <v>2.3703480923275001E-2</v>
      </c>
      <c r="H175" s="10">
        <v>0</v>
      </c>
      <c r="I175" s="10">
        <v>0</v>
      </c>
      <c r="J175" s="32"/>
      <c r="K175" s="10">
        <f t="shared" si="36"/>
        <v>9.7850753132225674E-2</v>
      </c>
      <c r="L175" s="32"/>
      <c r="M175" s="10">
        <f t="shared" si="37"/>
        <v>0.11785075313222568</v>
      </c>
    </row>
    <row r="176" spans="1:13" s="1" customFormat="1" ht="10" x14ac:dyDescent="0.2">
      <c r="A176" s="22" t="s">
        <v>404</v>
      </c>
      <c r="B176" s="10">
        <v>2745.42</v>
      </c>
      <c r="C176" s="10">
        <v>0</v>
      </c>
      <c r="D176" s="10">
        <v>-11571.915357322016</v>
      </c>
      <c r="E176" s="10">
        <v>0</v>
      </c>
      <c r="F176" s="10">
        <v>-68.087196876450236</v>
      </c>
      <c r="G176" s="10">
        <v>212.4271799644236</v>
      </c>
      <c r="H176" s="10">
        <v>0</v>
      </c>
      <c r="I176" s="10">
        <v>0</v>
      </c>
      <c r="J176" s="32"/>
      <c r="K176" s="10">
        <f t="shared" si="36"/>
        <v>-11427.575374234042</v>
      </c>
      <c r="L176" s="32"/>
      <c r="M176" s="10">
        <f t="shared" si="37"/>
        <v>-8682.155374234042</v>
      </c>
    </row>
    <row r="177" spans="1:13" s="1" customFormat="1" ht="10.5" x14ac:dyDescent="0.25">
      <c r="A177" s="20" t="s">
        <v>405</v>
      </c>
      <c r="B177" s="12">
        <f t="shared" ref="B177:M177" si="39">SUM(B171,B174:B176)</f>
        <v>2745.44</v>
      </c>
      <c r="C177" s="12">
        <f t="shared" si="39"/>
        <v>0</v>
      </c>
      <c r="D177" s="12">
        <f t="shared" si="39"/>
        <v>-11571.841210049806</v>
      </c>
      <c r="E177" s="12">
        <f t="shared" si="39"/>
        <v>0</v>
      </c>
      <c r="F177" s="12">
        <f t="shared" si="39"/>
        <v>5139.6437551714944</v>
      </c>
      <c r="G177" s="12">
        <f t="shared" si="39"/>
        <v>-1499.066639813889</v>
      </c>
      <c r="H177" s="12">
        <f t="shared" si="39"/>
        <v>0</v>
      </c>
      <c r="I177" s="12">
        <f t="shared" si="39"/>
        <v>0</v>
      </c>
      <c r="J177" s="33">
        <f t="shared" si="39"/>
        <v>0</v>
      </c>
      <c r="K177" s="12">
        <f t="shared" si="36"/>
        <v>-7931.2640946922011</v>
      </c>
      <c r="L177" s="33">
        <f t="shared" si="39"/>
        <v>0</v>
      </c>
      <c r="M177" s="12">
        <f t="shared" si="37"/>
        <v>-5185.8240946922015</v>
      </c>
    </row>
    <row r="178" spans="1:13" s="1" customFormat="1" ht="10.5" x14ac:dyDescent="0.2">
      <c r="A178" s="21" t="s">
        <v>406</v>
      </c>
      <c r="B178" s="19">
        <f t="shared" ref="B178:M178" si="40">B169-B177</f>
        <v>-2711.39</v>
      </c>
      <c r="C178" s="19">
        <f t="shared" si="40"/>
        <v>0</v>
      </c>
      <c r="D178" s="19">
        <f t="shared" si="40"/>
        <v>11571.841210049806</v>
      </c>
      <c r="E178" s="19">
        <f t="shared" si="40"/>
        <v>0</v>
      </c>
      <c r="F178" s="19">
        <f t="shared" si="40"/>
        <v>-5139.6437551714944</v>
      </c>
      <c r="G178" s="19">
        <f t="shared" si="40"/>
        <v>1332.740743784613</v>
      </c>
      <c r="H178" s="19">
        <f t="shared" si="40"/>
        <v>0</v>
      </c>
      <c r="I178" s="19">
        <f t="shared" si="40"/>
        <v>0</v>
      </c>
      <c r="J178" s="34">
        <f t="shared" si="40"/>
        <v>0</v>
      </c>
      <c r="K178" s="19">
        <f t="shared" si="36"/>
        <v>7764.9381986629251</v>
      </c>
      <c r="L178" s="34">
        <f t="shared" si="40"/>
        <v>0</v>
      </c>
      <c r="M178" s="19">
        <f t="shared" si="37"/>
        <v>5053.5481986629256</v>
      </c>
    </row>
    <row r="179" spans="1:13" s="1" customFormat="1" ht="10.5" x14ac:dyDescent="0.2">
      <c r="A179" s="21" t="s">
        <v>222</v>
      </c>
      <c r="B179" s="19">
        <f t="shared" ref="B179:M179" si="41">B161+B178</f>
        <v>-344434.21</v>
      </c>
      <c r="C179" s="19">
        <f t="shared" si="41"/>
        <v>-1558.85715</v>
      </c>
      <c r="D179" s="19">
        <f t="shared" si="41"/>
        <v>-251343.86672448996</v>
      </c>
      <c r="E179" s="19">
        <f t="shared" si="41"/>
        <v>-21995.11023564791</v>
      </c>
      <c r="F179" s="19">
        <f t="shared" si="41"/>
        <v>-78999.32929965829</v>
      </c>
      <c r="G179" s="19">
        <f t="shared" si="41"/>
        <v>-268590.59580741462</v>
      </c>
      <c r="H179" s="19">
        <f t="shared" si="41"/>
        <v>16283.59948163552</v>
      </c>
      <c r="I179" s="19">
        <f t="shared" si="41"/>
        <v>12420.471502947388</v>
      </c>
      <c r="J179" s="34">
        <f t="shared" si="41"/>
        <v>-132140.64889907744</v>
      </c>
      <c r="K179" s="19">
        <f t="shared" si="36"/>
        <v>-724365.47998170531</v>
      </c>
      <c r="L179" s="34">
        <f t="shared" si="41"/>
        <v>0</v>
      </c>
      <c r="M179" s="19">
        <f t="shared" si="37"/>
        <v>-1070358.5471317053</v>
      </c>
    </row>
  </sheetData>
  <mergeCells count="12">
    <mergeCell ref="B7:M7"/>
    <mergeCell ref="B8:B10"/>
    <mergeCell ref="D8:K8"/>
    <mergeCell ref="C9:C10"/>
    <mergeCell ref="D9:D10"/>
    <mergeCell ref="M9:M10"/>
    <mergeCell ref="A1:M1"/>
    <mergeCell ref="A2:M2"/>
    <mergeCell ref="A3:M3"/>
    <mergeCell ref="A4:M4"/>
    <mergeCell ref="A5:M5"/>
    <mergeCell ref="A6:M6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61004-D47D-46C1-BC8F-2C395E57D5AC}">
  <sheetPr codeName="Sheet26"/>
  <dimension ref="A1:B4"/>
  <sheetViews>
    <sheetView workbookViewId="0"/>
  </sheetViews>
  <sheetFormatPr defaultRowHeight="14.5" x14ac:dyDescent="0.35"/>
  <cols>
    <col min="1" max="1" width="27.90625" bestFit="1" customWidth="1"/>
    <col min="2" max="2" width="1.81640625" bestFit="1" customWidth="1"/>
  </cols>
  <sheetData>
    <row r="1" spans="1:2" x14ac:dyDescent="0.35">
      <c r="A1" t="s">
        <v>414</v>
      </c>
    </row>
    <row r="2" spans="1:2" x14ac:dyDescent="0.35">
      <c r="A2" t="s">
        <v>415</v>
      </c>
    </row>
    <row r="3" spans="1:2" x14ac:dyDescent="0.35">
      <c r="A3" t="s">
        <v>416</v>
      </c>
    </row>
    <row r="4" spans="1:2" x14ac:dyDescent="0.35">
      <c r="A4" t="s">
        <v>417</v>
      </c>
      <c r="B4">
        <f>B1-B2-B3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37DD5-F93B-48E8-94B7-F9E7A51C6E96}">
  <sheetPr codeName="Sheet25"/>
  <dimension ref="A1:E7"/>
  <sheetViews>
    <sheetView workbookViewId="0"/>
  </sheetViews>
  <sheetFormatPr defaultRowHeight="14.5" x14ac:dyDescent="0.35"/>
  <cols>
    <col min="1" max="1" width="28.90625" bestFit="1" customWidth="1"/>
    <col min="2" max="2" width="19.7265625" bestFit="1" customWidth="1"/>
    <col min="3" max="3" width="18.453125" bestFit="1" customWidth="1"/>
    <col min="4" max="4" width="12.7265625" bestFit="1" customWidth="1"/>
    <col min="5" max="5" width="23.1796875" bestFit="1" customWidth="1"/>
  </cols>
  <sheetData>
    <row r="1" spans="1:5" x14ac:dyDescent="0.35">
      <c r="A1" t="s">
        <v>411</v>
      </c>
      <c r="B1" t="s">
        <v>0</v>
      </c>
      <c r="C1" t="s">
        <v>12</v>
      </c>
      <c r="D1" t="s">
        <v>13</v>
      </c>
      <c r="E1" t="s">
        <v>14</v>
      </c>
    </row>
    <row r="2" spans="1:5" x14ac:dyDescent="0.35">
      <c r="A2" t="s">
        <v>303</v>
      </c>
      <c r="B2">
        <v>810968.77511319029</v>
      </c>
      <c r="C2">
        <v>9621.8857922708503</v>
      </c>
      <c r="D2">
        <v>172801.00265510456</v>
      </c>
      <c r="E2">
        <v>138340.09166135563</v>
      </c>
    </row>
    <row r="3" spans="1:5" x14ac:dyDescent="0.35">
      <c r="A3" t="s">
        <v>237</v>
      </c>
      <c r="B3">
        <v>53508.044977228521</v>
      </c>
      <c r="C3">
        <v>9183.0176254175203</v>
      </c>
      <c r="D3">
        <v>94848.413074540862</v>
      </c>
      <c r="E3">
        <v>101916.2562533477</v>
      </c>
    </row>
    <row r="4" spans="1:5" x14ac:dyDescent="0.35">
      <c r="A4" t="s">
        <v>412</v>
      </c>
      <c r="B4" s="36">
        <v>213120.24</v>
      </c>
      <c r="D4">
        <v>198367.78693140871</v>
      </c>
      <c r="E4">
        <v>45503.070836999999</v>
      </c>
    </row>
    <row r="5" spans="1:5" x14ac:dyDescent="0.35">
      <c r="A5" t="s">
        <v>413</v>
      </c>
      <c r="B5">
        <v>0.2</v>
      </c>
      <c r="D5">
        <v>0.43666590987951698</v>
      </c>
      <c r="E5">
        <v>0.2</v>
      </c>
    </row>
    <row r="6" spans="1:5" x14ac:dyDescent="0.35">
      <c r="A6" t="s">
        <v>73</v>
      </c>
      <c r="B6">
        <f t="shared" ref="B6:E6" si="0">B5 * B4</f>
        <v>42624.048000000003</v>
      </c>
      <c r="C6">
        <f t="shared" si="0"/>
        <v>0</v>
      </c>
      <c r="D6">
        <f t="shared" si="0"/>
        <v>86620.450171189746</v>
      </c>
      <c r="E6">
        <f t="shared" si="0"/>
        <v>9100.614167400001</v>
      </c>
    </row>
    <row r="7" spans="1:5" x14ac:dyDescent="0.35">
      <c r="A7" t="s">
        <v>221</v>
      </c>
      <c r="B7">
        <f t="shared" ref="B7:E7" si="1">B6</f>
        <v>42624.048000000003</v>
      </c>
      <c r="C7">
        <f t="shared" si="1"/>
        <v>0</v>
      </c>
      <c r="D7">
        <f t="shared" si="1"/>
        <v>86620.450171189746</v>
      </c>
      <c r="E7">
        <f t="shared" si="1"/>
        <v>9100.614167400001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8BC34-F69F-40B4-829E-104E5E25ACDD}">
  <sheetPr codeName="Sheet2"/>
  <dimension ref="A1:J140"/>
  <sheetViews>
    <sheetView workbookViewId="0">
      <selection sqref="A1:J1"/>
    </sheetView>
  </sheetViews>
  <sheetFormatPr defaultRowHeight="10" x14ac:dyDescent="0.2"/>
  <cols>
    <col min="1" max="1" width="11.7265625" style="1" bestFit="1" customWidth="1"/>
    <col min="2" max="2" width="10.08984375" style="1" bestFit="1" customWidth="1"/>
    <col min="3" max="3" width="8.08984375" style="1" bestFit="1" customWidth="1"/>
    <col min="4" max="4" width="14.7265625" style="1" bestFit="1" customWidth="1"/>
    <col min="5" max="5" width="17.36328125" style="1" bestFit="1" customWidth="1"/>
    <col min="6" max="6" width="4.7265625" style="1" bestFit="1" customWidth="1"/>
    <col min="7" max="7" width="42" style="1" bestFit="1" customWidth="1"/>
    <col min="8" max="8" width="8.54296875" style="1" bestFit="1" customWidth="1"/>
    <col min="9" max="9" width="14.1796875" style="1" bestFit="1" customWidth="1"/>
    <col min="10" max="10" width="11.36328125" style="1" bestFit="1" customWidth="1"/>
    <col min="11" max="16384" width="8.7265625" style="1"/>
  </cols>
  <sheetData>
    <row r="1" spans="1:10" x14ac:dyDescent="0.2">
      <c r="A1" s="2" t="s">
        <v>4</v>
      </c>
      <c r="B1" s="2" t="s">
        <v>226</v>
      </c>
      <c r="C1" s="2" t="s">
        <v>227</v>
      </c>
      <c r="D1" s="2" t="s">
        <v>228</v>
      </c>
      <c r="E1" s="2" t="s">
        <v>229</v>
      </c>
      <c r="F1" s="2" t="s">
        <v>230</v>
      </c>
      <c r="G1" s="2" t="s">
        <v>231</v>
      </c>
      <c r="H1" s="3" t="s">
        <v>6</v>
      </c>
      <c r="I1" s="2" t="s">
        <v>232</v>
      </c>
      <c r="J1" s="2" t="s">
        <v>233</v>
      </c>
    </row>
    <row r="2" spans="1:10" x14ac:dyDescent="0.2">
      <c r="A2" s="9"/>
      <c r="B2" s="23" t="s">
        <v>238</v>
      </c>
      <c r="C2" s="24">
        <v>44672</v>
      </c>
      <c r="D2" s="23" t="s">
        <v>506</v>
      </c>
      <c r="E2" s="23" t="s">
        <v>13</v>
      </c>
      <c r="F2" s="23" t="s">
        <v>239</v>
      </c>
      <c r="G2" s="23" t="s">
        <v>243</v>
      </c>
      <c r="H2" s="10">
        <v>5266.9749001602713</v>
      </c>
      <c r="I2" s="23" t="s">
        <v>504</v>
      </c>
      <c r="J2" s="23" t="s">
        <v>242</v>
      </c>
    </row>
    <row r="3" spans="1:10" x14ac:dyDescent="0.2">
      <c r="A3" s="9"/>
      <c r="B3" s="23" t="s">
        <v>238</v>
      </c>
      <c r="C3" s="24">
        <v>44692</v>
      </c>
      <c r="D3" s="23" t="s">
        <v>508</v>
      </c>
      <c r="E3" s="23" t="s">
        <v>13</v>
      </c>
      <c r="F3" s="23" t="s">
        <v>239</v>
      </c>
      <c r="G3" s="23" t="s">
        <v>243</v>
      </c>
      <c r="H3" s="10">
        <v>14053.208210261249</v>
      </c>
      <c r="I3" s="23" t="s">
        <v>245</v>
      </c>
      <c r="J3" s="23" t="s">
        <v>240</v>
      </c>
    </row>
    <row r="4" spans="1:10" x14ac:dyDescent="0.2">
      <c r="A4" s="9"/>
      <c r="B4" s="23" t="s">
        <v>238</v>
      </c>
      <c r="C4" s="24">
        <v>44692</v>
      </c>
      <c r="D4" s="23" t="s">
        <v>508</v>
      </c>
      <c r="E4" s="23" t="s">
        <v>13</v>
      </c>
      <c r="F4" s="23" t="s">
        <v>239</v>
      </c>
      <c r="G4" s="23" t="s">
        <v>243</v>
      </c>
      <c r="H4" s="10">
        <v>35499.817101448927</v>
      </c>
      <c r="I4" s="23" t="s">
        <v>502</v>
      </c>
      <c r="J4" s="23" t="s">
        <v>240</v>
      </c>
    </row>
    <row r="5" spans="1:10" x14ac:dyDescent="0.2">
      <c r="A5" s="9"/>
      <c r="B5" s="23" t="s">
        <v>238</v>
      </c>
      <c r="C5" s="24">
        <v>44700</v>
      </c>
      <c r="D5" s="23" t="s">
        <v>509</v>
      </c>
      <c r="E5" s="23" t="s">
        <v>0</v>
      </c>
      <c r="F5" s="23" t="s">
        <v>239</v>
      </c>
      <c r="G5" s="23" t="s">
        <v>243</v>
      </c>
      <c r="H5" s="10">
        <v>52908.465827728527</v>
      </c>
      <c r="I5" s="23" t="s">
        <v>241</v>
      </c>
      <c r="J5" s="23" t="s">
        <v>242</v>
      </c>
    </row>
    <row r="6" spans="1:10" x14ac:dyDescent="0.2">
      <c r="A6" s="9"/>
      <c r="B6" s="23" t="s">
        <v>238</v>
      </c>
      <c r="C6" s="24">
        <v>44733</v>
      </c>
      <c r="D6" s="23" t="s">
        <v>510</v>
      </c>
      <c r="E6" s="23" t="s">
        <v>12</v>
      </c>
      <c r="F6" s="23" t="s">
        <v>239</v>
      </c>
      <c r="G6" s="23" t="s">
        <v>243</v>
      </c>
      <c r="H6" s="10">
        <v>3386.7667479280453</v>
      </c>
      <c r="I6" s="23" t="s">
        <v>241</v>
      </c>
      <c r="J6" s="23" t="s">
        <v>242</v>
      </c>
    </row>
    <row r="7" spans="1:10" x14ac:dyDescent="0.2">
      <c r="A7" s="9"/>
      <c r="B7" s="23" t="s">
        <v>238</v>
      </c>
      <c r="C7" s="24">
        <v>44733</v>
      </c>
      <c r="D7" s="23" t="s">
        <v>511</v>
      </c>
      <c r="E7" s="23" t="s">
        <v>12</v>
      </c>
      <c r="F7" s="23" t="s">
        <v>239</v>
      </c>
      <c r="G7" s="23" t="s">
        <v>243</v>
      </c>
      <c r="H7" s="10">
        <v>5796.2508774894741</v>
      </c>
      <c r="I7" s="23" t="s">
        <v>241</v>
      </c>
      <c r="J7" s="23" t="s">
        <v>242</v>
      </c>
    </row>
    <row r="8" spans="1:10" x14ac:dyDescent="0.2">
      <c r="A8" s="9"/>
      <c r="B8" s="23" t="s">
        <v>238</v>
      </c>
      <c r="C8" s="24">
        <v>44733</v>
      </c>
      <c r="D8" s="23" t="s">
        <v>512</v>
      </c>
      <c r="E8" s="23" t="s">
        <v>13</v>
      </c>
      <c r="F8" s="23" t="s">
        <v>239</v>
      </c>
      <c r="G8" s="23" t="s">
        <v>243</v>
      </c>
      <c r="H8" s="10">
        <v>8551.7102594833668</v>
      </c>
      <c r="I8" s="23" t="s">
        <v>502</v>
      </c>
      <c r="J8" s="23" t="s">
        <v>424</v>
      </c>
    </row>
    <row r="9" spans="1:10" x14ac:dyDescent="0.2">
      <c r="A9" s="9"/>
      <c r="B9" s="23" t="s">
        <v>238</v>
      </c>
      <c r="C9" s="24">
        <v>44733</v>
      </c>
      <c r="D9" s="23" t="s">
        <v>512</v>
      </c>
      <c r="E9" s="23" t="s">
        <v>13</v>
      </c>
      <c r="F9" s="23" t="s">
        <v>239</v>
      </c>
      <c r="G9" s="23" t="s">
        <v>243</v>
      </c>
      <c r="H9" s="10">
        <v>31476.702603187052</v>
      </c>
      <c r="I9" s="23" t="s">
        <v>502</v>
      </c>
      <c r="J9" s="23" t="s">
        <v>240</v>
      </c>
    </row>
    <row r="10" spans="1:10" x14ac:dyDescent="0.2">
      <c r="A10" s="9"/>
      <c r="B10" s="23" t="s">
        <v>238</v>
      </c>
      <c r="C10" s="24">
        <v>44747</v>
      </c>
      <c r="D10" s="23" t="s">
        <v>513</v>
      </c>
      <c r="E10" s="23" t="s">
        <v>14</v>
      </c>
      <c r="F10" s="23" t="s">
        <v>239</v>
      </c>
      <c r="G10" s="23" t="s">
        <v>243</v>
      </c>
      <c r="H10" s="10">
        <v>155.12653330889188</v>
      </c>
      <c r="I10" s="23" t="s">
        <v>421</v>
      </c>
      <c r="J10" s="23" t="s">
        <v>426</v>
      </c>
    </row>
    <row r="11" spans="1:10" x14ac:dyDescent="0.2">
      <c r="A11" s="9"/>
      <c r="B11" s="23" t="s">
        <v>238</v>
      </c>
      <c r="C11" s="24">
        <v>44747</v>
      </c>
      <c r="D11" s="23" t="s">
        <v>513</v>
      </c>
      <c r="E11" s="23" t="s">
        <v>14</v>
      </c>
      <c r="F11" s="23" t="s">
        <v>239</v>
      </c>
      <c r="G11" s="23" t="s">
        <v>243</v>
      </c>
      <c r="H11" s="10">
        <v>63.939287799512336</v>
      </c>
      <c r="I11" s="23" t="s">
        <v>421</v>
      </c>
      <c r="J11" s="23" t="s">
        <v>424</v>
      </c>
    </row>
    <row r="12" spans="1:10" x14ac:dyDescent="0.2">
      <c r="A12" s="9"/>
      <c r="B12" s="23" t="s">
        <v>238</v>
      </c>
      <c r="C12" s="24">
        <v>44749</v>
      </c>
      <c r="D12" s="23" t="s">
        <v>514</v>
      </c>
      <c r="E12" s="23" t="s">
        <v>14</v>
      </c>
      <c r="F12" s="23" t="s">
        <v>239</v>
      </c>
      <c r="G12" s="23" t="s">
        <v>243</v>
      </c>
      <c r="H12" s="10">
        <v>532.66745652680117</v>
      </c>
      <c r="I12" s="23" t="s">
        <v>241</v>
      </c>
      <c r="J12" s="23" t="s">
        <v>242</v>
      </c>
    </row>
    <row r="13" spans="1:10" x14ac:dyDescent="0.2">
      <c r="A13" s="9"/>
      <c r="B13" s="23" t="s">
        <v>238</v>
      </c>
      <c r="C13" s="24">
        <v>44749</v>
      </c>
      <c r="D13" s="23" t="s">
        <v>514</v>
      </c>
      <c r="E13" s="23" t="s">
        <v>14</v>
      </c>
      <c r="F13" s="23" t="s">
        <v>239</v>
      </c>
      <c r="G13" s="23" t="s">
        <v>243</v>
      </c>
      <c r="H13" s="10">
        <v>1652.3859854367026</v>
      </c>
      <c r="I13" s="23" t="s">
        <v>241</v>
      </c>
      <c r="J13" s="23" t="s">
        <v>422</v>
      </c>
    </row>
    <row r="14" spans="1:10" x14ac:dyDescent="0.2">
      <c r="A14" s="9"/>
      <c r="B14" s="23" t="s">
        <v>238</v>
      </c>
      <c r="C14" s="24">
        <v>44749</v>
      </c>
      <c r="D14" s="23" t="s">
        <v>515</v>
      </c>
      <c r="E14" s="23" t="s">
        <v>14</v>
      </c>
      <c r="F14" s="23" t="s">
        <v>239</v>
      </c>
      <c r="G14" s="23" t="s">
        <v>243</v>
      </c>
      <c r="H14" s="10">
        <v>670.45902086178728</v>
      </c>
      <c r="I14" s="23" t="s">
        <v>421</v>
      </c>
      <c r="J14" s="23" t="s">
        <v>434</v>
      </c>
    </row>
    <row r="15" spans="1:10" x14ac:dyDescent="0.2">
      <c r="A15" s="9"/>
      <c r="B15" s="23" t="s">
        <v>238</v>
      </c>
      <c r="C15" s="24">
        <v>44750</v>
      </c>
      <c r="D15" s="23" t="s">
        <v>516</v>
      </c>
      <c r="E15" s="23" t="s">
        <v>14</v>
      </c>
      <c r="F15" s="23" t="s">
        <v>239</v>
      </c>
      <c r="G15" s="23" t="s">
        <v>243</v>
      </c>
      <c r="H15" s="10">
        <v>796.94916549470406</v>
      </c>
      <c r="I15" s="23" t="s">
        <v>421</v>
      </c>
      <c r="J15" s="23" t="s">
        <v>422</v>
      </c>
    </row>
    <row r="16" spans="1:10" x14ac:dyDescent="0.2">
      <c r="A16" s="9"/>
      <c r="B16" s="23" t="s">
        <v>238</v>
      </c>
      <c r="C16" s="24">
        <v>44750</v>
      </c>
      <c r="D16" s="23" t="s">
        <v>516</v>
      </c>
      <c r="E16" s="23" t="s">
        <v>14</v>
      </c>
      <c r="F16" s="23" t="s">
        <v>239</v>
      </c>
      <c r="G16" s="23" t="s">
        <v>243</v>
      </c>
      <c r="H16" s="10">
        <v>976.48554027391913</v>
      </c>
      <c r="I16" s="23" t="s">
        <v>421</v>
      </c>
      <c r="J16" s="23" t="s">
        <v>240</v>
      </c>
    </row>
    <row r="17" spans="1:10" x14ac:dyDescent="0.2">
      <c r="A17" s="9"/>
      <c r="B17" s="23" t="s">
        <v>238</v>
      </c>
      <c r="C17" s="24">
        <v>44750</v>
      </c>
      <c r="D17" s="23" t="s">
        <v>516</v>
      </c>
      <c r="E17" s="23" t="s">
        <v>14</v>
      </c>
      <c r="F17" s="23" t="s">
        <v>239</v>
      </c>
      <c r="G17" s="23" t="s">
        <v>243</v>
      </c>
      <c r="H17" s="10">
        <v>43.582439664077626</v>
      </c>
      <c r="I17" s="23" t="s">
        <v>421</v>
      </c>
      <c r="J17" s="23" t="s">
        <v>244</v>
      </c>
    </row>
    <row r="18" spans="1:10" x14ac:dyDescent="0.2">
      <c r="A18" s="9"/>
      <c r="B18" s="23" t="s">
        <v>238</v>
      </c>
      <c r="C18" s="24">
        <v>44750</v>
      </c>
      <c r="D18" s="23" t="s">
        <v>516</v>
      </c>
      <c r="E18" s="23" t="s">
        <v>14</v>
      </c>
      <c r="F18" s="23" t="s">
        <v>239</v>
      </c>
      <c r="G18" s="23" t="s">
        <v>243</v>
      </c>
      <c r="H18" s="10">
        <v>775.61224844201672</v>
      </c>
      <c r="I18" s="23" t="s">
        <v>421</v>
      </c>
      <c r="J18" s="23" t="s">
        <v>426</v>
      </c>
    </row>
    <row r="19" spans="1:10" x14ac:dyDescent="0.2">
      <c r="A19" s="9"/>
      <c r="B19" s="23" t="s">
        <v>238</v>
      </c>
      <c r="C19" s="24">
        <v>44750</v>
      </c>
      <c r="D19" s="23" t="s">
        <v>516</v>
      </c>
      <c r="E19" s="23" t="s">
        <v>14</v>
      </c>
      <c r="F19" s="23" t="s">
        <v>239</v>
      </c>
      <c r="G19" s="23" t="s">
        <v>243</v>
      </c>
      <c r="H19" s="10">
        <v>1934.5947883493516</v>
      </c>
      <c r="I19" s="23" t="s">
        <v>421</v>
      </c>
      <c r="J19" s="23" t="s">
        <v>425</v>
      </c>
    </row>
    <row r="20" spans="1:10" x14ac:dyDescent="0.2">
      <c r="A20" s="9"/>
      <c r="B20" s="23" t="s">
        <v>238</v>
      </c>
      <c r="C20" s="24">
        <v>44750</v>
      </c>
      <c r="D20" s="23" t="s">
        <v>517</v>
      </c>
      <c r="E20" s="23" t="s">
        <v>14</v>
      </c>
      <c r="F20" s="23" t="s">
        <v>239</v>
      </c>
      <c r="G20" s="23" t="s">
        <v>243</v>
      </c>
      <c r="H20" s="10">
        <v>17.559568100776179</v>
      </c>
      <c r="I20" s="23" t="s">
        <v>421</v>
      </c>
      <c r="J20" s="23" t="s">
        <v>423</v>
      </c>
    </row>
    <row r="21" spans="1:10" x14ac:dyDescent="0.2">
      <c r="A21" s="9"/>
      <c r="B21" s="23" t="s">
        <v>238</v>
      </c>
      <c r="C21" s="24">
        <v>44750</v>
      </c>
      <c r="D21" s="23" t="s">
        <v>517</v>
      </c>
      <c r="E21" s="23" t="s">
        <v>14</v>
      </c>
      <c r="F21" s="23" t="s">
        <v>239</v>
      </c>
      <c r="G21" s="23" t="s">
        <v>243</v>
      </c>
      <c r="H21" s="10">
        <v>662.47554280666691</v>
      </c>
      <c r="I21" s="23" t="s">
        <v>421</v>
      </c>
      <c r="J21" s="23" t="s">
        <v>425</v>
      </c>
    </row>
    <row r="22" spans="1:10" x14ac:dyDescent="0.2">
      <c r="A22" s="9"/>
      <c r="B22" s="23" t="s">
        <v>238</v>
      </c>
      <c r="C22" s="24">
        <v>44750</v>
      </c>
      <c r="D22" s="23" t="s">
        <v>517</v>
      </c>
      <c r="E22" s="23" t="s">
        <v>14</v>
      </c>
      <c r="F22" s="23" t="s">
        <v>239</v>
      </c>
      <c r="G22" s="23" t="s">
        <v>243</v>
      </c>
      <c r="H22" s="10">
        <v>26.972313326889925</v>
      </c>
      <c r="I22" s="23" t="s">
        <v>421</v>
      </c>
      <c r="J22" s="23" t="s">
        <v>242</v>
      </c>
    </row>
    <row r="23" spans="1:10" x14ac:dyDescent="0.2">
      <c r="A23" s="9"/>
      <c r="B23" s="23" t="s">
        <v>238</v>
      </c>
      <c r="C23" s="24">
        <v>44750</v>
      </c>
      <c r="D23" s="23" t="s">
        <v>517</v>
      </c>
      <c r="E23" s="23" t="s">
        <v>14</v>
      </c>
      <c r="F23" s="23" t="s">
        <v>239</v>
      </c>
      <c r="G23" s="23" t="s">
        <v>243</v>
      </c>
      <c r="H23" s="10">
        <v>42.949478488351971</v>
      </c>
      <c r="I23" s="23" t="s">
        <v>421</v>
      </c>
      <c r="J23" s="23" t="s">
        <v>424</v>
      </c>
    </row>
    <row r="24" spans="1:10" x14ac:dyDescent="0.2">
      <c r="A24" s="9"/>
      <c r="B24" s="23" t="s">
        <v>238</v>
      </c>
      <c r="C24" s="24">
        <v>44751</v>
      </c>
      <c r="D24" s="23" t="s">
        <v>518</v>
      </c>
      <c r="E24" s="23" t="s">
        <v>14</v>
      </c>
      <c r="F24" s="23" t="s">
        <v>239</v>
      </c>
      <c r="G24" s="23" t="s">
        <v>243</v>
      </c>
      <c r="H24" s="10">
        <v>57.26256830072883</v>
      </c>
      <c r="I24" s="23" t="s">
        <v>421</v>
      </c>
      <c r="J24" s="23" t="s">
        <v>424</v>
      </c>
    </row>
    <row r="25" spans="1:10" x14ac:dyDescent="0.2">
      <c r="A25" s="9"/>
      <c r="B25" s="23" t="s">
        <v>238</v>
      </c>
      <c r="C25" s="24">
        <v>44751</v>
      </c>
      <c r="D25" s="23" t="s">
        <v>519</v>
      </c>
      <c r="E25" s="23" t="s">
        <v>14</v>
      </c>
      <c r="F25" s="23" t="s">
        <v>239</v>
      </c>
      <c r="G25" s="23" t="s">
        <v>243</v>
      </c>
      <c r="H25" s="10">
        <v>447.39125167460145</v>
      </c>
      <c r="I25" s="23" t="s">
        <v>421</v>
      </c>
      <c r="J25" s="23" t="s">
        <v>423</v>
      </c>
    </row>
    <row r="26" spans="1:10" x14ac:dyDescent="0.2">
      <c r="A26" s="9"/>
      <c r="B26" s="23" t="s">
        <v>238</v>
      </c>
      <c r="C26" s="24">
        <v>44751</v>
      </c>
      <c r="D26" s="23" t="s">
        <v>520</v>
      </c>
      <c r="E26" s="23" t="s">
        <v>14</v>
      </c>
      <c r="F26" s="23" t="s">
        <v>239</v>
      </c>
      <c r="G26" s="23" t="s">
        <v>243</v>
      </c>
      <c r="H26" s="10">
        <v>1744.7268537340983</v>
      </c>
      <c r="I26" s="23" t="s">
        <v>421</v>
      </c>
      <c r="J26" s="23" t="s">
        <v>425</v>
      </c>
    </row>
    <row r="27" spans="1:10" x14ac:dyDescent="0.2">
      <c r="A27" s="9"/>
      <c r="B27" s="23" t="s">
        <v>238</v>
      </c>
      <c r="C27" s="24">
        <v>44751</v>
      </c>
      <c r="D27" s="23" t="s">
        <v>521</v>
      </c>
      <c r="E27" s="23" t="s">
        <v>14</v>
      </c>
      <c r="F27" s="23" t="s">
        <v>239</v>
      </c>
      <c r="G27" s="23" t="s">
        <v>243</v>
      </c>
      <c r="H27" s="10">
        <v>654.32871993200445</v>
      </c>
      <c r="I27" s="23" t="s">
        <v>421</v>
      </c>
      <c r="J27" s="23" t="s">
        <v>240</v>
      </c>
    </row>
    <row r="28" spans="1:10" x14ac:dyDescent="0.2">
      <c r="A28" s="9"/>
      <c r="B28" s="23" t="s">
        <v>238</v>
      </c>
      <c r="C28" s="24">
        <v>44751</v>
      </c>
      <c r="D28" s="23" t="s">
        <v>520</v>
      </c>
      <c r="E28" s="23" t="s">
        <v>14</v>
      </c>
      <c r="F28" s="23" t="s">
        <v>239</v>
      </c>
      <c r="G28" s="23" t="s">
        <v>243</v>
      </c>
      <c r="H28" s="10">
        <v>268.90640917118873</v>
      </c>
      <c r="I28" s="23" t="s">
        <v>421</v>
      </c>
      <c r="J28" s="23" t="s">
        <v>507</v>
      </c>
    </row>
    <row r="29" spans="1:10" x14ac:dyDescent="0.2">
      <c r="A29" s="9"/>
      <c r="B29" s="23" t="s">
        <v>238</v>
      </c>
      <c r="C29" s="24">
        <v>44751</v>
      </c>
      <c r="D29" s="23" t="s">
        <v>519</v>
      </c>
      <c r="E29" s="23" t="s">
        <v>14</v>
      </c>
      <c r="F29" s="23" t="s">
        <v>239</v>
      </c>
      <c r="G29" s="23" t="s">
        <v>243</v>
      </c>
      <c r="H29" s="10">
        <v>47.012680874461807</v>
      </c>
      <c r="I29" s="23" t="s">
        <v>421</v>
      </c>
      <c r="J29" s="23" t="s">
        <v>422</v>
      </c>
    </row>
    <row r="30" spans="1:10" x14ac:dyDescent="0.2">
      <c r="A30" s="9"/>
      <c r="B30" s="23" t="s">
        <v>238</v>
      </c>
      <c r="C30" s="24">
        <v>44751</v>
      </c>
      <c r="D30" s="23" t="s">
        <v>522</v>
      </c>
      <c r="E30" s="23" t="s">
        <v>14</v>
      </c>
      <c r="F30" s="23" t="s">
        <v>239</v>
      </c>
      <c r="G30" s="23" t="s">
        <v>243</v>
      </c>
      <c r="H30" s="10">
        <v>1655.3874464957889</v>
      </c>
      <c r="I30" s="23" t="s">
        <v>421</v>
      </c>
      <c r="J30" s="23" t="s">
        <v>426</v>
      </c>
    </row>
    <row r="31" spans="1:10" x14ac:dyDescent="0.2">
      <c r="A31" s="9"/>
      <c r="B31" s="23" t="s">
        <v>238</v>
      </c>
      <c r="C31" s="24">
        <v>44751</v>
      </c>
      <c r="D31" s="23" t="s">
        <v>523</v>
      </c>
      <c r="E31" s="23" t="s">
        <v>14</v>
      </c>
      <c r="F31" s="23" t="s">
        <v>239</v>
      </c>
      <c r="G31" s="23" t="s">
        <v>243</v>
      </c>
      <c r="H31" s="10">
        <v>2201.5002234811495</v>
      </c>
      <c r="I31" s="23" t="s">
        <v>421</v>
      </c>
      <c r="J31" s="23" t="s">
        <v>242</v>
      </c>
    </row>
    <row r="32" spans="1:10" x14ac:dyDescent="0.2">
      <c r="A32" s="9"/>
      <c r="B32" s="23" t="s">
        <v>238</v>
      </c>
      <c r="C32" s="24">
        <v>44751</v>
      </c>
      <c r="D32" s="23" t="s">
        <v>524</v>
      </c>
      <c r="E32" s="23" t="s">
        <v>14</v>
      </c>
      <c r="F32" s="23" t="s">
        <v>239</v>
      </c>
      <c r="G32" s="23" t="s">
        <v>243</v>
      </c>
      <c r="H32" s="10">
        <v>1926.52963788446</v>
      </c>
      <c r="I32" s="23" t="s">
        <v>421</v>
      </c>
      <c r="J32" s="23" t="s">
        <v>240</v>
      </c>
    </row>
    <row r="33" spans="1:10" x14ac:dyDescent="0.2">
      <c r="A33" s="9"/>
      <c r="B33" s="23" t="s">
        <v>238</v>
      </c>
      <c r="C33" s="24">
        <v>44751</v>
      </c>
      <c r="D33" s="23" t="s">
        <v>518</v>
      </c>
      <c r="E33" s="23" t="s">
        <v>14</v>
      </c>
      <c r="F33" s="23" t="s">
        <v>239</v>
      </c>
      <c r="G33" s="23" t="s">
        <v>243</v>
      </c>
      <c r="H33" s="10">
        <v>42.387980671175988</v>
      </c>
      <c r="I33" s="23" t="s">
        <v>421</v>
      </c>
      <c r="J33" s="23" t="s">
        <v>432</v>
      </c>
    </row>
    <row r="34" spans="1:10" x14ac:dyDescent="0.2">
      <c r="A34" s="9"/>
      <c r="B34" s="23" t="s">
        <v>238</v>
      </c>
      <c r="C34" s="24">
        <v>44751</v>
      </c>
      <c r="D34" s="23" t="s">
        <v>518</v>
      </c>
      <c r="E34" s="23" t="s">
        <v>14</v>
      </c>
      <c r="F34" s="23" t="s">
        <v>239</v>
      </c>
      <c r="G34" s="23" t="s">
        <v>243</v>
      </c>
      <c r="H34" s="10">
        <v>361.45145849301201</v>
      </c>
      <c r="I34" s="23" t="s">
        <v>421</v>
      </c>
      <c r="J34" s="23" t="s">
        <v>240</v>
      </c>
    </row>
    <row r="35" spans="1:10" x14ac:dyDescent="0.2">
      <c r="A35" s="9"/>
      <c r="B35" s="23" t="s">
        <v>238</v>
      </c>
      <c r="C35" s="24">
        <v>44751</v>
      </c>
      <c r="D35" s="23" t="s">
        <v>522</v>
      </c>
      <c r="E35" s="23" t="s">
        <v>14</v>
      </c>
      <c r="F35" s="23" t="s">
        <v>239</v>
      </c>
      <c r="G35" s="23" t="s">
        <v>243</v>
      </c>
      <c r="H35" s="10">
        <v>117.12844466290996</v>
      </c>
      <c r="I35" s="23" t="s">
        <v>421</v>
      </c>
      <c r="J35" s="23"/>
    </row>
    <row r="36" spans="1:10" x14ac:dyDescent="0.2">
      <c r="A36" s="9"/>
      <c r="B36" s="23" t="s">
        <v>238</v>
      </c>
      <c r="C36" s="24">
        <v>44751</v>
      </c>
      <c r="D36" s="23" t="s">
        <v>525</v>
      </c>
      <c r="E36" s="23" t="s">
        <v>14</v>
      </c>
      <c r="F36" s="23" t="s">
        <v>239</v>
      </c>
      <c r="G36" s="23" t="s">
        <v>243</v>
      </c>
      <c r="H36" s="10">
        <v>672.24560482552897</v>
      </c>
      <c r="I36" s="23" t="s">
        <v>421</v>
      </c>
      <c r="J36" s="23"/>
    </row>
    <row r="37" spans="1:10" x14ac:dyDescent="0.2">
      <c r="A37" s="9"/>
      <c r="B37" s="23" t="s">
        <v>238</v>
      </c>
      <c r="C37" s="24">
        <v>44751</v>
      </c>
      <c r="D37" s="23" t="s">
        <v>518</v>
      </c>
      <c r="E37" s="23" t="s">
        <v>14</v>
      </c>
      <c r="F37" s="23" t="s">
        <v>239</v>
      </c>
      <c r="G37" s="23" t="s">
        <v>243</v>
      </c>
      <c r="H37" s="10">
        <v>1034.5546236211371</v>
      </c>
      <c r="I37" s="23" t="s">
        <v>421</v>
      </c>
      <c r="J37" s="23" t="s">
        <v>505</v>
      </c>
    </row>
    <row r="38" spans="1:10" x14ac:dyDescent="0.2">
      <c r="A38" s="9"/>
      <c r="B38" s="23" t="s">
        <v>238</v>
      </c>
      <c r="C38" s="24">
        <v>44751</v>
      </c>
      <c r="D38" s="23" t="s">
        <v>526</v>
      </c>
      <c r="E38" s="23" t="s">
        <v>14</v>
      </c>
      <c r="F38" s="23" t="s">
        <v>239</v>
      </c>
      <c r="G38" s="23" t="s">
        <v>243</v>
      </c>
      <c r="H38" s="10">
        <v>182.14989189188873</v>
      </c>
      <c r="I38" s="23" t="s">
        <v>421</v>
      </c>
      <c r="J38" s="23" t="s">
        <v>503</v>
      </c>
    </row>
    <row r="39" spans="1:10" x14ac:dyDescent="0.2">
      <c r="A39" s="9"/>
      <c r="B39" s="23" t="s">
        <v>238</v>
      </c>
      <c r="C39" s="24">
        <v>44751</v>
      </c>
      <c r="D39" s="23" t="s">
        <v>522</v>
      </c>
      <c r="E39" s="23" t="s">
        <v>14</v>
      </c>
      <c r="F39" s="23" t="s">
        <v>239</v>
      </c>
      <c r="G39" s="23" t="s">
        <v>243</v>
      </c>
      <c r="H39" s="10">
        <v>296.92004572265955</v>
      </c>
      <c r="I39" s="23" t="s">
        <v>421</v>
      </c>
      <c r="J39" s="23" t="s">
        <v>244</v>
      </c>
    </row>
    <row r="40" spans="1:10" x14ac:dyDescent="0.2">
      <c r="A40" s="9"/>
      <c r="B40" s="23" t="s">
        <v>238</v>
      </c>
      <c r="C40" s="24">
        <v>44751</v>
      </c>
      <c r="D40" s="23" t="s">
        <v>526</v>
      </c>
      <c r="E40" s="23" t="s">
        <v>14</v>
      </c>
      <c r="F40" s="23" t="s">
        <v>239</v>
      </c>
      <c r="G40" s="23" t="s">
        <v>243</v>
      </c>
      <c r="H40" s="10">
        <v>229.84657919818309</v>
      </c>
      <c r="I40" s="23" t="s">
        <v>421</v>
      </c>
      <c r="J40" s="23" t="s">
        <v>422</v>
      </c>
    </row>
    <row r="41" spans="1:10" x14ac:dyDescent="0.2">
      <c r="A41" s="9"/>
      <c r="B41" s="23" t="s">
        <v>238</v>
      </c>
      <c r="C41" s="24">
        <v>44751</v>
      </c>
      <c r="D41" s="23" t="s">
        <v>521</v>
      </c>
      <c r="E41" s="23" t="s">
        <v>14</v>
      </c>
      <c r="F41" s="23" t="s">
        <v>239</v>
      </c>
      <c r="G41" s="23" t="s">
        <v>243</v>
      </c>
      <c r="H41" s="10">
        <v>851.37361755588881</v>
      </c>
      <c r="I41" s="23" t="s">
        <v>421</v>
      </c>
      <c r="J41" s="23"/>
    </row>
    <row r="42" spans="1:10" x14ac:dyDescent="0.2">
      <c r="A42" s="9"/>
      <c r="B42" s="23" t="s">
        <v>238</v>
      </c>
      <c r="C42" s="24">
        <v>44751</v>
      </c>
      <c r="D42" s="23" t="s">
        <v>519</v>
      </c>
      <c r="E42" s="23" t="s">
        <v>14</v>
      </c>
      <c r="F42" s="23" t="s">
        <v>239</v>
      </c>
      <c r="G42" s="23" t="s">
        <v>243</v>
      </c>
      <c r="H42" s="10">
        <v>61.07054440630413</v>
      </c>
      <c r="I42" s="23" t="s">
        <v>421</v>
      </c>
      <c r="J42" s="23" t="s">
        <v>433</v>
      </c>
    </row>
    <row r="43" spans="1:10" x14ac:dyDescent="0.2">
      <c r="A43" s="9"/>
      <c r="B43" s="23" t="s">
        <v>238</v>
      </c>
      <c r="C43" s="24">
        <v>44752</v>
      </c>
      <c r="D43" s="23" t="s">
        <v>527</v>
      </c>
      <c r="E43" s="23" t="s">
        <v>14</v>
      </c>
      <c r="F43" s="23" t="s">
        <v>239</v>
      </c>
      <c r="G43" s="23" t="s">
        <v>243</v>
      </c>
      <c r="H43" s="10">
        <v>1611.0087008364435</v>
      </c>
      <c r="I43" s="23" t="s">
        <v>421</v>
      </c>
      <c r="J43" s="23" t="s">
        <v>240</v>
      </c>
    </row>
    <row r="44" spans="1:10" x14ac:dyDescent="0.2">
      <c r="A44" s="9"/>
      <c r="B44" s="23" t="s">
        <v>238</v>
      </c>
      <c r="C44" s="24">
        <v>44754</v>
      </c>
      <c r="D44" s="23" t="s">
        <v>528</v>
      </c>
      <c r="E44" s="23" t="s">
        <v>14</v>
      </c>
      <c r="F44" s="23" t="s">
        <v>239</v>
      </c>
      <c r="G44" s="23" t="s">
        <v>243</v>
      </c>
      <c r="H44" s="10">
        <v>176.01425210783844</v>
      </c>
      <c r="I44" s="23" t="s">
        <v>421</v>
      </c>
      <c r="J44" s="23" t="s">
        <v>240</v>
      </c>
    </row>
    <row r="45" spans="1:10" x14ac:dyDescent="0.2">
      <c r="A45" s="9"/>
      <c r="B45" s="23" t="s">
        <v>238</v>
      </c>
      <c r="C45" s="24">
        <v>44754</v>
      </c>
      <c r="D45" s="23" t="s">
        <v>528</v>
      </c>
      <c r="E45" s="23" t="s">
        <v>14</v>
      </c>
      <c r="F45" s="23" t="s">
        <v>239</v>
      </c>
      <c r="G45" s="23" t="s">
        <v>243</v>
      </c>
      <c r="H45" s="10">
        <v>21.551307128336347</v>
      </c>
      <c r="I45" s="23" t="s">
        <v>421</v>
      </c>
      <c r="J45" s="23" t="s">
        <v>424</v>
      </c>
    </row>
    <row r="46" spans="1:10" x14ac:dyDescent="0.2">
      <c r="A46" s="9"/>
      <c r="B46" s="23" t="s">
        <v>238</v>
      </c>
      <c r="C46" s="24">
        <v>44757</v>
      </c>
      <c r="D46" s="23" t="s">
        <v>529</v>
      </c>
      <c r="E46" s="23" t="s">
        <v>14</v>
      </c>
      <c r="F46" s="23" t="s">
        <v>239</v>
      </c>
      <c r="G46" s="23" t="s">
        <v>243</v>
      </c>
      <c r="H46" s="10">
        <v>444.50209017895048</v>
      </c>
      <c r="I46" s="23" t="s">
        <v>421</v>
      </c>
      <c r="J46" s="23" t="s">
        <v>422</v>
      </c>
    </row>
    <row r="47" spans="1:10" x14ac:dyDescent="0.2">
      <c r="A47" s="9"/>
      <c r="B47" s="23" t="s">
        <v>238</v>
      </c>
      <c r="C47" s="24">
        <v>44757</v>
      </c>
      <c r="D47" s="23" t="s">
        <v>530</v>
      </c>
      <c r="E47" s="23" t="s">
        <v>14</v>
      </c>
      <c r="F47" s="23" t="s">
        <v>239</v>
      </c>
      <c r="G47" s="23" t="s">
        <v>243</v>
      </c>
      <c r="H47" s="10">
        <v>114.60680901122872</v>
      </c>
      <c r="I47" s="23" t="s">
        <v>421</v>
      </c>
      <c r="J47" s="23" t="s">
        <v>425</v>
      </c>
    </row>
    <row r="48" spans="1:10" x14ac:dyDescent="0.2">
      <c r="A48" s="9"/>
      <c r="B48" s="23" t="s">
        <v>238</v>
      </c>
      <c r="C48" s="24">
        <v>44757</v>
      </c>
      <c r="D48" s="23" t="s">
        <v>530</v>
      </c>
      <c r="E48" s="23" t="s">
        <v>14</v>
      </c>
      <c r="F48" s="23" t="s">
        <v>239</v>
      </c>
      <c r="G48" s="23" t="s">
        <v>243</v>
      </c>
      <c r="H48" s="10">
        <v>146.0813139267479</v>
      </c>
      <c r="I48" s="23" t="s">
        <v>421</v>
      </c>
      <c r="J48" s="23" t="s">
        <v>503</v>
      </c>
    </row>
    <row r="49" spans="1:10" x14ac:dyDescent="0.2">
      <c r="A49" s="9"/>
      <c r="B49" s="23" t="s">
        <v>238</v>
      </c>
      <c r="C49" s="24">
        <v>44757</v>
      </c>
      <c r="D49" s="23" t="s">
        <v>531</v>
      </c>
      <c r="E49" s="23" t="s">
        <v>14</v>
      </c>
      <c r="F49" s="23" t="s">
        <v>239</v>
      </c>
      <c r="G49" s="23" t="s">
        <v>243</v>
      </c>
      <c r="H49" s="10">
        <v>280.00364784883038</v>
      </c>
      <c r="I49" s="23" t="s">
        <v>421</v>
      </c>
      <c r="J49" s="23" t="s">
        <v>242</v>
      </c>
    </row>
    <row r="50" spans="1:10" x14ac:dyDescent="0.2">
      <c r="A50" s="9"/>
      <c r="B50" s="23" t="s">
        <v>238</v>
      </c>
      <c r="C50" s="24">
        <v>44757</v>
      </c>
      <c r="D50" s="23" t="s">
        <v>529</v>
      </c>
      <c r="E50" s="23" t="s">
        <v>14</v>
      </c>
      <c r="F50" s="23" t="s">
        <v>239</v>
      </c>
      <c r="G50" s="23" t="s">
        <v>243</v>
      </c>
      <c r="H50" s="10">
        <v>1656.1837524910566</v>
      </c>
      <c r="I50" s="23" t="s">
        <v>421</v>
      </c>
      <c r="J50" s="23" t="s">
        <v>425</v>
      </c>
    </row>
    <row r="51" spans="1:10" x14ac:dyDescent="0.2">
      <c r="A51" s="9"/>
      <c r="B51" s="23" t="s">
        <v>238</v>
      </c>
      <c r="C51" s="24">
        <v>44761</v>
      </c>
      <c r="D51" s="23" t="s">
        <v>532</v>
      </c>
      <c r="E51" s="23" t="s">
        <v>14</v>
      </c>
      <c r="F51" s="23" t="s">
        <v>239</v>
      </c>
      <c r="G51" s="23" t="s">
        <v>243</v>
      </c>
      <c r="H51" s="10">
        <v>16.436572466424217</v>
      </c>
      <c r="I51" s="23" t="s">
        <v>421</v>
      </c>
      <c r="J51" s="23" t="s">
        <v>423</v>
      </c>
    </row>
    <row r="52" spans="1:10" x14ac:dyDescent="0.2">
      <c r="A52" s="9"/>
      <c r="B52" s="23" t="s">
        <v>238</v>
      </c>
      <c r="C52" s="24">
        <v>44761</v>
      </c>
      <c r="D52" s="23" t="s">
        <v>533</v>
      </c>
      <c r="E52" s="23" t="s">
        <v>14</v>
      </c>
      <c r="F52" s="23" t="s">
        <v>239</v>
      </c>
      <c r="G52" s="23" t="s">
        <v>243</v>
      </c>
      <c r="H52" s="10">
        <v>1002.3654851201212</v>
      </c>
      <c r="I52" s="23" t="s">
        <v>421</v>
      </c>
      <c r="J52" s="23" t="s">
        <v>244</v>
      </c>
    </row>
    <row r="53" spans="1:10" x14ac:dyDescent="0.2">
      <c r="A53" s="9"/>
      <c r="B53" s="23" t="s">
        <v>238</v>
      </c>
      <c r="C53" s="24">
        <v>44761</v>
      </c>
      <c r="D53" s="23" t="s">
        <v>532</v>
      </c>
      <c r="E53" s="23" t="s">
        <v>14</v>
      </c>
      <c r="F53" s="23" t="s">
        <v>239</v>
      </c>
      <c r="G53" s="23" t="s">
        <v>243</v>
      </c>
      <c r="H53" s="10">
        <v>53.944626653779849</v>
      </c>
      <c r="I53" s="23" t="s">
        <v>421</v>
      </c>
      <c r="J53" s="23" t="s">
        <v>240</v>
      </c>
    </row>
    <row r="54" spans="1:10" x14ac:dyDescent="0.2">
      <c r="A54" s="9"/>
      <c r="B54" s="23" t="s">
        <v>238</v>
      </c>
      <c r="C54" s="24">
        <v>44761</v>
      </c>
      <c r="D54" s="23" t="s">
        <v>533</v>
      </c>
      <c r="E54" s="23" t="s">
        <v>14</v>
      </c>
      <c r="F54" s="23" t="s">
        <v>239</v>
      </c>
      <c r="G54" s="23" t="s">
        <v>243</v>
      </c>
      <c r="H54" s="10">
        <v>164.37593371546353</v>
      </c>
      <c r="I54" s="23" t="s">
        <v>421</v>
      </c>
      <c r="J54" s="23" t="s">
        <v>423</v>
      </c>
    </row>
    <row r="55" spans="1:10" x14ac:dyDescent="0.2">
      <c r="A55" s="9"/>
      <c r="B55" s="23" t="s">
        <v>238</v>
      </c>
      <c r="C55" s="24">
        <v>44761</v>
      </c>
      <c r="D55" s="23" t="s">
        <v>533</v>
      </c>
      <c r="E55" s="23" t="s">
        <v>14</v>
      </c>
      <c r="F55" s="23" t="s">
        <v>239</v>
      </c>
      <c r="G55" s="23" t="s">
        <v>243</v>
      </c>
      <c r="H55" s="10">
        <v>323.31044312993072</v>
      </c>
      <c r="I55" s="23" t="s">
        <v>421</v>
      </c>
      <c r="J55" s="23" t="s">
        <v>424</v>
      </c>
    </row>
    <row r="56" spans="1:10" x14ac:dyDescent="0.2">
      <c r="A56" s="9"/>
      <c r="B56" s="23" t="s">
        <v>238</v>
      </c>
      <c r="C56" s="24">
        <v>44761</v>
      </c>
      <c r="D56" s="23" t="s">
        <v>534</v>
      </c>
      <c r="E56" s="23" t="s">
        <v>14</v>
      </c>
      <c r="F56" s="23" t="s">
        <v>239</v>
      </c>
      <c r="G56" s="23" t="s">
        <v>243</v>
      </c>
      <c r="H56" s="10">
        <v>120.95683887092801</v>
      </c>
      <c r="I56" s="23" t="s">
        <v>421</v>
      </c>
      <c r="J56" s="23" t="s">
        <v>240</v>
      </c>
    </row>
    <row r="57" spans="1:10" x14ac:dyDescent="0.2">
      <c r="A57" s="9"/>
      <c r="B57" s="23" t="s">
        <v>238</v>
      </c>
      <c r="C57" s="24">
        <v>44761</v>
      </c>
      <c r="D57" s="23" t="s">
        <v>533</v>
      </c>
      <c r="E57" s="23" t="s">
        <v>14</v>
      </c>
      <c r="F57" s="23" t="s">
        <v>239</v>
      </c>
      <c r="G57" s="23" t="s">
        <v>243</v>
      </c>
      <c r="H57" s="10">
        <v>390.80248075448384</v>
      </c>
      <c r="I57" s="23" t="s">
        <v>421</v>
      </c>
      <c r="J57" s="23" t="s">
        <v>426</v>
      </c>
    </row>
    <row r="58" spans="1:10" x14ac:dyDescent="0.2">
      <c r="A58" s="9"/>
      <c r="B58" s="23" t="s">
        <v>238</v>
      </c>
      <c r="C58" s="24">
        <v>44761</v>
      </c>
      <c r="D58" s="23" t="s">
        <v>535</v>
      </c>
      <c r="E58" s="23" t="s">
        <v>14</v>
      </c>
      <c r="F58" s="23" t="s">
        <v>239</v>
      </c>
      <c r="G58" s="23" t="s">
        <v>243</v>
      </c>
      <c r="H58" s="10">
        <v>133.11581887559339</v>
      </c>
      <c r="I58" s="23" t="s">
        <v>421</v>
      </c>
      <c r="J58" s="23" t="s">
        <v>244</v>
      </c>
    </row>
    <row r="59" spans="1:10" x14ac:dyDescent="0.2">
      <c r="A59" s="9"/>
      <c r="B59" s="23" t="s">
        <v>238</v>
      </c>
      <c r="C59" s="24">
        <v>44761</v>
      </c>
      <c r="D59" s="23" t="s">
        <v>532</v>
      </c>
      <c r="E59" s="23" t="s">
        <v>14</v>
      </c>
      <c r="F59" s="23" t="s">
        <v>239</v>
      </c>
      <c r="G59" s="23" t="s">
        <v>243</v>
      </c>
      <c r="H59" s="10">
        <v>78.160496150896762</v>
      </c>
      <c r="I59" s="23" t="s">
        <v>421</v>
      </c>
      <c r="J59" s="23" t="s">
        <v>426</v>
      </c>
    </row>
    <row r="60" spans="1:10" x14ac:dyDescent="0.2">
      <c r="A60" s="9"/>
      <c r="B60" s="23" t="s">
        <v>238</v>
      </c>
      <c r="C60" s="24">
        <v>44761</v>
      </c>
      <c r="D60" s="23" t="s">
        <v>533</v>
      </c>
      <c r="E60" s="23" t="s">
        <v>14</v>
      </c>
      <c r="F60" s="23" t="s">
        <v>239</v>
      </c>
      <c r="G60" s="23" t="s">
        <v>243</v>
      </c>
      <c r="H60" s="10">
        <v>1343.419259272813</v>
      </c>
      <c r="I60" s="23" t="s">
        <v>421</v>
      </c>
      <c r="J60" s="23" t="s">
        <v>242</v>
      </c>
    </row>
    <row r="61" spans="1:10" x14ac:dyDescent="0.2">
      <c r="A61" s="9"/>
      <c r="B61" s="23" t="s">
        <v>238</v>
      </c>
      <c r="C61" s="24">
        <v>44762</v>
      </c>
      <c r="D61" s="23" t="s">
        <v>536</v>
      </c>
      <c r="E61" s="23" t="s">
        <v>14</v>
      </c>
      <c r="F61" s="23" t="s">
        <v>239</v>
      </c>
      <c r="G61" s="23" t="s">
        <v>243</v>
      </c>
      <c r="H61" s="10">
        <v>282.68862832005374</v>
      </c>
      <c r="I61" s="23" t="s">
        <v>421</v>
      </c>
      <c r="J61" s="23" t="s">
        <v>426</v>
      </c>
    </row>
    <row r="62" spans="1:10" x14ac:dyDescent="0.2">
      <c r="A62" s="9"/>
      <c r="B62" s="23" t="s">
        <v>238</v>
      </c>
      <c r="C62" s="24">
        <v>44762</v>
      </c>
      <c r="D62" s="23" t="s">
        <v>536</v>
      </c>
      <c r="E62" s="23" t="s">
        <v>14</v>
      </c>
      <c r="F62" s="23" t="s">
        <v>239</v>
      </c>
      <c r="G62" s="23" t="s">
        <v>243</v>
      </c>
      <c r="H62" s="10">
        <v>57.538212683706135</v>
      </c>
      <c r="I62" s="23" t="s">
        <v>421</v>
      </c>
      <c r="J62" s="23" t="s">
        <v>240</v>
      </c>
    </row>
    <row r="63" spans="1:10" x14ac:dyDescent="0.2">
      <c r="A63" s="9"/>
      <c r="B63" s="23" t="s">
        <v>238</v>
      </c>
      <c r="C63" s="24">
        <v>44762</v>
      </c>
      <c r="D63" s="23" t="s">
        <v>536</v>
      </c>
      <c r="E63" s="23" t="s">
        <v>14</v>
      </c>
      <c r="F63" s="23" t="s">
        <v>239</v>
      </c>
      <c r="G63" s="23" t="s">
        <v>243</v>
      </c>
      <c r="H63" s="10">
        <v>774.75468813942064</v>
      </c>
      <c r="I63" s="23" t="s">
        <v>421</v>
      </c>
      <c r="J63" s="23" t="s">
        <v>434</v>
      </c>
    </row>
    <row r="64" spans="1:10" x14ac:dyDescent="0.2">
      <c r="A64" s="9"/>
      <c r="B64" s="23" t="s">
        <v>238</v>
      </c>
      <c r="C64" s="24">
        <v>44762</v>
      </c>
      <c r="D64" s="23" t="s">
        <v>536</v>
      </c>
      <c r="E64" s="23" t="s">
        <v>14</v>
      </c>
      <c r="F64" s="23" t="s">
        <v>239</v>
      </c>
      <c r="G64" s="23" t="s">
        <v>243</v>
      </c>
      <c r="H64" s="10">
        <v>22.419076482153773</v>
      </c>
      <c r="I64" s="23" t="s">
        <v>421</v>
      </c>
      <c r="J64" s="23" t="s">
        <v>422</v>
      </c>
    </row>
    <row r="65" spans="1:10" x14ac:dyDescent="0.2">
      <c r="A65" s="9"/>
      <c r="B65" s="23" t="s">
        <v>238</v>
      </c>
      <c r="C65" s="24">
        <v>44762</v>
      </c>
      <c r="D65" s="23" t="s">
        <v>536</v>
      </c>
      <c r="E65" s="23" t="s">
        <v>14</v>
      </c>
      <c r="F65" s="23" t="s">
        <v>239</v>
      </c>
      <c r="G65" s="23" t="s">
        <v>243</v>
      </c>
      <c r="H65" s="10">
        <v>65.399182124169883</v>
      </c>
      <c r="I65" s="23" t="s">
        <v>421</v>
      </c>
      <c r="J65" s="23" t="s">
        <v>424</v>
      </c>
    </row>
    <row r="66" spans="1:10" x14ac:dyDescent="0.2">
      <c r="A66" s="9"/>
      <c r="B66" s="23" t="s">
        <v>238</v>
      </c>
      <c r="C66" s="24">
        <v>44762</v>
      </c>
      <c r="D66" s="23" t="s">
        <v>536</v>
      </c>
      <c r="E66" s="23" t="s">
        <v>14</v>
      </c>
      <c r="F66" s="23" t="s">
        <v>239</v>
      </c>
      <c r="G66" s="23" t="s">
        <v>243</v>
      </c>
      <c r="H66" s="10">
        <v>46.155120571865758</v>
      </c>
      <c r="I66" s="23" t="s">
        <v>421</v>
      </c>
      <c r="J66" s="23" t="s">
        <v>423</v>
      </c>
    </row>
    <row r="67" spans="1:10" x14ac:dyDescent="0.2">
      <c r="A67" s="9"/>
      <c r="B67" s="23" t="s">
        <v>238</v>
      </c>
      <c r="C67" s="24">
        <v>44762</v>
      </c>
      <c r="D67" s="23" t="s">
        <v>536</v>
      </c>
      <c r="E67" s="23" t="s">
        <v>14</v>
      </c>
      <c r="F67" s="23" t="s">
        <v>239</v>
      </c>
      <c r="G67" s="23" t="s">
        <v>243</v>
      </c>
      <c r="H67" s="10">
        <v>35.170181457659268</v>
      </c>
      <c r="I67" s="23" t="s">
        <v>421</v>
      </c>
      <c r="J67" s="23" t="s">
        <v>244</v>
      </c>
    </row>
    <row r="68" spans="1:10" x14ac:dyDescent="0.2">
      <c r="A68" s="9"/>
      <c r="B68" s="23" t="s">
        <v>238</v>
      </c>
      <c r="C68" s="24">
        <v>44764</v>
      </c>
      <c r="D68" s="23" t="s">
        <v>537</v>
      </c>
      <c r="E68" s="23" t="s">
        <v>14</v>
      </c>
      <c r="F68" s="23" t="s">
        <v>239</v>
      </c>
      <c r="G68" s="23" t="s">
        <v>243</v>
      </c>
      <c r="H68" s="10">
        <v>179.58742003532197</v>
      </c>
      <c r="I68" s="23" t="s">
        <v>421</v>
      </c>
      <c r="J68" s="23" t="s">
        <v>240</v>
      </c>
    </row>
    <row r="69" spans="1:10" x14ac:dyDescent="0.2">
      <c r="A69" s="9"/>
      <c r="B69" s="23" t="s">
        <v>238</v>
      </c>
      <c r="C69" s="24">
        <v>44770</v>
      </c>
      <c r="D69" s="23" t="s">
        <v>538</v>
      </c>
      <c r="E69" s="23" t="s">
        <v>14</v>
      </c>
      <c r="F69" s="23" t="s">
        <v>239</v>
      </c>
      <c r="G69" s="23" t="s">
        <v>243</v>
      </c>
      <c r="H69" s="10">
        <v>2179.8876620454848</v>
      </c>
      <c r="I69" s="23" t="s">
        <v>421</v>
      </c>
      <c r="J69" s="23" t="s">
        <v>448</v>
      </c>
    </row>
    <row r="70" spans="1:10" x14ac:dyDescent="0.2">
      <c r="A70" s="9"/>
      <c r="B70" s="23" t="s">
        <v>238</v>
      </c>
      <c r="C70" s="24">
        <v>44771</v>
      </c>
      <c r="D70" s="23" t="s">
        <v>539</v>
      </c>
      <c r="E70" s="23" t="s">
        <v>14</v>
      </c>
      <c r="F70" s="23" t="s">
        <v>239</v>
      </c>
      <c r="G70" s="23" t="s">
        <v>243</v>
      </c>
      <c r="H70" s="10">
        <v>88.502265038156224</v>
      </c>
      <c r="I70" s="23" t="s">
        <v>421</v>
      </c>
      <c r="J70" s="23" t="s">
        <v>424</v>
      </c>
    </row>
    <row r="71" spans="1:10" x14ac:dyDescent="0.2">
      <c r="A71" s="9"/>
      <c r="B71" s="23" t="s">
        <v>238</v>
      </c>
      <c r="C71" s="24">
        <v>44771</v>
      </c>
      <c r="D71" s="23" t="s">
        <v>540</v>
      </c>
      <c r="E71" s="23" t="s">
        <v>14</v>
      </c>
      <c r="F71" s="23" t="s">
        <v>239</v>
      </c>
      <c r="G71" s="23" t="s">
        <v>243</v>
      </c>
      <c r="H71" s="10">
        <v>560.01750474888217</v>
      </c>
      <c r="I71" s="23" t="s">
        <v>421</v>
      </c>
      <c r="J71" s="23" t="s">
        <v>242</v>
      </c>
    </row>
    <row r="72" spans="1:10" x14ac:dyDescent="0.2">
      <c r="A72" s="9"/>
      <c r="B72" s="23" t="s">
        <v>238</v>
      </c>
      <c r="C72" s="24">
        <v>44771</v>
      </c>
      <c r="D72" s="23" t="s">
        <v>540</v>
      </c>
      <c r="E72" s="23" t="s">
        <v>14</v>
      </c>
      <c r="F72" s="23" t="s">
        <v>239</v>
      </c>
      <c r="G72" s="23" t="s">
        <v>243</v>
      </c>
      <c r="H72" s="10">
        <v>2231.1983534841484</v>
      </c>
      <c r="I72" s="23" t="s">
        <v>421</v>
      </c>
      <c r="J72" s="23" t="s">
        <v>422</v>
      </c>
    </row>
    <row r="73" spans="1:10" x14ac:dyDescent="0.2">
      <c r="A73" s="9"/>
      <c r="B73" s="23" t="s">
        <v>238</v>
      </c>
      <c r="C73" s="24">
        <v>44771</v>
      </c>
      <c r="D73" s="23" t="s">
        <v>539</v>
      </c>
      <c r="E73" s="23" t="s">
        <v>14</v>
      </c>
      <c r="F73" s="23" t="s">
        <v>239</v>
      </c>
      <c r="G73" s="23" t="s">
        <v>243</v>
      </c>
      <c r="H73" s="10">
        <v>126.18387309627533</v>
      </c>
      <c r="I73" s="23" t="s">
        <v>421</v>
      </c>
      <c r="J73" s="23" t="s">
        <v>426</v>
      </c>
    </row>
    <row r="74" spans="1:10" x14ac:dyDescent="0.2">
      <c r="A74" s="9"/>
      <c r="B74" s="23" t="s">
        <v>238</v>
      </c>
      <c r="C74" s="24">
        <v>44771</v>
      </c>
      <c r="D74" s="23" t="s">
        <v>539</v>
      </c>
      <c r="E74" s="23" t="s">
        <v>14</v>
      </c>
      <c r="F74" s="23" t="s">
        <v>239</v>
      </c>
      <c r="G74" s="23" t="s">
        <v>243</v>
      </c>
      <c r="H74" s="10">
        <v>273.5004822208104</v>
      </c>
      <c r="I74" s="23" t="s">
        <v>421</v>
      </c>
      <c r="J74" s="23"/>
    </row>
    <row r="75" spans="1:10" x14ac:dyDescent="0.2">
      <c r="A75" s="9"/>
      <c r="B75" s="23" t="s">
        <v>238</v>
      </c>
      <c r="C75" s="24">
        <v>44771</v>
      </c>
      <c r="D75" s="23" t="s">
        <v>540</v>
      </c>
      <c r="E75" s="23" t="s">
        <v>14</v>
      </c>
      <c r="F75" s="23" t="s">
        <v>239</v>
      </c>
      <c r="G75" s="23" t="s">
        <v>243</v>
      </c>
      <c r="H75" s="10">
        <v>560.56879351483678</v>
      </c>
      <c r="I75" s="23" t="s">
        <v>421</v>
      </c>
      <c r="J75" s="23" t="s">
        <v>244</v>
      </c>
    </row>
    <row r="76" spans="1:10" x14ac:dyDescent="0.2">
      <c r="A76" s="9"/>
      <c r="B76" s="23" t="s">
        <v>238</v>
      </c>
      <c r="C76" s="24">
        <v>44771</v>
      </c>
      <c r="D76" s="23" t="s">
        <v>540</v>
      </c>
      <c r="E76" s="23" t="s">
        <v>14</v>
      </c>
      <c r="F76" s="23" t="s">
        <v>239</v>
      </c>
      <c r="G76" s="23" t="s">
        <v>243</v>
      </c>
      <c r="H76" s="10">
        <v>110.62527903488993</v>
      </c>
      <c r="I76" s="23" t="s">
        <v>421</v>
      </c>
      <c r="J76" s="23" t="s">
        <v>424</v>
      </c>
    </row>
    <row r="77" spans="1:10" x14ac:dyDescent="0.2">
      <c r="A77" s="9"/>
      <c r="B77" s="23" t="s">
        <v>238</v>
      </c>
      <c r="C77" s="24">
        <v>44771</v>
      </c>
      <c r="D77" s="23" t="s">
        <v>540</v>
      </c>
      <c r="E77" s="23" t="s">
        <v>14</v>
      </c>
      <c r="F77" s="23" t="s">
        <v>239</v>
      </c>
      <c r="G77" s="23" t="s">
        <v>243</v>
      </c>
      <c r="H77" s="10">
        <v>953.05576772084851</v>
      </c>
      <c r="I77" s="23" t="s">
        <v>421</v>
      </c>
      <c r="J77" s="23" t="s">
        <v>426</v>
      </c>
    </row>
    <row r="78" spans="1:10" x14ac:dyDescent="0.2">
      <c r="A78" s="9"/>
      <c r="B78" s="23" t="s">
        <v>238</v>
      </c>
      <c r="C78" s="24">
        <v>44771</v>
      </c>
      <c r="D78" s="23" t="s">
        <v>540</v>
      </c>
      <c r="E78" s="23" t="s">
        <v>14</v>
      </c>
      <c r="F78" s="23" t="s">
        <v>239</v>
      </c>
      <c r="G78" s="23" t="s">
        <v>243</v>
      </c>
      <c r="H78" s="10">
        <v>1168.6300933115403</v>
      </c>
      <c r="I78" s="23" t="s">
        <v>421</v>
      </c>
      <c r="J78" s="23" t="s">
        <v>503</v>
      </c>
    </row>
    <row r="79" spans="1:10" x14ac:dyDescent="0.2">
      <c r="A79" s="9"/>
      <c r="B79" s="23" t="s">
        <v>238</v>
      </c>
      <c r="C79" s="24">
        <v>44779</v>
      </c>
      <c r="D79" s="23" t="s">
        <v>452</v>
      </c>
      <c r="E79" s="23" t="s">
        <v>14</v>
      </c>
      <c r="F79" s="23" t="s">
        <v>239</v>
      </c>
      <c r="G79" s="23" t="s">
        <v>243</v>
      </c>
      <c r="H79" s="10">
        <v>1902.479268</v>
      </c>
      <c r="I79" s="23" t="s">
        <v>421</v>
      </c>
      <c r="J79" s="23" t="s">
        <v>244</v>
      </c>
    </row>
    <row r="80" spans="1:10" x14ac:dyDescent="0.2">
      <c r="A80" s="9"/>
      <c r="B80" s="23" t="s">
        <v>238</v>
      </c>
      <c r="C80" s="24">
        <v>44779</v>
      </c>
      <c r="D80" s="23" t="s">
        <v>453</v>
      </c>
      <c r="E80" s="23" t="s">
        <v>14</v>
      </c>
      <c r="F80" s="23" t="s">
        <v>239</v>
      </c>
      <c r="G80" s="23" t="s">
        <v>243</v>
      </c>
      <c r="H80" s="10">
        <v>424.35317370000001</v>
      </c>
      <c r="I80" s="23" t="s">
        <v>421</v>
      </c>
      <c r="J80" s="23" t="s">
        <v>425</v>
      </c>
    </row>
    <row r="81" spans="1:10" x14ac:dyDescent="0.2">
      <c r="A81" s="9"/>
      <c r="B81" s="23" t="s">
        <v>238</v>
      </c>
      <c r="C81" s="24">
        <v>44779</v>
      </c>
      <c r="D81" s="23" t="s">
        <v>452</v>
      </c>
      <c r="E81" s="23" t="s">
        <v>14</v>
      </c>
      <c r="F81" s="23" t="s">
        <v>239</v>
      </c>
      <c r="G81" s="23" t="s">
        <v>243</v>
      </c>
      <c r="H81" s="10">
        <v>304.58417489999999</v>
      </c>
      <c r="I81" s="23" t="s">
        <v>421</v>
      </c>
      <c r="J81" s="23" t="s">
        <v>242</v>
      </c>
    </row>
    <row r="82" spans="1:10" x14ac:dyDescent="0.2">
      <c r="A82" s="9"/>
      <c r="B82" s="23" t="s">
        <v>238</v>
      </c>
      <c r="C82" s="24">
        <v>44779</v>
      </c>
      <c r="D82" s="23" t="s">
        <v>454</v>
      </c>
      <c r="E82" s="23" t="s">
        <v>14</v>
      </c>
      <c r="F82" s="23" t="s">
        <v>239</v>
      </c>
      <c r="G82" s="23" t="s">
        <v>243</v>
      </c>
      <c r="H82" s="10">
        <v>958.34400029999995</v>
      </c>
      <c r="I82" s="23" t="s">
        <v>421</v>
      </c>
      <c r="J82" s="23" t="s">
        <v>423</v>
      </c>
    </row>
    <row r="83" spans="1:10" x14ac:dyDescent="0.2">
      <c r="A83" s="9"/>
      <c r="B83" s="23" t="s">
        <v>238</v>
      </c>
      <c r="C83" s="24">
        <v>44779</v>
      </c>
      <c r="D83" s="23" t="s">
        <v>455</v>
      </c>
      <c r="E83" s="23" t="s">
        <v>14</v>
      </c>
      <c r="F83" s="23" t="s">
        <v>239</v>
      </c>
      <c r="G83" s="23" t="s">
        <v>243</v>
      </c>
      <c r="H83" s="10">
        <v>321.1196157</v>
      </c>
      <c r="I83" s="23" t="s">
        <v>421</v>
      </c>
      <c r="J83" s="23" t="s">
        <v>426</v>
      </c>
    </row>
    <row r="84" spans="1:10" x14ac:dyDescent="0.2">
      <c r="A84" s="9"/>
      <c r="B84" s="23" t="s">
        <v>238</v>
      </c>
      <c r="C84" s="24">
        <v>44779</v>
      </c>
      <c r="D84" s="23" t="s">
        <v>456</v>
      </c>
      <c r="E84" s="23" t="s">
        <v>14</v>
      </c>
      <c r="F84" s="23" t="s">
        <v>239</v>
      </c>
      <c r="G84" s="23" t="s">
        <v>243</v>
      </c>
      <c r="H84" s="10">
        <v>90.459252300000003</v>
      </c>
      <c r="I84" s="23" t="s">
        <v>421</v>
      </c>
      <c r="J84" s="23" t="s">
        <v>422</v>
      </c>
    </row>
    <row r="85" spans="1:10" x14ac:dyDescent="0.2">
      <c r="A85" s="9"/>
      <c r="B85" s="23" t="s">
        <v>238</v>
      </c>
      <c r="C85" s="24">
        <v>44779</v>
      </c>
      <c r="D85" s="23" t="s">
        <v>456</v>
      </c>
      <c r="E85" s="23" t="s">
        <v>14</v>
      </c>
      <c r="F85" s="23" t="s">
        <v>239</v>
      </c>
      <c r="G85" s="23" t="s">
        <v>243</v>
      </c>
      <c r="H85" s="10">
        <v>64.300727100000003</v>
      </c>
      <c r="I85" s="23" t="s">
        <v>421</v>
      </c>
      <c r="J85" s="23" t="s">
        <v>240</v>
      </c>
    </row>
    <row r="86" spans="1:10" x14ac:dyDescent="0.2">
      <c r="A86" s="9"/>
      <c r="B86" s="23" t="s">
        <v>238</v>
      </c>
      <c r="C86" s="24">
        <v>44779</v>
      </c>
      <c r="D86" s="23" t="s">
        <v>452</v>
      </c>
      <c r="E86" s="23" t="s">
        <v>14</v>
      </c>
      <c r="F86" s="23" t="s">
        <v>239</v>
      </c>
      <c r="G86" s="23" t="s">
        <v>243</v>
      </c>
      <c r="H86" s="10">
        <v>958.35529499999996</v>
      </c>
      <c r="I86" s="23" t="s">
        <v>421</v>
      </c>
      <c r="J86" s="23" t="s">
        <v>423</v>
      </c>
    </row>
    <row r="87" spans="1:10" x14ac:dyDescent="0.2">
      <c r="A87" s="9"/>
      <c r="B87" s="23" t="s">
        <v>238</v>
      </c>
      <c r="C87" s="24">
        <v>44779</v>
      </c>
      <c r="D87" s="23" t="s">
        <v>456</v>
      </c>
      <c r="E87" s="23" t="s">
        <v>14</v>
      </c>
      <c r="F87" s="23" t="s">
        <v>239</v>
      </c>
      <c r="G87" s="23" t="s">
        <v>243</v>
      </c>
      <c r="H87" s="10">
        <v>307.21584000000001</v>
      </c>
      <c r="I87" s="23" t="s">
        <v>421</v>
      </c>
      <c r="J87" s="23" t="s">
        <v>434</v>
      </c>
    </row>
    <row r="88" spans="1:10" x14ac:dyDescent="0.2">
      <c r="A88" s="9"/>
      <c r="B88" s="23" t="s">
        <v>238</v>
      </c>
      <c r="C88" s="24">
        <v>44779</v>
      </c>
      <c r="D88" s="23" t="s">
        <v>455</v>
      </c>
      <c r="E88" s="23" t="s">
        <v>14</v>
      </c>
      <c r="F88" s="23" t="s">
        <v>239</v>
      </c>
      <c r="G88" s="23" t="s">
        <v>243</v>
      </c>
      <c r="H88" s="10">
        <v>30.461805900000002</v>
      </c>
      <c r="I88" s="23" t="s">
        <v>421</v>
      </c>
      <c r="J88" s="23" t="s">
        <v>242</v>
      </c>
    </row>
    <row r="89" spans="1:10" x14ac:dyDescent="0.2">
      <c r="A89" s="9"/>
      <c r="B89" s="23" t="s">
        <v>238</v>
      </c>
      <c r="C89" s="24">
        <v>44779</v>
      </c>
      <c r="D89" s="23" t="s">
        <v>453</v>
      </c>
      <c r="E89" s="23" t="s">
        <v>14</v>
      </c>
      <c r="F89" s="23" t="s">
        <v>239</v>
      </c>
      <c r="G89" s="23" t="s">
        <v>243</v>
      </c>
      <c r="H89" s="10">
        <v>42.524545500000002</v>
      </c>
      <c r="I89" s="23" t="s">
        <v>421</v>
      </c>
      <c r="J89" s="23" t="s">
        <v>423</v>
      </c>
    </row>
    <row r="90" spans="1:10" x14ac:dyDescent="0.2">
      <c r="A90" s="9"/>
      <c r="B90" s="23" t="s">
        <v>238</v>
      </c>
      <c r="C90" s="24">
        <v>44779</v>
      </c>
      <c r="D90" s="23" t="s">
        <v>452</v>
      </c>
      <c r="E90" s="23" t="s">
        <v>14</v>
      </c>
      <c r="F90" s="23" t="s">
        <v>239</v>
      </c>
      <c r="G90" s="23" t="s">
        <v>243</v>
      </c>
      <c r="H90" s="10">
        <v>1440.3227334000001</v>
      </c>
      <c r="I90" s="23" t="s">
        <v>421</v>
      </c>
      <c r="J90" s="23" t="s">
        <v>424</v>
      </c>
    </row>
    <row r="91" spans="1:10" x14ac:dyDescent="0.2">
      <c r="A91" s="9"/>
      <c r="B91" s="23" t="s">
        <v>238</v>
      </c>
      <c r="C91" s="24">
        <v>44779</v>
      </c>
      <c r="D91" s="23" t="s">
        <v>455</v>
      </c>
      <c r="E91" s="23" t="s">
        <v>14</v>
      </c>
      <c r="F91" s="23" t="s">
        <v>239</v>
      </c>
      <c r="G91" s="23" t="s">
        <v>243</v>
      </c>
      <c r="H91" s="10">
        <v>4699.0018092</v>
      </c>
      <c r="I91" s="23" t="s">
        <v>421</v>
      </c>
      <c r="J91" s="23" t="s">
        <v>244</v>
      </c>
    </row>
    <row r="92" spans="1:10" x14ac:dyDescent="0.2">
      <c r="A92" s="9"/>
      <c r="B92" s="23" t="s">
        <v>238</v>
      </c>
      <c r="C92" s="24">
        <v>44779</v>
      </c>
      <c r="D92" s="23" t="s">
        <v>455</v>
      </c>
      <c r="E92" s="23" t="s">
        <v>14</v>
      </c>
      <c r="F92" s="23" t="s">
        <v>239</v>
      </c>
      <c r="G92" s="23" t="s">
        <v>243</v>
      </c>
      <c r="H92" s="10">
        <v>1440.3227334000001</v>
      </c>
      <c r="I92" s="23" t="s">
        <v>421</v>
      </c>
      <c r="J92" s="23" t="s">
        <v>424</v>
      </c>
    </row>
    <row r="93" spans="1:10" x14ac:dyDescent="0.2">
      <c r="A93" s="9"/>
      <c r="B93" s="23" t="s">
        <v>238</v>
      </c>
      <c r="C93" s="24">
        <v>44779</v>
      </c>
      <c r="D93" s="23" t="s">
        <v>455</v>
      </c>
      <c r="E93" s="23" t="s">
        <v>14</v>
      </c>
      <c r="F93" s="23" t="s">
        <v>239</v>
      </c>
      <c r="G93" s="23" t="s">
        <v>243</v>
      </c>
      <c r="H93" s="10">
        <v>2126.1369174000001</v>
      </c>
      <c r="I93" s="23" t="s">
        <v>421</v>
      </c>
      <c r="J93" s="23" t="s">
        <v>423</v>
      </c>
    </row>
    <row r="94" spans="1:10" x14ac:dyDescent="0.2">
      <c r="A94" s="9"/>
      <c r="B94" s="23" t="s">
        <v>238</v>
      </c>
      <c r="C94" s="24">
        <v>44779</v>
      </c>
      <c r="D94" s="23" t="s">
        <v>455</v>
      </c>
      <c r="E94" s="23" t="s">
        <v>14</v>
      </c>
      <c r="F94" s="23" t="s">
        <v>239</v>
      </c>
      <c r="G94" s="23" t="s">
        <v>243</v>
      </c>
      <c r="H94" s="10">
        <v>385.3186905</v>
      </c>
      <c r="I94" s="23" t="s">
        <v>421</v>
      </c>
      <c r="J94" s="23" t="s">
        <v>425</v>
      </c>
    </row>
    <row r="95" spans="1:10" x14ac:dyDescent="0.2">
      <c r="A95" s="9"/>
      <c r="B95" s="23" t="s">
        <v>238</v>
      </c>
      <c r="C95" s="24">
        <v>44779</v>
      </c>
      <c r="D95" s="23" t="s">
        <v>456</v>
      </c>
      <c r="E95" s="23" t="s">
        <v>14</v>
      </c>
      <c r="F95" s="23" t="s">
        <v>239</v>
      </c>
      <c r="G95" s="23" t="s">
        <v>243</v>
      </c>
      <c r="H95" s="10">
        <v>56.315374200000001</v>
      </c>
      <c r="I95" s="23" t="s">
        <v>421</v>
      </c>
      <c r="J95" s="23" t="s">
        <v>242</v>
      </c>
    </row>
    <row r="96" spans="1:10" x14ac:dyDescent="0.2">
      <c r="A96" s="9"/>
      <c r="B96" s="23" t="s">
        <v>238</v>
      </c>
      <c r="C96" s="24">
        <v>44779</v>
      </c>
      <c r="D96" s="23" t="s">
        <v>456</v>
      </c>
      <c r="E96" s="23" t="s">
        <v>14</v>
      </c>
      <c r="F96" s="23" t="s">
        <v>239</v>
      </c>
      <c r="G96" s="23" t="s">
        <v>243</v>
      </c>
      <c r="H96" s="10">
        <v>19.167105899999999</v>
      </c>
      <c r="I96" s="23" t="s">
        <v>421</v>
      </c>
      <c r="J96" s="23" t="s">
        <v>423</v>
      </c>
    </row>
    <row r="97" spans="1:10" x14ac:dyDescent="0.2">
      <c r="A97" s="9"/>
      <c r="B97" s="23" t="s">
        <v>238</v>
      </c>
      <c r="C97" s="24">
        <v>44779</v>
      </c>
      <c r="D97" s="23" t="s">
        <v>455</v>
      </c>
      <c r="E97" s="23" t="s">
        <v>14</v>
      </c>
      <c r="F97" s="23" t="s">
        <v>239</v>
      </c>
      <c r="G97" s="23" t="s">
        <v>243</v>
      </c>
      <c r="H97" s="10">
        <v>2150.4882905999998</v>
      </c>
      <c r="I97" s="23" t="s">
        <v>421</v>
      </c>
      <c r="J97" s="23" t="s">
        <v>434</v>
      </c>
    </row>
    <row r="98" spans="1:10" x14ac:dyDescent="0.2">
      <c r="A98" s="9"/>
      <c r="B98" s="23" t="s">
        <v>444</v>
      </c>
      <c r="C98" s="24">
        <v>44779</v>
      </c>
      <c r="D98" s="23" t="s">
        <v>457</v>
      </c>
      <c r="E98" s="23" t="s">
        <v>0</v>
      </c>
      <c r="F98" s="23" t="s">
        <v>239</v>
      </c>
      <c r="G98" s="23" t="s">
        <v>458</v>
      </c>
      <c r="H98" s="10">
        <v>40.581857100000001</v>
      </c>
      <c r="I98" s="23" t="s">
        <v>421</v>
      </c>
      <c r="J98" s="23" t="s">
        <v>242</v>
      </c>
    </row>
    <row r="99" spans="1:10" x14ac:dyDescent="0.2">
      <c r="A99" s="9"/>
      <c r="B99" s="23" t="s">
        <v>444</v>
      </c>
      <c r="C99" s="24">
        <v>44779</v>
      </c>
      <c r="D99" s="23" t="s">
        <v>457</v>
      </c>
      <c r="E99" s="23" t="s">
        <v>0</v>
      </c>
      <c r="F99" s="23" t="s">
        <v>239</v>
      </c>
      <c r="G99" s="23" t="s">
        <v>458</v>
      </c>
      <c r="H99" s="10">
        <v>28.857958499999999</v>
      </c>
      <c r="I99" s="23" t="s">
        <v>421</v>
      </c>
      <c r="J99" s="23" t="s">
        <v>434</v>
      </c>
    </row>
    <row r="100" spans="1:10" x14ac:dyDescent="0.2">
      <c r="A100" s="9"/>
      <c r="B100" s="23" t="s">
        <v>444</v>
      </c>
      <c r="C100" s="24">
        <v>44779</v>
      </c>
      <c r="D100" s="23" t="s">
        <v>457</v>
      </c>
      <c r="E100" s="23" t="s">
        <v>0</v>
      </c>
      <c r="F100" s="23" t="s">
        <v>239</v>
      </c>
      <c r="G100" s="23" t="s">
        <v>458</v>
      </c>
      <c r="H100" s="10">
        <v>53.344868099999999</v>
      </c>
      <c r="I100" s="23" t="s">
        <v>421</v>
      </c>
      <c r="J100" s="23" t="s">
        <v>423</v>
      </c>
    </row>
    <row r="101" spans="1:10" x14ac:dyDescent="0.2">
      <c r="A101" s="9"/>
      <c r="B101" s="23" t="s">
        <v>444</v>
      </c>
      <c r="C101" s="24">
        <v>44779</v>
      </c>
      <c r="D101" s="23" t="s">
        <v>457</v>
      </c>
      <c r="E101" s="23" t="s">
        <v>0</v>
      </c>
      <c r="F101" s="23" t="s">
        <v>239</v>
      </c>
      <c r="G101" s="23" t="s">
        <v>458</v>
      </c>
      <c r="H101" s="10">
        <v>73.404255300000003</v>
      </c>
      <c r="I101" s="23" t="s">
        <v>421</v>
      </c>
      <c r="J101" s="23" t="s">
        <v>422</v>
      </c>
    </row>
    <row r="102" spans="1:10" x14ac:dyDescent="0.2">
      <c r="A102" s="9"/>
      <c r="B102" s="23" t="s">
        <v>444</v>
      </c>
      <c r="C102" s="24">
        <v>44779</v>
      </c>
      <c r="D102" s="23" t="s">
        <v>459</v>
      </c>
      <c r="E102" s="23" t="s">
        <v>0</v>
      </c>
      <c r="F102" s="23" t="s">
        <v>239</v>
      </c>
      <c r="G102" s="23" t="s">
        <v>458</v>
      </c>
      <c r="H102" s="10">
        <v>272.75571029999998</v>
      </c>
      <c r="I102" s="23" t="s">
        <v>421</v>
      </c>
      <c r="J102" s="23" t="s">
        <v>424</v>
      </c>
    </row>
    <row r="103" spans="1:10" x14ac:dyDescent="0.2">
      <c r="A103" s="9"/>
      <c r="B103" s="23" t="s">
        <v>444</v>
      </c>
      <c r="C103" s="24">
        <v>44779</v>
      </c>
      <c r="D103" s="23" t="s">
        <v>459</v>
      </c>
      <c r="E103" s="23" t="s">
        <v>0</v>
      </c>
      <c r="F103" s="23" t="s">
        <v>239</v>
      </c>
      <c r="G103" s="23" t="s">
        <v>458</v>
      </c>
      <c r="H103" s="10">
        <v>177.9254091</v>
      </c>
      <c r="I103" s="23" t="s">
        <v>421</v>
      </c>
      <c r="J103" s="23" t="s">
        <v>425</v>
      </c>
    </row>
    <row r="104" spans="1:10" x14ac:dyDescent="0.2">
      <c r="A104" s="9"/>
      <c r="B104" s="23" t="s">
        <v>444</v>
      </c>
      <c r="C104" s="24">
        <v>44779</v>
      </c>
      <c r="D104" s="23" t="s">
        <v>457</v>
      </c>
      <c r="E104" s="23" t="s">
        <v>0</v>
      </c>
      <c r="F104" s="23" t="s">
        <v>239</v>
      </c>
      <c r="G104" s="23" t="s">
        <v>458</v>
      </c>
      <c r="H104" s="10">
        <v>-47.290908899999998</v>
      </c>
      <c r="I104" s="23" t="s">
        <v>421</v>
      </c>
      <c r="J104" s="23" t="s">
        <v>240</v>
      </c>
    </row>
    <row r="105" spans="1:10" x14ac:dyDescent="0.2">
      <c r="A105" s="9"/>
      <c r="B105" s="23" t="s">
        <v>238</v>
      </c>
      <c r="C105" s="24">
        <v>44785</v>
      </c>
      <c r="D105" s="23" t="s">
        <v>460</v>
      </c>
      <c r="E105" s="23" t="s">
        <v>14</v>
      </c>
      <c r="F105" s="23" t="s">
        <v>239</v>
      </c>
      <c r="G105" s="23" t="s">
        <v>243</v>
      </c>
      <c r="H105" s="10">
        <v>109.49082180000001</v>
      </c>
      <c r="I105" s="23" t="s">
        <v>421</v>
      </c>
      <c r="J105" s="23" t="s">
        <v>244</v>
      </c>
    </row>
    <row r="106" spans="1:10" x14ac:dyDescent="0.2">
      <c r="A106" s="9"/>
      <c r="B106" s="23" t="s">
        <v>238</v>
      </c>
      <c r="C106" s="24">
        <v>44785</v>
      </c>
      <c r="D106" s="23" t="s">
        <v>460</v>
      </c>
      <c r="E106" s="23" t="s">
        <v>14</v>
      </c>
      <c r="F106" s="23" t="s">
        <v>239</v>
      </c>
      <c r="G106" s="23" t="s">
        <v>243</v>
      </c>
      <c r="H106" s="10">
        <v>96.513211499999997</v>
      </c>
      <c r="I106" s="23" t="s">
        <v>421</v>
      </c>
      <c r="J106" s="23" t="s">
        <v>242</v>
      </c>
    </row>
    <row r="107" spans="1:10" x14ac:dyDescent="0.2">
      <c r="A107" s="9"/>
      <c r="B107" s="23" t="s">
        <v>238</v>
      </c>
      <c r="C107" s="24">
        <v>44785</v>
      </c>
      <c r="D107" s="23" t="s">
        <v>460</v>
      </c>
      <c r="E107" s="23" t="s">
        <v>14</v>
      </c>
      <c r="F107" s="23" t="s">
        <v>239</v>
      </c>
      <c r="G107" s="23" t="s">
        <v>243</v>
      </c>
      <c r="H107" s="10">
        <v>651.9752628</v>
      </c>
      <c r="I107" s="23" t="s">
        <v>421</v>
      </c>
      <c r="J107" s="23" t="s">
        <v>240</v>
      </c>
    </row>
    <row r="108" spans="1:10" x14ac:dyDescent="0.2">
      <c r="A108" s="9"/>
      <c r="B108" s="23" t="s">
        <v>238</v>
      </c>
      <c r="C108" s="24">
        <v>44785</v>
      </c>
      <c r="D108" s="23" t="s">
        <v>460</v>
      </c>
      <c r="E108" s="23" t="s">
        <v>14</v>
      </c>
      <c r="F108" s="23" t="s">
        <v>239</v>
      </c>
      <c r="G108" s="23" t="s">
        <v>243</v>
      </c>
      <c r="H108" s="10">
        <v>236.80468020000001</v>
      </c>
      <c r="I108" s="23" t="s">
        <v>421</v>
      </c>
      <c r="J108" s="23" t="s">
        <v>423</v>
      </c>
    </row>
    <row r="109" spans="1:10" x14ac:dyDescent="0.2">
      <c r="A109" s="9"/>
      <c r="B109" s="23" t="s">
        <v>238</v>
      </c>
      <c r="C109" s="24">
        <v>44785</v>
      </c>
      <c r="D109" s="23" t="s">
        <v>460</v>
      </c>
      <c r="E109" s="23" t="s">
        <v>14</v>
      </c>
      <c r="F109" s="23" t="s">
        <v>239</v>
      </c>
      <c r="G109" s="23" t="s">
        <v>243</v>
      </c>
      <c r="H109" s="10">
        <v>25.266243899999999</v>
      </c>
      <c r="I109" s="23" t="s">
        <v>421</v>
      </c>
      <c r="J109" s="23" t="s">
        <v>422</v>
      </c>
    </row>
    <row r="110" spans="1:10" x14ac:dyDescent="0.2">
      <c r="A110" s="9"/>
      <c r="B110" s="23" t="s">
        <v>238</v>
      </c>
      <c r="C110" s="24">
        <v>44785</v>
      </c>
      <c r="D110" s="23" t="s">
        <v>460</v>
      </c>
      <c r="E110" s="23" t="s">
        <v>14</v>
      </c>
      <c r="F110" s="23" t="s">
        <v>239</v>
      </c>
      <c r="G110" s="23" t="s">
        <v>243</v>
      </c>
      <c r="H110" s="10">
        <v>29.016084299999999</v>
      </c>
      <c r="I110" s="23" t="s">
        <v>421</v>
      </c>
      <c r="J110" s="23" t="s">
        <v>424</v>
      </c>
    </row>
    <row r="111" spans="1:10" x14ac:dyDescent="0.2">
      <c r="A111" s="9"/>
      <c r="B111" s="23" t="s">
        <v>238</v>
      </c>
      <c r="C111" s="24">
        <v>44785</v>
      </c>
      <c r="D111" s="23" t="s">
        <v>460</v>
      </c>
      <c r="E111" s="23" t="s">
        <v>14</v>
      </c>
      <c r="F111" s="23" t="s">
        <v>239</v>
      </c>
      <c r="G111" s="23" t="s">
        <v>243</v>
      </c>
      <c r="H111" s="10">
        <v>337.1580897</v>
      </c>
      <c r="I111" s="23" t="s">
        <v>421</v>
      </c>
      <c r="J111" s="23" t="s">
        <v>433</v>
      </c>
    </row>
    <row r="112" spans="1:10" x14ac:dyDescent="0.2">
      <c r="A112" s="9"/>
      <c r="B112" s="23" t="s">
        <v>238</v>
      </c>
      <c r="C112" s="24">
        <v>44787</v>
      </c>
      <c r="D112" s="23" t="s">
        <v>461</v>
      </c>
      <c r="E112" s="23" t="s">
        <v>14</v>
      </c>
      <c r="F112" s="23" t="s">
        <v>239</v>
      </c>
      <c r="G112" s="23" t="s">
        <v>243</v>
      </c>
      <c r="H112" s="10">
        <v>36.4592916</v>
      </c>
      <c r="I112" s="23" t="s">
        <v>421</v>
      </c>
      <c r="J112" s="23" t="s">
        <v>432</v>
      </c>
    </row>
    <row r="113" spans="1:10" x14ac:dyDescent="0.2">
      <c r="A113" s="9"/>
      <c r="B113" s="23" t="s">
        <v>238</v>
      </c>
      <c r="C113" s="24">
        <v>44787</v>
      </c>
      <c r="D113" s="23" t="s">
        <v>462</v>
      </c>
      <c r="E113" s="23" t="s">
        <v>14</v>
      </c>
      <c r="F113" s="23" t="s">
        <v>239</v>
      </c>
      <c r="G113" s="23" t="s">
        <v>243</v>
      </c>
      <c r="H113" s="10">
        <v>14952.4547109</v>
      </c>
      <c r="I113" s="23" t="s">
        <v>421</v>
      </c>
      <c r="J113" s="23" t="s">
        <v>448</v>
      </c>
    </row>
    <row r="114" spans="1:10" x14ac:dyDescent="0.2">
      <c r="A114" s="9"/>
      <c r="B114" s="23" t="s">
        <v>238</v>
      </c>
      <c r="C114" s="24">
        <v>44787</v>
      </c>
      <c r="D114" s="23" t="s">
        <v>461</v>
      </c>
      <c r="E114" s="23" t="s">
        <v>14</v>
      </c>
      <c r="F114" s="23" t="s">
        <v>239</v>
      </c>
      <c r="G114" s="23" t="s">
        <v>243</v>
      </c>
      <c r="H114" s="10">
        <v>39.474976499999997</v>
      </c>
      <c r="I114" s="23" t="s">
        <v>421</v>
      </c>
      <c r="J114" s="23" t="s">
        <v>423</v>
      </c>
    </row>
    <row r="115" spans="1:10" x14ac:dyDescent="0.2">
      <c r="A115" s="9"/>
      <c r="B115" s="23" t="s">
        <v>238</v>
      </c>
      <c r="C115" s="24">
        <v>44787</v>
      </c>
      <c r="D115" s="23" t="s">
        <v>461</v>
      </c>
      <c r="E115" s="23" t="s">
        <v>14</v>
      </c>
      <c r="F115" s="23" t="s">
        <v>239</v>
      </c>
      <c r="G115" s="23" t="s">
        <v>243</v>
      </c>
      <c r="H115" s="10">
        <v>134.85871800000001</v>
      </c>
      <c r="I115" s="23" t="s">
        <v>421</v>
      </c>
      <c r="J115" s="23" t="s">
        <v>433</v>
      </c>
    </row>
    <row r="116" spans="1:10" x14ac:dyDescent="0.2">
      <c r="A116" s="9"/>
      <c r="B116" s="23" t="s">
        <v>238</v>
      </c>
      <c r="C116" s="24">
        <v>44787</v>
      </c>
      <c r="D116" s="23" t="s">
        <v>463</v>
      </c>
      <c r="E116" s="23" t="s">
        <v>14</v>
      </c>
      <c r="F116" s="23" t="s">
        <v>239</v>
      </c>
      <c r="G116" s="23" t="s">
        <v>243</v>
      </c>
      <c r="H116" s="10">
        <v>236.78209079999999</v>
      </c>
      <c r="I116" s="23" t="s">
        <v>421</v>
      </c>
      <c r="J116" s="23" t="s">
        <v>423</v>
      </c>
    </row>
    <row r="117" spans="1:10" x14ac:dyDescent="0.2">
      <c r="A117" s="9"/>
      <c r="B117" s="23" t="s">
        <v>238</v>
      </c>
      <c r="C117" s="24">
        <v>44787</v>
      </c>
      <c r="D117" s="23" t="s">
        <v>464</v>
      </c>
      <c r="E117" s="23" t="s">
        <v>14</v>
      </c>
      <c r="F117" s="23" t="s">
        <v>239</v>
      </c>
      <c r="G117" s="23" t="s">
        <v>243</v>
      </c>
      <c r="H117" s="10">
        <v>944.04491010000004</v>
      </c>
      <c r="I117" s="23" t="s">
        <v>421</v>
      </c>
      <c r="J117" s="23" t="s">
        <v>433</v>
      </c>
    </row>
    <row r="118" spans="1:10" x14ac:dyDescent="0.2">
      <c r="A118" s="9"/>
      <c r="B118" s="23" t="s">
        <v>238</v>
      </c>
      <c r="C118" s="24">
        <v>44787</v>
      </c>
      <c r="D118" s="23" t="s">
        <v>461</v>
      </c>
      <c r="E118" s="23" t="s">
        <v>14</v>
      </c>
      <c r="F118" s="23" t="s">
        <v>239</v>
      </c>
      <c r="G118" s="23" t="s">
        <v>243</v>
      </c>
      <c r="H118" s="10">
        <v>533.08725059999995</v>
      </c>
      <c r="I118" s="23" t="s">
        <v>421</v>
      </c>
      <c r="J118" s="23" t="s">
        <v>422</v>
      </c>
    </row>
    <row r="119" spans="1:10" x14ac:dyDescent="0.2">
      <c r="A119" s="9"/>
      <c r="B119" s="23" t="s">
        <v>238</v>
      </c>
      <c r="C119" s="24">
        <v>44787</v>
      </c>
      <c r="D119" s="23" t="s">
        <v>465</v>
      </c>
      <c r="E119" s="23" t="s">
        <v>14</v>
      </c>
      <c r="F119" s="23" t="s">
        <v>239</v>
      </c>
      <c r="G119" s="23" t="s">
        <v>243</v>
      </c>
      <c r="H119" s="10">
        <v>19.731840900000002</v>
      </c>
      <c r="I119" s="23" t="s">
        <v>421</v>
      </c>
      <c r="J119" s="23" t="s">
        <v>423</v>
      </c>
    </row>
    <row r="120" spans="1:10" x14ac:dyDescent="0.2">
      <c r="A120" s="9"/>
      <c r="B120" s="23" t="s">
        <v>238</v>
      </c>
      <c r="C120" s="24">
        <v>44787</v>
      </c>
      <c r="D120" s="23" t="s">
        <v>461</v>
      </c>
      <c r="E120" s="23" t="s">
        <v>14</v>
      </c>
      <c r="F120" s="23" t="s">
        <v>239</v>
      </c>
      <c r="G120" s="23" t="s">
        <v>243</v>
      </c>
      <c r="H120" s="10">
        <v>32.189895</v>
      </c>
      <c r="I120" s="23" t="s">
        <v>421</v>
      </c>
      <c r="J120" s="23" t="s">
        <v>242</v>
      </c>
    </row>
    <row r="121" spans="1:10" x14ac:dyDescent="0.2">
      <c r="A121" s="9"/>
      <c r="B121" s="23" t="s">
        <v>238</v>
      </c>
      <c r="C121" s="24">
        <v>44787</v>
      </c>
      <c r="D121" s="23" t="s">
        <v>464</v>
      </c>
      <c r="E121" s="23" t="s">
        <v>14</v>
      </c>
      <c r="F121" s="23" t="s">
        <v>239</v>
      </c>
      <c r="G121" s="23" t="s">
        <v>243</v>
      </c>
      <c r="H121" s="10">
        <v>91.803321600000004</v>
      </c>
      <c r="I121" s="23" t="s">
        <v>421</v>
      </c>
      <c r="J121" s="23" t="s">
        <v>426</v>
      </c>
    </row>
    <row r="122" spans="1:10" x14ac:dyDescent="0.2">
      <c r="A122" s="9"/>
      <c r="B122" s="23" t="s">
        <v>238</v>
      </c>
      <c r="C122" s="24">
        <v>44789</v>
      </c>
      <c r="D122" s="23" t="s">
        <v>466</v>
      </c>
      <c r="E122" s="23" t="s">
        <v>14</v>
      </c>
      <c r="F122" s="23" t="s">
        <v>239</v>
      </c>
      <c r="G122" s="23" t="s">
        <v>243</v>
      </c>
      <c r="H122" s="10">
        <v>139.95262769999999</v>
      </c>
      <c r="I122" s="23" t="s">
        <v>421</v>
      </c>
      <c r="J122" s="23" t="s">
        <v>422</v>
      </c>
    </row>
    <row r="123" spans="1:10" x14ac:dyDescent="0.2">
      <c r="A123" s="9"/>
      <c r="B123" s="23" t="s">
        <v>238</v>
      </c>
      <c r="C123" s="24">
        <v>44789</v>
      </c>
      <c r="D123" s="23" t="s">
        <v>466</v>
      </c>
      <c r="E123" s="23" t="s">
        <v>14</v>
      </c>
      <c r="F123" s="23" t="s">
        <v>239</v>
      </c>
      <c r="G123" s="23" t="s">
        <v>243</v>
      </c>
      <c r="H123" s="10">
        <v>404.58744869999998</v>
      </c>
      <c r="I123" s="23" t="s">
        <v>421</v>
      </c>
      <c r="J123" s="23" t="s">
        <v>433</v>
      </c>
    </row>
    <row r="124" spans="1:10" x14ac:dyDescent="0.2">
      <c r="A124" s="9"/>
      <c r="B124" s="23" t="s">
        <v>238</v>
      </c>
      <c r="C124" s="24">
        <v>44789</v>
      </c>
      <c r="D124" s="23" t="s">
        <v>466</v>
      </c>
      <c r="E124" s="23" t="s">
        <v>14</v>
      </c>
      <c r="F124" s="23" t="s">
        <v>239</v>
      </c>
      <c r="G124" s="23" t="s">
        <v>243</v>
      </c>
      <c r="H124" s="10">
        <v>478.83880649999998</v>
      </c>
      <c r="I124" s="23" t="s">
        <v>421</v>
      </c>
      <c r="J124" s="23" t="s">
        <v>426</v>
      </c>
    </row>
    <row r="125" spans="1:10" x14ac:dyDescent="0.2">
      <c r="A125" s="9"/>
      <c r="B125" s="23" t="s">
        <v>238</v>
      </c>
      <c r="C125" s="24">
        <v>44789</v>
      </c>
      <c r="D125" s="23" t="s">
        <v>466</v>
      </c>
      <c r="E125" s="23" t="s">
        <v>14</v>
      </c>
      <c r="F125" s="23" t="s">
        <v>239</v>
      </c>
      <c r="G125" s="23" t="s">
        <v>243</v>
      </c>
      <c r="H125" s="10">
        <v>381.47849250000002</v>
      </c>
      <c r="I125" s="23" t="s">
        <v>421</v>
      </c>
      <c r="J125" s="23" t="s">
        <v>240</v>
      </c>
    </row>
    <row r="126" spans="1:10" x14ac:dyDescent="0.2">
      <c r="A126" s="9"/>
      <c r="B126" s="23" t="s">
        <v>238</v>
      </c>
      <c r="C126" s="24">
        <v>44789</v>
      </c>
      <c r="D126" s="23" t="s">
        <v>466</v>
      </c>
      <c r="E126" s="23" t="s">
        <v>14</v>
      </c>
      <c r="F126" s="23" t="s">
        <v>239</v>
      </c>
      <c r="G126" s="23" t="s">
        <v>243</v>
      </c>
      <c r="H126" s="10">
        <v>1369.1322393</v>
      </c>
      <c r="I126" s="23" t="s">
        <v>421</v>
      </c>
      <c r="J126" s="23" t="s">
        <v>425</v>
      </c>
    </row>
    <row r="127" spans="1:10" x14ac:dyDescent="0.2">
      <c r="A127" s="9"/>
      <c r="B127" s="23" t="s">
        <v>238</v>
      </c>
      <c r="C127" s="24">
        <v>44791</v>
      </c>
      <c r="D127" s="23" t="s">
        <v>467</v>
      </c>
      <c r="E127" s="23" t="s">
        <v>14</v>
      </c>
      <c r="F127" s="23" t="s">
        <v>239</v>
      </c>
      <c r="G127" s="23" t="s">
        <v>243</v>
      </c>
      <c r="H127" s="10">
        <v>186.96116910000001</v>
      </c>
      <c r="I127" s="23" t="s">
        <v>421</v>
      </c>
      <c r="J127" s="23" t="s">
        <v>240</v>
      </c>
    </row>
    <row r="128" spans="1:10" x14ac:dyDescent="0.2">
      <c r="A128" s="9"/>
      <c r="B128" s="23" t="s">
        <v>238</v>
      </c>
      <c r="C128" s="24">
        <v>44791</v>
      </c>
      <c r="D128" s="23" t="s">
        <v>468</v>
      </c>
      <c r="E128" s="23" t="s">
        <v>14</v>
      </c>
      <c r="F128" s="23" t="s">
        <v>239</v>
      </c>
      <c r="G128" s="23" t="s">
        <v>243</v>
      </c>
      <c r="H128" s="10">
        <v>137.29837319999999</v>
      </c>
      <c r="I128" s="23" t="s">
        <v>421</v>
      </c>
      <c r="J128" s="23" t="s">
        <v>242</v>
      </c>
    </row>
    <row r="129" spans="1:10" x14ac:dyDescent="0.2">
      <c r="A129" s="9"/>
      <c r="B129" s="23" t="s">
        <v>238</v>
      </c>
      <c r="C129" s="24">
        <v>44791</v>
      </c>
      <c r="D129" s="23" t="s">
        <v>467</v>
      </c>
      <c r="E129" s="23" t="s">
        <v>14</v>
      </c>
      <c r="F129" s="23" t="s">
        <v>239</v>
      </c>
      <c r="G129" s="23" t="s">
        <v>243</v>
      </c>
      <c r="H129" s="10">
        <v>34.324593299999997</v>
      </c>
      <c r="I129" s="23" t="s">
        <v>421</v>
      </c>
      <c r="J129" s="23" t="s">
        <v>242</v>
      </c>
    </row>
    <row r="130" spans="1:10" x14ac:dyDescent="0.2">
      <c r="A130" s="9"/>
      <c r="B130" s="23" t="s">
        <v>238</v>
      </c>
      <c r="C130" s="24">
        <v>44792</v>
      </c>
      <c r="D130" s="23" t="s">
        <v>469</v>
      </c>
      <c r="E130" s="23" t="s">
        <v>14</v>
      </c>
      <c r="F130" s="23" t="s">
        <v>239</v>
      </c>
      <c r="G130" s="23" t="s">
        <v>243</v>
      </c>
      <c r="H130" s="10">
        <v>505.29099389999999</v>
      </c>
      <c r="I130" s="23" t="s">
        <v>241</v>
      </c>
      <c r="J130" s="23" t="s">
        <v>422</v>
      </c>
    </row>
    <row r="131" spans="1:10" x14ac:dyDescent="0.2">
      <c r="A131" s="9"/>
      <c r="B131" s="23" t="s">
        <v>238</v>
      </c>
      <c r="C131" s="24">
        <v>44792</v>
      </c>
      <c r="D131" s="23" t="s">
        <v>470</v>
      </c>
      <c r="E131" s="23" t="s">
        <v>14</v>
      </c>
      <c r="F131" s="23" t="s">
        <v>239</v>
      </c>
      <c r="G131" s="23" t="s">
        <v>243</v>
      </c>
      <c r="H131" s="10">
        <v>2318.8132046999999</v>
      </c>
      <c r="I131" s="23" t="s">
        <v>421</v>
      </c>
      <c r="J131" s="23" t="s">
        <v>422</v>
      </c>
    </row>
    <row r="132" spans="1:10" x14ac:dyDescent="0.2">
      <c r="A132" s="9"/>
      <c r="B132" s="23" t="s">
        <v>238</v>
      </c>
      <c r="C132" s="24">
        <v>44792</v>
      </c>
      <c r="D132" s="23" t="s">
        <v>471</v>
      </c>
      <c r="E132" s="23" t="s">
        <v>14</v>
      </c>
      <c r="F132" s="23" t="s">
        <v>239</v>
      </c>
      <c r="G132" s="23" t="s">
        <v>243</v>
      </c>
      <c r="H132" s="10">
        <v>193.88482020000001</v>
      </c>
      <c r="I132" s="23" t="s">
        <v>421</v>
      </c>
      <c r="J132" s="23" t="s">
        <v>242</v>
      </c>
    </row>
    <row r="133" spans="1:10" x14ac:dyDescent="0.2">
      <c r="A133" s="9"/>
      <c r="B133" s="23" t="s">
        <v>238</v>
      </c>
      <c r="C133" s="24">
        <v>44792</v>
      </c>
      <c r="D133" s="23" t="s">
        <v>470</v>
      </c>
      <c r="E133" s="23" t="s">
        <v>14</v>
      </c>
      <c r="F133" s="23" t="s">
        <v>239</v>
      </c>
      <c r="G133" s="23" t="s">
        <v>243</v>
      </c>
      <c r="H133" s="10">
        <v>1835.9986638</v>
      </c>
      <c r="I133" s="23" t="s">
        <v>421</v>
      </c>
      <c r="J133" s="23" t="s">
        <v>426</v>
      </c>
    </row>
    <row r="134" spans="1:10" x14ac:dyDescent="0.2">
      <c r="A134" s="9"/>
      <c r="B134" s="23" t="s">
        <v>238</v>
      </c>
      <c r="C134" s="24">
        <v>44796</v>
      </c>
      <c r="D134" s="23" t="s">
        <v>472</v>
      </c>
      <c r="E134" s="23" t="s">
        <v>14</v>
      </c>
      <c r="F134" s="23" t="s">
        <v>239</v>
      </c>
      <c r="G134" s="23" t="s">
        <v>243</v>
      </c>
      <c r="H134" s="10">
        <v>340.36578450000002</v>
      </c>
      <c r="I134" s="23" t="s">
        <v>421</v>
      </c>
      <c r="J134" s="23" t="s">
        <v>425</v>
      </c>
    </row>
    <row r="135" spans="1:10" x14ac:dyDescent="0.2">
      <c r="A135" s="9"/>
      <c r="B135" s="23" t="s">
        <v>238</v>
      </c>
      <c r="C135" s="24">
        <v>44796</v>
      </c>
      <c r="D135" s="23" t="s">
        <v>472</v>
      </c>
      <c r="E135" s="23" t="s">
        <v>14</v>
      </c>
      <c r="F135" s="23" t="s">
        <v>239</v>
      </c>
      <c r="G135" s="23" t="s">
        <v>243</v>
      </c>
      <c r="H135" s="10">
        <v>129.77610300000001</v>
      </c>
      <c r="I135" s="23" t="s">
        <v>421</v>
      </c>
      <c r="J135" s="23" t="s">
        <v>242</v>
      </c>
    </row>
    <row r="136" spans="1:10" x14ac:dyDescent="0.2">
      <c r="A136" s="9"/>
      <c r="B136" s="23" t="s">
        <v>238</v>
      </c>
      <c r="C136" s="24">
        <v>44802</v>
      </c>
      <c r="D136" s="23" t="s">
        <v>473</v>
      </c>
      <c r="E136" s="23" t="s">
        <v>14</v>
      </c>
      <c r="F136" s="23" t="s">
        <v>239</v>
      </c>
      <c r="G136" s="23" t="s">
        <v>243</v>
      </c>
      <c r="H136" s="10">
        <v>273.67058100000003</v>
      </c>
      <c r="I136" s="23" t="s">
        <v>421</v>
      </c>
      <c r="J136" s="23" t="s">
        <v>240</v>
      </c>
    </row>
    <row r="137" spans="1:10" x14ac:dyDescent="0.2">
      <c r="A137" s="9"/>
      <c r="B137" s="23" t="s">
        <v>238</v>
      </c>
      <c r="C137" s="24">
        <v>44802</v>
      </c>
      <c r="D137" s="23" t="s">
        <v>473</v>
      </c>
      <c r="E137" s="23" t="s">
        <v>14</v>
      </c>
      <c r="F137" s="23" t="s">
        <v>239</v>
      </c>
      <c r="G137" s="23" t="s">
        <v>243</v>
      </c>
      <c r="H137" s="10">
        <v>36.628712100000001</v>
      </c>
      <c r="I137" s="23" t="s">
        <v>421</v>
      </c>
      <c r="J137" s="23" t="s">
        <v>244</v>
      </c>
    </row>
    <row r="138" spans="1:10" x14ac:dyDescent="0.2">
      <c r="A138" s="9"/>
      <c r="B138" s="23" t="s">
        <v>238</v>
      </c>
      <c r="C138" s="24">
        <v>44802</v>
      </c>
      <c r="D138" s="23" t="s">
        <v>474</v>
      </c>
      <c r="E138" s="23" t="s">
        <v>14</v>
      </c>
      <c r="F138" s="23" t="s">
        <v>239</v>
      </c>
      <c r="G138" s="23" t="s">
        <v>243</v>
      </c>
      <c r="H138" s="10">
        <v>6724.6723701000001</v>
      </c>
      <c r="I138" s="23" t="s">
        <v>421</v>
      </c>
      <c r="J138" s="23" t="s">
        <v>423</v>
      </c>
    </row>
    <row r="139" spans="1:10" x14ac:dyDescent="0.2">
      <c r="A139" s="9"/>
      <c r="B139" s="23" t="s">
        <v>238</v>
      </c>
      <c r="C139" s="24">
        <v>44803</v>
      </c>
      <c r="D139" s="23" t="s">
        <v>475</v>
      </c>
      <c r="E139" s="23" t="s">
        <v>14</v>
      </c>
      <c r="F139" s="23" t="s">
        <v>239</v>
      </c>
      <c r="G139" s="23" t="s">
        <v>243</v>
      </c>
      <c r="H139" s="10">
        <v>148.2316428</v>
      </c>
      <c r="I139" s="23" t="s">
        <v>421</v>
      </c>
      <c r="J139" s="23" t="s">
        <v>242</v>
      </c>
    </row>
    <row r="140" spans="1:10" x14ac:dyDescent="0.2">
      <c r="A140" s="9"/>
      <c r="B140" s="23" t="s">
        <v>238</v>
      </c>
      <c r="C140" s="24">
        <v>44803</v>
      </c>
      <c r="D140" s="23" t="s">
        <v>476</v>
      </c>
      <c r="E140" s="23" t="s">
        <v>14</v>
      </c>
      <c r="F140" s="23" t="s">
        <v>239</v>
      </c>
      <c r="G140" s="23" t="s">
        <v>243</v>
      </c>
      <c r="H140" s="10">
        <v>11051.310509700001</v>
      </c>
      <c r="I140" s="23" t="s">
        <v>421</v>
      </c>
      <c r="J140" s="23" t="s">
        <v>423</v>
      </c>
    </row>
  </sheetData>
  <autoFilter ref="A1:J1283" xr:uid="{26D8BC34-F69F-40B4-829E-104E5E25ACDD}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22DCA-2C69-4912-A6E7-C8721CEAB54D}">
  <sheetPr codeName="Sheet5"/>
  <dimension ref="A1:J141"/>
  <sheetViews>
    <sheetView workbookViewId="0">
      <selection sqref="A1:J1"/>
    </sheetView>
  </sheetViews>
  <sheetFormatPr defaultRowHeight="10" x14ac:dyDescent="0.2"/>
  <cols>
    <col min="1" max="1" width="11.7265625" style="1" bestFit="1" customWidth="1"/>
    <col min="2" max="2" width="5.90625" style="1" bestFit="1" customWidth="1"/>
    <col min="3" max="3" width="8.08984375" style="1" bestFit="1" customWidth="1"/>
    <col min="4" max="4" width="14.7265625" style="1" bestFit="1" customWidth="1"/>
    <col min="5" max="5" width="17.36328125" style="1" bestFit="1" customWidth="1"/>
    <col min="6" max="6" width="4.7265625" style="1" bestFit="1" customWidth="1"/>
    <col min="7" max="7" width="61.1796875" style="1" bestFit="1" customWidth="1"/>
    <col min="8" max="8" width="9.36328125" style="1" bestFit="1" customWidth="1"/>
    <col min="9" max="9" width="14.1796875" style="1" bestFit="1" customWidth="1"/>
    <col min="10" max="10" width="11.36328125" style="1" bestFit="1" customWidth="1"/>
    <col min="11" max="16384" width="8.7265625" style="1"/>
  </cols>
  <sheetData>
    <row r="1" spans="1:10" x14ac:dyDescent="0.2">
      <c r="A1" s="2" t="s">
        <v>4</v>
      </c>
      <c r="B1" s="2" t="s">
        <v>226</v>
      </c>
      <c r="C1" s="2" t="s">
        <v>227</v>
      </c>
      <c r="D1" s="2" t="s">
        <v>228</v>
      </c>
      <c r="E1" s="2" t="s">
        <v>229</v>
      </c>
      <c r="F1" s="2" t="s">
        <v>230</v>
      </c>
      <c r="G1" s="2" t="s">
        <v>231</v>
      </c>
      <c r="H1" s="3" t="s">
        <v>6</v>
      </c>
      <c r="I1" s="2" t="s">
        <v>232</v>
      </c>
      <c r="J1" s="2" t="s">
        <v>233</v>
      </c>
    </row>
    <row r="2" spans="1:10" x14ac:dyDescent="0.2">
      <c r="A2" s="9"/>
      <c r="B2" s="23" t="s">
        <v>407</v>
      </c>
      <c r="C2" s="24">
        <v>44592</v>
      </c>
      <c r="D2" s="23" t="s">
        <v>584</v>
      </c>
      <c r="E2" s="23" t="s">
        <v>0</v>
      </c>
      <c r="F2" s="23" t="s">
        <v>239</v>
      </c>
      <c r="G2" s="23" t="s">
        <v>408</v>
      </c>
      <c r="H2" s="10">
        <v>135200.46260728771</v>
      </c>
      <c r="I2" s="23" t="s">
        <v>245</v>
      </c>
      <c r="J2" s="23"/>
    </row>
    <row r="3" spans="1:10" x14ac:dyDescent="0.2">
      <c r="A3" s="9"/>
      <c r="B3" s="23" t="s">
        <v>407</v>
      </c>
      <c r="C3" s="24">
        <v>44620</v>
      </c>
      <c r="D3" s="23" t="s">
        <v>585</v>
      </c>
      <c r="E3" s="23" t="s">
        <v>0</v>
      </c>
      <c r="F3" s="23" t="s">
        <v>239</v>
      </c>
      <c r="G3" s="23" t="s">
        <v>408</v>
      </c>
      <c r="H3" s="10">
        <v>75569.5399032157</v>
      </c>
      <c r="I3" s="23" t="s">
        <v>245</v>
      </c>
      <c r="J3" s="23"/>
    </row>
    <row r="4" spans="1:10" x14ac:dyDescent="0.2">
      <c r="A4" s="9"/>
      <c r="B4" s="23" t="s">
        <v>407</v>
      </c>
      <c r="C4" s="24">
        <v>44648</v>
      </c>
      <c r="D4" s="23" t="s">
        <v>586</v>
      </c>
      <c r="E4" s="23" t="s">
        <v>13</v>
      </c>
      <c r="F4" s="23" t="s">
        <v>239</v>
      </c>
      <c r="G4" s="23" t="s">
        <v>408</v>
      </c>
      <c r="H4" s="10">
        <v>11305.109198195427</v>
      </c>
      <c r="I4" s="23" t="s">
        <v>504</v>
      </c>
      <c r="J4" s="23" t="s">
        <v>242</v>
      </c>
    </row>
    <row r="5" spans="1:10" x14ac:dyDescent="0.2">
      <c r="A5" s="9"/>
      <c r="B5" s="23" t="s">
        <v>407</v>
      </c>
      <c r="C5" s="24">
        <v>44651</v>
      </c>
      <c r="D5" s="23" t="s">
        <v>587</v>
      </c>
      <c r="E5" s="23" t="s">
        <v>0</v>
      </c>
      <c r="F5" s="23" t="s">
        <v>239</v>
      </c>
      <c r="G5" s="23" t="s">
        <v>408</v>
      </c>
      <c r="H5" s="10">
        <v>87076.223143722178</v>
      </c>
      <c r="I5" s="23" t="s">
        <v>427</v>
      </c>
      <c r="J5" s="23"/>
    </row>
    <row r="6" spans="1:10" x14ac:dyDescent="0.2">
      <c r="A6" s="9"/>
      <c r="B6" s="23" t="s">
        <v>407</v>
      </c>
      <c r="C6" s="24">
        <v>44681</v>
      </c>
      <c r="D6" s="23" t="s">
        <v>588</v>
      </c>
      <c r="E6" s="23" t="s">
        <v>0</v>
      </c>
      <c r="F6" s="23" t="s">
        <v>239</v>
      </c>
      <c r="G6" s="23" t="s">
        <v>408</v>
      </c>
      <c r="H6" s="10">
        <v>82264.378176926839</v>
      </c>
      <c r="I6" s="23" t="s">
        <v>427</v>
      </c>
      <c r="J6" s="23"/>
    </row>
    <row r="7" spans="1:10" x14ac:dyDescent="0.2">
      <c r="A7" s="9"/>
      <c r="B7" s="23" t="s">
        <v>407</v>
      </c>
      <c r="C7" s="24">
        <v>44685</v>
      </c>
      <c r="D7" s="23" t="s">
        <v>589</v>
      </c>
      <c r="E7" s="23" t="s">
        <v>13</v>
      </c>
      <c r="F7" s="23" t="s">
        <v>239</v>
      </c>
      <c r="G7" s="23" t="s">
        <v>408</v>
      </c>
      <c r="H7" s="10">
        <v>79883.196171327567</v>
      </c>
      <c r="I7" s="23" t="s">
        <v>502</v>
      </c>
      <c r="J7" s="23" t="s">
        <v>240</v>
      </c>
    </row>
    <row r="8" spans="1:10" x14ac:dyDescent="0.2">
      <c r="A8" s="9"/>
      <c r="B8" s="23" t="s">
        <v>407</v>
      </c>
      <c r="C8" s="24">
        <v>44699</v>
      </c>
      <c r="D8" s="23" t="s">
        <v>590</v>
      </c>
      <c r="E8" s="23" t="s">
        <v>0</v>
      </c>
      <c r="F8" s="23" t="s">
        <v>239</v>
      </c>
      <c r="G8" s="23" t="s">
        <v>408</v>
      </c>
      <c r="H8" s="10">
        <v>70833.400720880818</v>
      </c>
      <c r="I8" s="23" t="s">
        <v>241</v>
      </c>
      <c r="J8" s="23" t="s">
        <v>242</v>
      </c>
    </row>
    <row r="9" spans="1:10" x14ac:dyDescent="0.2">
      <c r="A9" s="9"/>
      <c r="B9" s="23" t="s">
        <v>407</v>
      </c>
      <c r="C9" s="24">
        <v>44712</v>
      </c>
      <c r="D9" s="23" t="s">
        <v>591</v>
      </c>
      <c r="E9" s="23" t="s">
        <v>0</v>
      </c>
      <c r="F9" s="23" t="s">
        <v>239</v>
      </c>
      <c r="G9" s="23" t="s">
        <v>408</v>
      </c>
      <c r="H9" s="10">
        <v>73759.145591978595</v>
      </c>
      <c r="I9" s="23" t="s">
        <v>427</v>
      </c>
      <c r="J9" s="23"/>
    </row>
    <row r="10" spans="1:10" x14ac:dyDescent="0.2">
      <c r="A10" s="9"/>
      <c r="B10" s="23" t="s">
        <v>407</v>
      </c>
      <c r="C10" s="24">
        <v>44721</v>
      </c>
      <c r="D10" s="23" t="s">
        <v>592</v>
      </c>
      <c r="E10" s="23" t="s">
        <v>13</v>
      </c>
      <c r="F10" s="23" t="s">
        <v>239</v>
      </c>
      <c r="G10" s="23" t="s">
        <v>408</v>
      </c>
      <c r="H10" s="10">
        <v>19578.707327755808</v>
      </c>
      <c r="I10" s="23" t="s">
        <v>502</v>
      </c>
      <c r="J10" s="23" t="s">
        <v>424</v>
      </c>
    </row>
    <row r="11" spans="1:10" x14ac:dyDescent="0.2">
      <c r="A11" s="9"/>
      <c r="B11" s="23" t="s">
        <v>407</v>
      </c>
      <c r="C11" s="24">
        <v>44721</v>
      </c>
      <c r="D11" s="23" t="s">
        <v>592</v>
      </c>
      <c r="E11" s="23" t="s">
        <v>13</v>
      </c>
      <c r="F11" s="23" t="s">
        <v>239</v>
      </c>
      <c r="G11" s="23" t="s">
        <v>408</v>
      </c>
      <c r="H11" s="10">
        <v>62033.989957825775</v>
      </c>
      <c r="I11" s="23" t="s">
        <v>502</v>
      </c>
      <c r="J11" s="23" t="s">
        <v>240</v>
      </c>
    </row>
    <row r="12" spans="1:10" x14ac:dyDescent="0.2">
      <c r="A12" s="9"/>
      <c r="B12" s="23" t="s">
        <v>407</v>
      </c>
      <c r="C12" s="24">
        <v>44733</v>
      </c>
      <c r="D12" s="23" t="s">
        <v>593</v>
      </c>
      <c r="E12" s="23" t="s">
        <v>12</v>
      </c>
      <c r="F12" s="23" t="s">
        <v>239</v>
      </c>
      <c r="G12" s="23" t="s">
        <v>408</v>
      </c>
      <c r="H12" s="10">
        <v>9621.8857922708503</v>
      </c>
      <c r="I12" s="23" t="s">
        <v>241</v>
      </c>
      <c r="J12" s="23" t="s">
        <v>242</v>
      </c>
    </row>
    <row r="13" spans="1:10" x14ac:dyDescent="0.2">
      <c r="A13" s="9"/>
      <c r="B13" s="23" t="s">
        <v>407</v>
      </c>
      <c r="C13" s="24">
        <v>44742</v>
      </c>
      <c r="D13" s="23" t="s">
        <v>595</v>
      </c>
      <c r="E13" s="23" t="s">
        <v>0</v>
      </c>
      <c r="F13" s="23" t="s">
        <v>239</v>
      </c>
      <c r="G13" s="23" t="s">
        <v>408</v>
      </c>
      <c r="H13" s="10">
        <v>61914.834265610414</v>
      </c>
      <c r="I13" s="23" t="s">
        <v>427</v>
      </c>
      <c r="J13" s="23"/>
    </row>
    <row r="14" spans="1:10" x14ac:dyDescent="0.2">
      <c r="A14" s="9"/>
      <c r="B14" s="23" t="s">
        <v>407</v>
      </c>
      <c r="C14" s="24">
        <v>44747</v>
      </c>
      <c r="D14" s="23" t="s">
        <v>596</v>
      </c>
      <c r="E14" s="23" t="s">
        <v>14</v>
      </c>
      <c r="F14" s="23" t="s">
        <v>239</v>
      </c>
      <c r="G14" s="23" t="s">
        <v>408</v>
      </c>
      <c r="H14" s="10">
        <v>282.2598481687557</v>
      </c>
      <c r="I14" s="23" t="s">
        <v>245</v>
      </c>
      <c r="J14" s="23" t="s">
        <v>424</v>
      </c>
    </row>
    <row r="15" spans="1:10" x14ac:dyDescent="0.2">
      <c r="A15" s="9"/>
      <c r="B15" s="23" t="s">
        <v>407</v>
      </c>
      <c r="C15" s="24">
        <v>44747</v>
      </c>
      <c r="D15" s="23" t="s">
        <v>596</v>
      </c>
      <c r="E15" s="23" t="s">
        <v>14</v>
      </c>
      <c r="F15" s="23" t="s">
        <v>239</v>
      </c>
      <c r="G15" s="23" t="s">
        <v>408</v>
      </c>
      <c r="H15" s="10">
        <v>303.06589455793119</v>
      </c>
      <c r="I15" s="23" t="s">
        <v>245</v>
      </c>
      <c r="J15" s="23" t="s">
        <v>426</v>
      </c>
    </row>
    <row r="16" spans="1:10" x14ac:dyDescent="0.2">
      <c r="A16" s="9"/>
      <c r="B16" s="23" t="s">
        <v>407</v>
      </c>
      <c r="C16" s="24">
        <v>44749</v>
      </c>
      <c r="D16" s="23" t="s">
        <v>597</v>
      </c>
      <c r="E16" s="23" t="s">
        <v>14</v>
      </c>
      <c r="F16" s="23" t="s">
        <v>239</v>
      </c>
      <c r="G16" s="23" t="s">
        <v>408</v>
      </c>
      <c r="H16" s="10">
        <v>670.45902086178728</v>
      </c>
      <c r="I16" s="23" t="s">
        <v>421</v>
      </c>
      <c r="J16" s="23" t="s">
        <v>434</v>
      </c>
    </row>
    <row r="17" spans="1:10" x14ac:dyDescent="0.2">
      <c r="A17" s="9"/>
      <c r="B17" s="23" t="s">
        <v>407</v>
      </c>
      <c r="C17" s="24">
        <v>44749</v>
      </c>
      <c r="D17" s="23" t="s">
        <v>598</v>
      </c>
      <c r="E17" s="23" t="s">
        <v>14</v>
      </c>
      <c r="F17" s="23" t="s">
        <v>239</v>
      </c>
      <c r="G17" s="23" t="s">
        <v>408</v>
      </c>
      <c r="H17" s="10">
        <v>527.60376712099594</v>
      </c>
      <c r="I17" s="23" t="s">
        <v>241</v>
      </c>
      <c r="J17" s="23" t="s">
        <v>242</v>
      </c>
    </row>
    <row r="18" spans="1:10" x14ac:dyDescent="0.2">
      <c r="A18" s="9"/>
      <c r="B18" s="23" t="s">
        <v>407</v>
      </c>
      <c r="C18" s="24">
        <v>44749</v>
      </c>
      <c r="D18" s="23" t="s">
        <v>598</v>
      </c>
      <c r="E18" s="23" t="s">
        <v>14</v>
      </c>
      <c r="F18" s="23" t="s">
        <v>239</v>
      </c>
      <c r="G18" s="23" t="s">
        <v>408</v>
      </c>
      <c r="H18" s="10">
        <v>1893.7790015662683</v>
      </c>
      <c r="I18" s="23" t="s">
        <v>241</v>
      </c>
      <c r="J18" s="23" t="s">
        <v>422</v>
      </c>
    </row>
    <row r="19" spans="1:10" x14ac:dyDescent="0.2">
      <c r="A19" s="9"/>
      <c r="B19" s="23" t="s">
        <v>407</v>
      </c>
      <c r="C19" s="24">
        <v>44750</v>
      </c>
      <c r="D19" s="23" t="s">
        <v>599</v>
      </c>
      <c r="E19" s="23" t="s">
        <v>14</v>
      </c>
      <c r="F19" s="23" t="s">
        <v>239</v>
      </c>
      <c r="G19" s="23" t="s">
        <v>408</v>
      </c>
      <c r="H19" s="10">
        <v>188.66326657113012</v>
      </c>
      <c r="I19" s="23" t="s">
        <v>245</v>
      </c>
      <c r="J19" s="23" t="s">
        <v>424</v>
      </c>
    </row>
    <row r="20" spans="1:10" x14ac:dyDescent="0.2">
      <c r="A20" s="9"/>
      <c r="B20" s="23" t="s">
        <v>407</v>
      </c>
      <c r="C20" s="24">
        <v>44750</v>
      </c>
      <c r="D20" s="23" t="s">
        <v>600</v>
      </c>
      <c r="E20" s="23" t="s">
        <v>14</v>
      </c>
      <c r="F20" s="23" t="s">
        <v>239</v>
      </c>
      <c r="G20" s="23" t="s">
        <v>408</v>
      </c>
      <c r="H20" s="10">
        <v>972.92258139765693</v>
      </c>
      <c r="I20" s="23" t="s">
        <v>245</v>
      </c>
      <c r="J20" s="23" t="s">
        <v>240</v>
      </c>
    </row>
    <row r="21" spans="1:10" x14ac:dyDescent="0.2">
      <c r="A21" s="9"/>
      <c r="B21" s="23" t="s">
        <v>407</v>
      </c>
      <c r="C21" s="24">
        <v>44750</v>
      </c>
      <c r="D21" s="23" t="s">
        <v>599</v>
      </c>
      <c r="E21" s="23" t="s">
        <v>14</v>
      </c>
      <c r="F21" s="23" t="s">
        <v>239</v>
      </c>
      <c r="G21" s="23" t="s">
        <v>408</v>
      </c>
      <c r="H21" s="10">
        <v>45.481323191254582</v>
      </c>
      <c r="I21" s="23" t="s">
        <v>241</v>
      </c>
      <c r="J21" s="23" t="s">
        <v>242</v>
      </c>
    </row>
    <row r="22" spans="1:10" x14ac:dyDescent="0.2">
      <c r="A22" s="9"/>
      <c r="B22" s="23" t="s">
        <v>407</v>
      </c>
      <c r="C22" s="24">
        <v>44750</v>
      </c>
      <c r="D22" s="23" t="s">
        <v>600</v>
      </c>
      <c r="E22" s="23" t="s">
        <v>14</v>
      </c>
      <c r="F22" s="23" t="s">
        <v>239</v>
      </c>
      <c r="G22" s="23" t="s">
        <v>408</v>
      </c>
      <c r="H22" s="10">
        <v>42.8780151298023</v>
      </c>
      <c r="I22" s="23" t="s">
        <v>245</v>
      </c>
      <c r="J22" s="23" t="s">
        <v>244</v>
      </c>
    </row>
    <row r="23" spans="1:10" x14ac:dyDescent="0.2">
      <c r="A23" s="9"/>
      <c r="B23" s="23" t="s">
        <v>407</v>
      </c>
      <c r="C23" s="24">
        <v>44750</v>
      </c>
      <c r="D23" s="23" t="s">
        <v>600</v>
      </c>
      <c r="E23" s="23" t="s">
        <v>14</v>
      </c>
      <c r="F23" s="23" t="s">
        <v>239</v>
      </c>
      <c r="G23" s="23" t="s">
        <v>408</v>
      </c>
      <c r="H23" s="10">
        <v>916.77279968005871</v>
      </c>
      <c r="I23" s="23" t="s">
        <v>241</v>
      </c>
      <c r="J23" s="23" t="s">
        <v>422</v>
      </c>
    </row>
    <row r="24" spans="1:10" x14ac:dyDescent="0.2">
      <c r="A24" s="9"/>
      <c r="B24" s="23" t="s">
        <v>407</v>
      </c>
      <c r="C24" s="24">
        <v>44750</v>
      </c>
      <c r="D24" s="23" t="s">
        <v>600</v>
      </c>
      <c r="E24" s="23" t="s">
        <v>14</v>
      </c>
      <c r="F24" s="23" t="s">
        <v>239</v>
      </c>
      <c r="G24" s="23" t="s">
        <v>408</v>
      </c>
      <c r="H24" s="10">
        <v>1895.8208118105445</v>
      </c>
      <c r="I24" s="23" t="s">
        <v>245</v>
      </c>
      <c r="J24" s="23" t="s">
        <v>425</v>
      </c>
    </row>
    <row r="25" spans="1:10" x14ac:dyDescent="0.2">
      <c r="A25" s="9"/>
      <c r="B25" s="23" t="s">
        <v>407</v>
      </c>
      <c r="C25" s="24">
        <v>44750</v>
      </c>
      <c r="D25" s="23" t="s">
        <v>600</v>
      </c>
      <c r="E25" s="23" t="s">
        <v>14</v>
      </c>
      <c r="F25" s="23" t="s">
        <v>239</v>
      </c>
      <c r="G25" s="23" t="s">
        <v>408</v>
      </c>
      <c r="H25" s="10">
        <v>765.67884160361245</v>
      </c>
      <c r="I25" s="23" t="s">
        <v>245</v>
      </c>
      <c r="J25" s="23" t="s">
        <v>426</v>
      </c>
    </row>
    <row r="26" spans="1:10" x14ac:dyDescent="0.2">
      <c r="A26" s="9"/>
      <c r="B26" s="23" t="s">
        <v>407</v>
      </c>
      <c r="C26" s="24">
        <v>44750</v>
      </c>
      <c r="D26" s="23" t="s">
        <v>599</v>
      </c>
      <c r="E26" s="23" t="s">
        <v>14</v>
      </c>
      <c r="F26" s="23" t="s">
        <v>239</v>
      </c>
      <c r="G26" s="23" t="s">
        <v>408</v>
      </c>
      <c r="H26" s="10">
        <v>70.04430042989847</v>
      </c>
      <c r="I26" s="23" t="s">
        <v>245</v>
      </c>
      <c r="J26" s="23" t="s">
        <v>423</v>
      </c>
    </row>
    <row r="27" spans="1:10" x14ac:dyDescent="0.2">
      <c r="A27" s="9"/>
      <c r="B27" s="23" t="s">
        <v>407</v>
      </c>
      <c r="C27" s="24">
        <v>44750</v>
      </c>
      <c r="D27" s="23" t="s">
        <v>599</v>
      </c>
      <c r="E27" s="23" t="s">
        <v>14</v>
      </c>
      <c r="F27" s="23" t="s">
        <v>239</v>
      </c>
      <c r="G27" s="23" t="s">
        <v>408</v>
      </c>
      <c r="H27" s="10">
        <v>926.20596300861519</v>
      </c>
      <c r="I27" s="23" t="s">
        <v>245</v>
      </c>
      <c r="J27" s="23" t="s">
        <v>425</v>
      </c>
    </row>
    <row r="28" spans="1:10" x14ac:dyDescent="0.2">
      <c r="A28" s="9"/>
      <c r="B28" s="23" t="s">
        <v>407</v>
      </c>
      <c r="C28" s="24">
        <v>44751</v>
      </c>
      <c r="D28" s="23" t="s">
        <v>601</v>
      </c>
      <c r="E28" s="23" t="s">
        <v>14</v>
      </c>
      <c r="F28" s="23" t="s">
        <v>239</v>
      </c>
      <c r="G28" s="23" t="s">
        <v>408</v>
      </c>
      <c r="H28" s="10">
        <v>117.12844466290996</v>
      </c>
      <c r="I28" s="23" t="s">
        <v>421</v>
      </c>
      <c r="J28" s="23"/>
    </row>
    <row r="29" spans="1:10" x14ac:dyDescent="0.2">
      <c r="A29" s="9"/>
      <c r="B29" s="23" t="s">
        <v>407</v>
      </c>
      <c r="C29" s="24">
        <v>44751</v>
      </c>
      <c r="D29" s="23" t="s">
        <v>602</v>
      </c>
      <c r="E29" s="23" t="s">
        <v>14</v>
      </c>
      <c r="F29" s="23" t="s">
        <v>239</v>
      </c>
      <c r="G29" s="23" t="s">
        <v>408</v>
      </c>
      <c r="H29" s="10">
        <v>1034.5750417235797</v>
      </c>
      <c r="I29" s="23" t="s">
        <v>245</v>
      </c>
      <c r="J29" s="23" t="s">
        <v>505</v>
      </c>
    </row>
    <row r="30" spans="1:10" x14ac:dyDescent="0.2">
      <c r="A30" s="9"/>
      <c r="B30" s="23" t="s">
        <v>407</v>
      </c>
      <c r="C30" s="24">
        <v>44751</v>
      </c>
      <c r="D30" s="23" t="s">
        <v>603</v>
      </c>
      <c r="E30" s="23" t="s">
        <v>14</v>
      </c>
      <c r="F30" s="23" t="s">
        <v>239</v>
      </c>
      <c r="G30" s="23" t="s">
        <v>408</v>
      </c>
      <c r="H30" s="10">
        <v>2558.6945076148454</v>
      </c>
      <c r="I30" s="23" t="s">
        <v>421</v>
      </c>
      <c r="J30" s="23" t="s">
        <v>242</v>
      </c>
    </row>
    <row r="31" spans="1:10" x14ac:dyDescent="0.2">
      <c r="A31" s="9"/>
      <c r="B31" s="23" t="s">
        <v>407</v>
      </c>
      <c r="C31" s="24">
        <v>44751</v>
      </c>
      <c r="D31" s="23" t="s">
        <v>604</v>
      </c>
      <c r="E31" s="23" t="s">
        <v>14</v>
      </c>
      <c r="F31" s="23" t="s">
        <v>239</v>
      </c>
      <c r="G31" s="23" t="s">
        <v>408</v>
      </c>
      <c r="H31" s="10">
        <v>229.84657919818309</v>
      </c>
      <c r="I31" s="23" t="s">
        <v>421</v>
      </c>
      <c r="J31" s="23" t="s">
        <v>422</v>
      </c>
    </row>
    <row r="32" spans="1:10" x14ac:dyDescent="0.2">
      <c r="A32" s="9"/>
      <c r="B32" s="23" t="s">
        <v>407</v>
      </c>
      <c r="C32" s="24">
        <v>44751</v>
      </c>
      <c r="D32" s="23" t="s">
        <v>604</v>
      </c>
      <c r="E32" s="23" t="s">
        <v>14</v>
      </c>
      <c r="F32" s="23" t="s">
        <v>239</v>
      </c>
      <c r="G32" s="23" t="s">
        <v>408</v>
      </c>
      <c r="H32" s="10">
        <v>182.14989189188873</v>
      </c>
      <c r="I32" s="23" t="s">
        <v>421</v>
      </c>
      <c r="J32" s="23" t="s">
        <v>503</v>
      </c>
    </row>
    <row r="33" spans="1:10" x14ac:dyDescent="0.2">
      <c r="A33" s="9"/>
      <c r="B33" s="23" t="s">
        <v>407</v>
      </c>
      <c r="C33" s="24">
        <v>44751</v>
      </c>
      <c r="D33" s="23" t="s">
        <v>602</v>
      </c>
      <c r="E33" s="23" t="s">
        <v>14</v>
      </c>
      <c r="F33" s="23" t="s">
        <v>239</v>
      </c>
      <c r="G33" s="23" t="s">
        <v>408</v>
      </c>
      <c r="H33" s="10">
        <v>57.26256830072883</v>
      </c>
      <c r="I33" s="23" t="s">
        <v>245</v>
      </c>
      <c r="J33" s="23" t="s">
        <v>424</v>
      </c>
    </row>
    <row r="34" spans="1:10" x14ac:dyDescent="0.2">
      <c r="A34" s="9"/>
      <c r="B34" s="23" t="s">
        <v>407</v>
      </c>
      <c r="C34" s="24">
        <v>44751</v>
      </c>
      <c r="D34" s="23" t="s">
        <v>605</v>
      </c>
      <c r="E34" s="23" t="s">
        <v>14</v>
      </c>
      <c r="F34" s="23" t="s">
        <v>239</v>
      </c>
      <c r="G34" s="23" t="s">
        <v>408</v>
      </c>
      <c r="H34" s="10">
        <v>61.07054440630413</v>
      </c>
      <c r="I34" s="23" t="s">
        <v>421</v>
      </c>
      <c r="J34" s="23" t="s">
        <v>433</v>
      </c>
    </row>
    <row r="35" spans="1:10" x14ac:dyDescent="0.2">
      <c r="A35" s="9"/>
      <c r="B35" s="23" t="s">
        <v>407</v>
      </c>
      <c r="C35" s="24">
        <v>44751</v>
      </c>
      <c r="D35" s="23" t="s">
        <v>606</v>
      </c>
      <c r="E35" s="23" t="s">
        <v>14</v>
      </c>
      <c r="F35" s="23" t="s">
        <v>239</v>
      </c>
      <c r="G35" s="23" t="s">
        <v>408</v>
      </c>
      <c r="H35" s="10">
        <v>268.90640917118873</v>
      </c>
      <c r="I35" s="23" t="s">
        <v>421</v>
      </c>
      <c r="J35" s="23" t="s">
        <v>507</v>
      </c>
    </row>
    <row r="36" spans="1:10" x14ac:dyDescent="0.2">
      <c r="A36" s="9"/>
      <c r="B36" s="23" t="s">
        <v>407</v>
      </c>
      <c r="C36" s="24">
        <v>44751</v>
      </c>
      <c r="D36" s="23" t="s">
        <v>601</v>
      </c>
      <c r="E36" s="23" t="s">
        <v>14</v>
      </c>
      <c r="F36" s="23" t="s">
        <v>239</v>
      </c>
      <c r="G36" s="23" t="s">
        <v>408</v>
      </c>
      <c r="H36" s="10">
        <v>1655.3874464957889</v>
      </c>
      <c r="I36" s="23" t="s">
        <v>245</v>
      </c>
      <c r="J36" s="23" t="s">
        <v>426</v>
      </c>
    </row>
    <row r="37" spans="1:10" x14ac:dyDescent="0.2">
      <c r="A37" s="9"/>
      <c r="B37" s="23" t="s">
        <v>407</v>
      </c>
      <c r="C37" s="24">
        <v>44751</v>
      </c>
      <c r="D37" s="23" t="s">
        <v>607</v>
      </c>
      <c r="E37" s="23" t="s">
        <v>14</v>
      </c>
      <c r="F37" s="23" t="s">
        <v>239</v>
      </c>
      <c r="G37" s="23" t="s">
        <v>408</v>
      </c>
      <c r="H37" s="10">
        <v>1915.2588453360549</v>
      </c>
      <c r="I37" s="23" t="s">
        <v>421</v>
      </c>
      <c r="J37" s="23" t="s">
        <v>240</v>
      </c>
    </row>
    <row r="38" spans="1:10" x14ac:dyDescent="0.2">
      <c r="A38" s="9"/>
      <c r="B38" s="23" t="s">
        <v>407</v>
      </c>
      <c r="C38" s="24">
        <v>44751</v>
      </c>
      <c r="D38" s="23" t="s">
        <v>605</v>
      </c>
      <c r="E38" s="23" t="s">
        <v>14</v>
      </c>
      <c r="F38" s="23" t="s">
        <v>239</v>
      </c>
      <c r="G38" s="23" t="s">
        <v>408</v>
      </c>
      <c r="H38" s="10">
        <v>47.012680874461807</v>
      </c>
      <c r="I38" s="23" t="s">
        <v>421</v>
      </c>
      <c r="J38" s="23" t="s">
        <v>422</v>
      </c>
    </row>
    <row r="39" spans="1:10" x14ac:dyDescent="0.2">
      <c r="A39" s="9"/>
      <c r="B39" s="23" t="s">
        <v>407</v>
      </c>
      <c r="C39" s="24">
        <v>44751</v>
      </c>
      <c r="D39" s="23" t="s">
        <v>602</v>
      </c>
      <c r="E39" s="23" t="s">
        <v>14</v>
      </c>
      <c r="F39" s="23" t="s">
        <v>239</v>
      </c>
      <c r="G39" s="23" t="s">
        <v>408</v>
      </c>
      <c r="H39" s="10">
        <v>361.45145849301201</v>
      </c>
      <c r="I39" s="23" t="s">
        <v>245</v>
      </c>
      <c r="J39" s="23" t="s">
        <v>240</v>
      </c>
    </row>
    <row r="40" spans="1:10" x14ac:dyDescent="0.2">
      <c r="A40" s="9"/>
      <c r="B40" s="23" t="s">
        <v>407</v>
      </c>
      <c r="C40" s="24">
        <v>44751</v>
      </c>
      <c r="D40" s="23" t="s">
        <v>605</v>
      </c>
      <c r="E40" s="23" t="s">
        <v>14</v>
      </c>
      <c r="F40" s="23" t="s">
        <v>239</v>
      </c>
      <c r="G40" s="23" t="s">
        <v>408</v>
      </c>
      <c r="H40" s="10">
        <v>449.41264381643504</v>
      </c>
      <c r="I40" s="23" t="s">
        <v>421</v>
      </c>
      <c r="J40" s="23" t="s">
        <v>423</v>
      </c>
    </row>
    <row r="41" spans="1:10" x14ac:dyDescent="0.2">
      <c r="A41" s="9"/>
      <c r="B41" s="23" t="s">
        <v>407</v>
      </c>
      <c r="C41" s="24">
        <v>44751</v>
      </c>
      <c r="D41" s="23" t="s">
        <v>608</v>
      </c>
      <c r="E41" s="23" t="s">
        <v>14</v>
      </c>
      <c r="F41" s="23" t="s">
        <v>239</v>
      </c>
      <c r="G41" s="23" t="s">
        <v>408</v>
      </c>
      <c r="H41" s="10">
        <v>851.38382660711022</v>
      </c>
      <c r="I41" s="23" t="s">
        <v>421</v>
      </c>
      <c r="J41" s="23"/>
    </row>
    <row r="42" spans="1:10" x14ac:dyDescent="0.2">
      <c r="A42" s="9"/>
      <c r="B42" s="23" t="s">
        <v>407</v>
      </c>
      <c r="C42" s="24">
        <v>44751</v>
      </c>
      <c r="D42" s="23" t="s">
        <v>608</v>
      </c>
      <c r="E42" s="23" t="s">
        <v>14</v>
      </c>
      <c r="F42" s="23" t="s">
        <v>239</v>
      </c>
      <c r="G42" s="23" t="s">
        <v>408</v>
      </c>
      <c r="H42" s="10">
        <v>654.28788372711892</v>
      </c>
      <c r="I42" s="23" t="s">
        <v>421</v>
      </c>
      <c r="J42" s="23" t="s">
        <v>240</v>
      </c>
    </row>
    <row r="43" spans="1:10" x14ac:dyDescent="0.2">
      <c r="A43" s="9"/>
      <c r="B43" s="23" t="s">
        <v>407</v>
      </c>
      <c r="C43" s="24">
        <v>44751</v>
      </c>
      <c r="D43" s="23" t="s">
        <v>609</v>
      </c>
      <c r="E43" s="23" t="s">
        <v>14</v>
      </c>
      <c r="F43" s="23" t="s">
        <v>239</v>
      </c>
      <c r="G43" s="23" t="s">
        <v>408</v>
      </c>
      <c r="H43" s="10">
        <v>672.24560482552897</v>
      </c>
      <c r="I43" s="23" t="s">
        <v>421</v>
      </c>
      <c r="J43" s="23"/>
    </row>
    <row r="44" spans="1:10" x14ac:dyDescent="0.2">
      <c r="A44" s="9"/>
      <c r="B44" s="23" t="s">
        <v>407</v>
      </c>
      <c r="C44" s="24">
        <v>44751</v>
      </c>
      <c r="D44" s="23" t="s">
        <v>602</v>
      </c>
      <c r="E44" s="23" t="s">
        <v>14</v>
      </c>
      <c r="F44" s="23" t="s">
        <v>239</v>
      </c>
      <c r="G44" s="23" t="s">
        <v>408</v>
      </c>
      <c r="H44" s="10">
        <v>42.387980671175988</v>
      </c>
      <c r="I44" s="23" t="s">
        <v>245</v>
      </c>
      <c r="J44" s="23" t="s">
        <v>432</v>
      </c>
    </row>
    <row r="45" spans="1:10" x14ac:dyDescent="0.2">
      <c r="A45" s="9"/>
      <c r="B45" s="23" t="s">
        <v>407</v>
      </c>
      <c r="C45" s="24">
        <v>44751</v>
      </c>
      <c r="D45" s="23" t="s">
        <v>601</v>
      </c>
      <c r="E45" s="23" t="s">
        <v>14</v>
      </c>
      <c r="F45" s="23" t="s">
        <v>239</v>
      </c>
      <c r="G45" s="23" t="s">
        <v>408</v>
      </c>
      <c r="H45" s="10">
        <v>255.87965981270591</v>
      </c>
      <c r="I45" s="23" t="s">
        <v>245</v>
      </c>
      <c r="J45" s="23" t="s">
        <v>244</v>
      </c>
    </row>
    <row r="46" spans="1:10" x14ac:dyDescent="0.2">
      <c r="A46" s="9"/>
      <c r="B46" s="23" t="s">
        <v>407</v>
      </c>
      <c r="C46" s="24">
        <v>44751</v>
      </c>
      <c r="D46" s="23" t="s">
        <v>606</v>
      </c>
      <c r="E46" s="23" t="s">
        <v>14</v>
      </c>
      <c r="F46" s="23" t="s">
        <v>239</v>
      </c>
      <c r="G46" s="23" t="s">
        <v>408</v>
      </c>
      <c r="H46" s="10">
        <v>1744.6962265804343</v>
      </c>
      <c r="I46" s="23" t="s">
        <v>421</v>
      </c>
      <c r="J46" s="23" t="s">
        <v>425</v>
      </c>
    </row>
    <row r="47" spans="1:10" x14ac:dyDescent="0.2">
      <c r="A47" s="9"/>
      <c r="B47" s="23" t="s">
        <v>407</v>
      </c>
      <c r="C47" s="24">
        <v>44752</v>
      </c>
      <c r="D47" s="23" t="s">
        <v>610</v>
      </c>
      <c r="E47" s="23" t="s">
        <v>14</v>
      </c>
      <c r="F47" s="23" t="s">
        <v>239</v>
      </c>
      <c r="G47" s="23" t="s">
        <v>408</v>
      </c>
      <c r="H47" s="10">
        <v>1611.0189098876649</v>
      </c>
      <c r="I47" s="23" t="s">
        <v>421</v>
      </c>
      <c r="J47" s="23" t="s">
        <v>240</v>
      </c>
    </row>
    <row r="48" spans="1:10" x14ac:dyDescent="0.2">
      <c r="A48" s="9"/>
      <c r="B48" s="23" t="s">
        <v>407</v>
      </c>
      <c r="C48" s="24">
        <v>44754</v>
      </c>
      <c r="D48" s="23" t="s">
        <v>611</v>
      </c>
      <c r="E48" s="23" t="s">
        <v>14</v>
      </c>
      <c r="F48" s="23" t="s">
        <v>239</v>
      </c>
      <c r="G48" s="23" t="s">
        <v>408</v>
      </c>
      <c r="H48" s="10">
        <v>94.331633285565061</v>
      </c>
      <c r="I48" s="23" t="s">
        <v>421</v>
      </c>
      <c r="J48" s="23" t="s">
        <v>424</v>
      </c>
    </row>
    <row r="49" spans="1:10" x14ac:dyDescent="0.2">
      <c r="A49" s="9"/>
      <c r="B49" s="23" t="s">
        <v>407</v>
      </c>
      <c r="C49" s="24">
        <v>44754</v>
      </c>
      <c r="D49" s="23" t="s">
        <v>611</v>
      </c>
      <c r="E49" s="23" t="s">
        <v>14</v>
      </c>
      <c r="F49" s="23" t="s">
        <v>239</v>
      </c>
      <c r="G49" s="23" t="s">
        <v>408</v>
      </c>
      <c r="H49" s="10">
        <v>299.56418998899733</v>
      </c>
      <c r="I49" s="23" t="s">
        <v>421</v>
      </c>
      <c r="J49" s="23" t="s">
        <v>240</v>
      </c>
    </row>
    <row r="50" spans="1:10" x14ac:dyDescent="0.2">
      <c r="A50" s="9"/>
      <c r="B50" s="23" t="s">
        <v>407</v>
      </c>
      <c r="C50" s="24">
        <v>44757</v>
      </c>
      <c r="D50" s="23" t="s">
        <v>612</v>
      </c>
      <c r="E50" s="23" t="s">
        <v>14</v>
      </c>
      <c r="F50" s="23" t="s">
        <v>239</v>
      </c>
      <c r="G50" s="23" t="s">
        <v>408</v>
      </c>
      <c r="H50" s="10">
        <v>69.30924874195901</v>
      </c>
      <c r="I50" s="23" t="s">
        <v>421</v>
      </c>
      <c r="J50" s="23" t="s">
        <v>423</v>
      </c>
    </row>
    <row r="51" spans="1:10" x14ac:dyDescent="0.2">
      <c r="A51" s="9"/>
      <c r="B51" s="23" t="s">
        <v>407</v>
      </c>
      <c r="C51" s="24">
        <v>44757</v>
      </c>
      <c r="D51" s="23" t="s">
        <v>612</v>
      </c>
      <c r="E51" s="23" t="s">
        <v>14</v>
      </c>
      <c r="F51" s="23" t="s">
        <v>239</v>
      </c>
      <c r="G51" s="23" t="s">
        <v>408</v>
      </c>
      <c r="H51" s="10">
        <v>137.53633805445156</v>
      </c>
      <c r="I51" s="23" t="s">
        <v>421</v>
      </c>
      <c r="J51" s="23" t="s">
        <v>240</v>
      </c>
    </row>
    <row r="52" spans="1:10" x14ac:dyDescent="0.2">
      <c r="A52" s="9"/>
      <c r="B52" s="23" t="s">
        <v>407</v>
      </c>
      <c r="C52" s="24">
        <v>44757</v>
      </c>
      <c r="D52" s="23" t="s">
        <v>613</v>
      </c>
      <c r="E52" s="23" t="s">
        <v>14</v>
      </c>
      <c r="F52" s="23" t="s">
        <v>239</v>
      </c>
      <c r="G52" s="23" t="s">
        <v>408</v>
      </c>
      <c r="H52" s="10">
        <v>1531.3576832072249</v>
      </c>
      <c r="I52" s="23" t="s">
        <v>421</v>
      </c>
      <c r="J52" s="23" t="s">
        <v>425</v>
      </c>
    </row>
    <row r="53" spans="1:10" x14ac:dyDescent="0.2">
      <c r="A53" s="9"/>
      <c r="B53" s="23" t="s">
        <v>407</v>
      </c>
      <c r="C53" s="24">
        <v>44757</v>
      </c>
      <c r="D53" s="23" t="s">
        <v>614</v>
      </c>
      <c r="E53" s="23" t="s">
        <v>14</v>
      </c>
      <c r="F53" s="23" t="s">
        <v>239</v>
      </c>
      <c r="G53" s="23" t="s">
        <v>408</v>
      </c>
      <c r="H53" s="10">
        <v>161.61948988569051</v>
      </c>
      <c r="I53" s="23" t="s">
        <v>245</v>
      </c>
      <c r="J53" s="23" t="s">
        <v>425</v>
      </c>
    </row>
    <row r="54" spans="1:10" x14ac:dyDescent="0.2">
      <c r="A54" s="9"/>
      <c r="B54" s="23" t="s">
        <v>407</v>
      </c>
      <c r="C54" s="24">
        <v>44757</v>
      </c>
      <c r="D54" s="23" t="s">
        <v>615</v>
      </c>
      <c r="E54" s="23" t="s">
        <v>14</v>
      </c>
      <c r="F54" s="23" t="s">
        <v>239</v>
      </c>
      <c r="G54" s="23" t="s">
        <v>408</v>
      </c>
      <c r="H54" s="10">
        <v>275.64438297730049</v>
      </c>
      <c r="I54" s="23" t="s">
        <v>421</v>
      </c>
      <c r="J54" s="23" t="s">
        <v>242</v>
      </c>
    </row>
    <row r="55" spans="1:10" x14ac:dyDescent="0.2">
      <c r="A55" s="9"/>
      <c r="B55" s="23" t="s">
        <v>407</v>
      </c>
      <c r="C55" s="24">
        <v>44757</v>
      </c>
      <c r="D55" s="23" t="s">
        <v>614</v>
      </c>
      <c r="E55" s="23" t="s">
        <v>14</v>
      </c>
      <c r="F55" s="23" t="s">
        <v>239</v>
      </c>
      <c r="G55" s="23" t="s">
        <v>408</v>
      </c>
      <c r="H55" s="10">
        <v>235.60448408704227</v>
      </c>
      <c r="I55" s="23" t="s">
        <v>245</v>
      </c>
      <c r="J55" s="23" t="s">
        <v>503</v>
      </c>
    </row>
    <row r="56" spans="1:10" x14ac:dyDescent="0.2">
      <c r="A56" s="9"/>
      <c r="B56" s="23" t="s">
        <v>407</v>
      </c>
      <c r="C56" s="24">
        <v>44757</v>
      </c>
      <c r="D56" s="23" t="s">
        <v>613</v>
      </c>
      <c r="E56" s="23" t="s">
        <v>14</v>
      </c>
      <c r="F56" s="23" t="s">
        <v>239</v>
      </c>
      <c r="G56" s="23" t="s">
        <v>408</v>
      </c>
      <c r="H56" s="10">
        <v>1306.758556336832</v>
      </c>
      <c r="I56" s="23" t="s">
        <v>421</v>
      </c>
      <c r="J56" s="23" t="s">
        <v>422</v>
      </c>
    </row>
    <row r="57" spans="1:10" x14ac:dyDescent="0.2">
      <c r="A57" s="9"/>
      <c r="B57" s="23" t="s">
        <v>407</v>
      </c>
      <c r="C57" s="24">
        <v>44757</v>
      </c>
      <c r="D57" s="23" t="s">
        <v>612</v>
      </c>
      <c r="E57" s="23" t="s">
        <v>14</v>
      </c>
      <c r="F57" s="23" t="s">
        <v>239</v>
      </c>
      <c r="G57" s="23" t="s">
        <v>408</v>
      </c>
      <c r="H57" s="10">
        <v>152.61510670843205</v>
      </c>
      <c r="I57" s="23" t="s">
        <v>421</v>
      </c>
      <c r="J57" s="23" t="s">
        <v>426</v>
      </c>
    </row>
    <row r="58" spans="1:10" x14ac:dyDescent="0.2">
      <c r="A58" s="9"/>
      <c r="B58" s="23" t="s">
        <v>407</v>
      </c>
      <c r="C58" s="24">
        <v>44761</v>
      </c>
      <c r="D58" s="23" t="s">
        <v>616</v>
      </c>
      <c r="E58" s="23" t="s">
        <v>14</v>
      </c>
      <c r="F58" s="23" t="s">
        <v>239</v>
      </c>
      <c r="G58" s="23" t="s">
        <v>408</v>
      </c>
      <c r="H58" s="10">
        <v>161.02736491485041</v>
      </c>
      <c r="I58" s="23" t="s">
        <v>421</v>
      </c>
      <c r="J58" s="23" t="s">
        <v>240</v>
      </c>
    </row>
    <row r="59" spans="1:10" x14ac:dyDescent="0.2">
      <c r="A59" s="9"/>
      <c r="B59" s="23" t="s">
        <v>407</v>
      </c>
      <c r="C59" s="24">
        <v>44761</v>
      </c>
      <c r="D59" s="23" t="s">
        <v>617</v>
      </c>
      <c r="E59" s="23" t="s">
        <v>14</v>
      </c>
      <c r="F59" s="23" t="s">
        <v>239</v>
      </c>
      <c r="G59" s="23" t="s">
        <v>408</v>
      </c>
      <c r="H59" s="10">
        <v>382.83942080180623</v>
      </c>
      <c r="I59" s="23" t="s">
        <v>245</v>
      </c>
      <c r="J59" s="23" t="s">
        <v>426</v>
      </c>
    </row>
    <row r="60" spans="1:10" x14ac:dyDescent="0.2">
      <c r="A60" s="9"/>
      <c r="B60" s="23" t="s">
        <v>407</v>
      </c>
      <c r="C60" s="24">
        <v>44761</v>
      </c>
      <c r="D60" s="23" t="s">
        <v>617</v>
      </c>
      <c r="E60" s="23" t="s">
        <v>14</v>
      </c>
      <c r="F60" s="23" t="s">
        <v>239</v>
      </c>
      <c r="G60" s="23" t="s">
        <v>408</v>
      </c>
      <c r="H60" s="10">
        <v>1337.3857100009766</v>
      </c>
      <c r="I60" s="23" t="s">
        <v>241</v>
      </c>
      <c r="J60" s="23" t="s">
        <v>242</v>
      </c>
    </row>
    <row r="61" spans="1:10" x14ac:dyDescent="0.2">
      <c r="A61" s="9"/>
      <c r="B61" s="23" t="s">
        <v>407</v>
      </c>
      <c r="C61" s="24">
        <v>44761</v>
      </c>
      <c r="D61" s="23" t="s">
        <v>618</v>
      </c>
      <c r="E61" s="23" t="s">
        <v>14</v>
      </c>
      <c r="F61" s="23" t="s">
        <v>239</v>
      </c>
      <c r="G61" s="23" t="s">
        <v>408</v>
      </c>
      <c r="H61" s="10">
        <v>122.508614656578</v>
      </c>
      <c r="I61" s="23" t="s">
        <v>421</v>
      </c>
      <c r="J61" s="23" t="s">
        <v>244</v>
      </c>
    </row>
    <row r="62" spans="1:10" x14ac:dyDescent="0.2">
      <c r="A62" s="9"/>
      <c r="B62" s="23" t="s">
        <v>407</v>
      </c>
      <c r="C62" s="24">
        <v>44761</v>
      </c>
      <c r="D62" s="23" t="s">
        <v>617</v>
      </c>
      <c r="E62" s="23" t="s">
        <v>14</v>
      </c>
      <c r="F62" s="23" t="s">
        <v>239</v>
      </c>
      <c r="G62" s="23" t="s">
        <v>408</v>
      </c>
      <c r="H62" s="10">
        <v>163.34481954210401</v>
      </c>
      <c r="I62" s="23" t="s">
        <v>245</v>
      </c>
      <c r="J62" s="23" t="s">
        <v>423</v>
      </c>
    </row>
    <row r="63" spans="1:10" x14ac:dyDescent="0.2">
      <c r="A63" s="9"/>
      <c r="B63" s="23" t="s">
        <v>407</v>
      </c>
      <c r="C63" s="24">
        <v>44761</v>
      </c>
      <c r="D63" s="23" t="s">
        <v>617</v>
      </c>
      <c r="E63" s="23" t="s">
        <v>14</v>
      </c>
      <c r="F63" s="23" t="s">
        <v>239</v>
      </c>
      <c r="G63" s="23" t="s">
        <v>408</v>
      </c>
      <c r="H63" s="10">
        <v>861.04158906253713</v>
      </c>
      <c r="I63" s="23" t="s">
        <v>245</v>
      </c>
      <c r="J63" s="23" t="s">
        <v>244</v>
      </c>
    </row>
    <row r="64" spans="1:10" x14ac:dyDescent="0.2">
      <c r="A64" s="9"/>
      <c r="B64" s="23" t="s">
        <v>407</v>
      </c>
      <c r="C64" s="24">
        <v>44761</v>
      </c>
      <c r="D64" s="23" t="s">
        <v>617</v>
      </c>
      <c r="E64" s="23" t="s">
        <v>14</v>
      </c>
      <c r="F64" s="23" t="s">
        <v>239</v>
      </c>
      <c r="G64" s="23" t="s">
        <v>408</v>
      </c>
      <c r="H64" s="10">
        <v>321.58511347351725</v>
      </c>
      <c r="I64" s="23" t="s">
        <v>245</v>
      </c>
      <c r="J64" s="23" t="s">
        <v>424</v>
      </c>
    </row>
    <row r="65" spans="1:10" x14ac:dyDescent="0.2">
      <c r="A65" s="9"/>
      <c r="B65" s="23" t="s">
        <v>407</v>
      </c>
      <c r="C65" s="24">
        <v>44762</v>
      </c>
      <c r="D65" s="23" t="s">
        <v>619</v>
      </c>
      <c r="E65" s="23" t="s">
        <v>14</v>
      </c>
      <c r="F65" s="23" t="s">
        <v>239</v>
      </c>
      <c r="G65" s="23" t="s">
        <v>408</v>
      </c>
      <c r="H65" s="10">
        <v>140.36424524277425</v>
      </c>
      <c r="I65" s="23" t="s">
        <v>421</v>
      </c>
      <c r="J65" s="23" t="s">
        <v>240</v>
      </c>
    </row>
    <row r="66" spans="1:10" x14ac:dyDescent="0.2">
      <c r="A66" s="9"/>
      <c r="B66" s="23" t="s">
        <v>407</v>
      </c>
      <c r="C66" s="24">
        <v>44762</v>
      </c>
      <c r="D66" s="23" t="s">
        <v>619</v>
      </c>
      <c r="E66" s="23" t="s">
        <v>14</v>
      </c>
      <c r="F66" s="23" t="s">
        <v>239</v>
      </c>
      <c r="G66" s="23" t="s">
        <v>408</v>
      </c>
      <c r="H66" s="10">
        <v>97.424975805643655</v>
      </c>
      <c r="I66" s="23" t="s">
        <v>421</v>
      </c>
      <c r="J66" s="23" t="s">
        <v>422</v>
      </c>
    </row>
    <row r="67" spans="1:10" x14ac:dyDescent="0.2">
      <c r="A67" s="9"/>
      <c r="B67" s="23" t="s">
        <v>407</v>
      </c>
      <c r="C67" s="24">
        <v>44762</v>
      </c>
      <c r="D67" s="23" t="s">
        <v>619</v>
      </c>
      <c r="E67" s="23" t="s">
        <v>14</v>
      </c>
      <c r="F67" s="23" t="s">
        <v>239</v>
      </c>
      <c r="G67" s="23" t="s">
        <v>408</v>
      </c>
      <c r="H67" s="10">
        <v>507.41026380510334</v>
      </c>
      <c r="I67" s="23" t="s">
        <v>421</v>
      </c>
      <c r="J67" s="23" t="s">
        <v>426</v>
      </c>
    </row>
    <row r="68" spans="1:10" x14ac:dyDescent="0.2">
      <c r="A68" s="9"/>
      <c r="B68" s="23" t="s">
        <v>407</v>
      </c>
      <c r="C68" s="24">
        <v>44762</v>
      </c>
      <c r="D68" s="23" t="s">
        <v>619</v>
      </c>
      <c r="E68" s="23" t="s">
        <v>14</v>
      </c>
      <c r="F68" s="23" t="s">
        <v>239</v>
      </c>
      <c r="G68" s="23" t="s">
        <v>408</v>
      </c>
      <c r="H68" s="10">
        <v>1087.6314809210994</v>
      </c>
      <c r="I68" s="23" t="s">
        <v>421</v>
      </c>
      <c r="J68" s="23" t="s">
        <v>434</v>
      </c>
    </row>
    <row r="69" spans="1:10" x14ac:dyDescent="0.2">
      <c r="A69" s="9"/>
      <c r="B69" s="23" t="s">
        <v>407</v>
      </c>
      <c r="C69" s="24">
        <v>44762</v>
      </c>
      <c r="D69" s="23" t="s">
        <v>619</v>
      </c>
      <c r="E69" s="23" t="s">
        <v>14</v>
      </c>
      <c r="F69" s="23" t="s">
        <v>239</v>
      </c>
      <c r="G69" s="23" t="s">
        <v>408</v>
      </c>
      <c r="H69" s="10">
        <v>284.40374892524585</v>
      </c>
      <c r="I69" s="23" t="s">
        <v>421</v>
      </c>
      <c r="J69" s="23" t="s">
        <v>424</v>
      </c>
    </row>
    <row r="70" spans="1:10" x14ac:dyDescent="0.2">
      <c r="A70" s="9"/>
      <c r="B70" s="23" t="s">
        <v>407</v>
      </c>
      <c r="C70" s="24">
        <v>44762</v>
      </c>
      <c r="D70" s="23" t="s">
        <v>619</v>
      </c>
      <c r="E70" s="23" t="s">
        <v>14</v>
      </c>
      <c r="F70" s="23" t="s">
        <v>239</v>
      </c>
      <c r="G70" s="23" t="s">
        <v>408</v>
      </c>
      <c r="H70" s="10">
        <v>119.14983680474349</v>
      </c>
      <c r="I70" s="23" t="s">
        <v>421</v>
      </c>
      <c r="J70" s="23" t="s">
        <v>423</v>
      </c>
    </row>
    <row r="71" spans="1:10" x14ac:dyDescent="0.2">
      <c r="A71" s="9"/>
      <c r="B71" s="23" t="s">
        <v>407</v>
      </c>
      <c r="C71" s="24">
        <v>44762</v>
      </c>
      <c r="D71" s="23" t="s">
        <v>619</v>
      </c>
      <c r="E71" s="23" t="s">
        <v>14</v>
      </c>
      <c r="F71" s="23" t="s">
        <v>239</v>
      </c>
      <c r="G71" s="23" t="s">
        <v>408</v>
      </c>
      <c r="H71" s="10">
        <v>107.83820805145278</v>
      </c>
      <c r="I71" s="23" t="s">
        <v>421</v>
      </c>
      <c r="J71" s="23" t="s">
        <v>244</v>
      </c>
    </row>
    <row r="72" spans="1:10" x14ac:dyDescent="0.2">
      <c r="A72" s="9"/>
      <c r="B72" s="23" t="s">
        <v>407</v>
      </c>
      <c r="C72" s="24">
        <v>44764</v>
      </c>
      <c r="D72" s="23" t="s">
        <v>620</v>
      </c>
      <c r="E72" s="23" t="s">
        <v>14</v>
      </c>
      <c r="F72" s="23" t="s">
        <v>239</v>
      </c>
      <c r="G72" s="23" t="s">
        <v>408</v>
      </c>
      <c r="H72" s="10">
        <v>179.57721098410059</v>
      </c>
      <c r="I72" s="23" t="s">
        <v>594</v>
      </c>
      <c r="J72" s="23" t="s">
        <v>240</v>
      </c>
    </row>
    <row r="73" spans="1:10" x14ac:dyDescent="0.2">
      <c r="A73" s="9"/>
      <c r="B73" s="23" t="s">
        <v>407</v>
      </c>
      <c r="C73" s="24">
        <v>44770</v>
      </c>
      <c r="D73" s="23" t="s">
        <v>621</v>
      </c>
      <c r="E73" s="23" t="s">
        <v>14</v>
      </c>
      <c r="F73" s="23" t="s">
        <v>239</v>
      </c>
      <c r="G73" s="23" t="s">
        <v>408</v>
      </c>
      <c r="H73" s="10">
        <v>2179.8876620454848</v>
      </c>
      <c r="I73" s="23" t="s">
        <v>421</v>
      </c>
      <c r="J73" s="23" t="s">
        <v>448</v>
      </c>
    </row>
    <row r="74" spans="1:10" x14ac:dyDescent="0.2">
      <c r="A74" s="9"/>
      <c r="B74" s="23" t="s">
        <v>407</v>
      </c>
      <c r="C74" s="24">
        <v>44771</v>
      </c>
      <c r="D74" s="23" t="s">
        <v>622</v>
      </c>
      <c r="E74" s="23" t="s">
        <v>14</v>
      </c>
      <c r="F74" s="23" t="s">
        <v>239</v>
      </c>
      <c r="G74" s="23" t="s">
        <v>408</v>
      </c>
      <c r="H74" s="10">
        <v>551.28876595460099</v>
      </c>
      <c r="I74" s="23" t="s">
        <v>421</v>
      </c>
      <c r="J74" s="23" t="s">
        <v>242</v>
      </c>
    </row>
    <row r="75" spans="1:10" x14ac:dyDescent="0.2">
      <c r="A75" s="9"/>
      <c r="B75" s="23" t="s">
        <v>407</v>
      </c>
      <c r="C75" s="24">
        <v>44771</v>
      </c>
      <c r="D75" s="23" t="s">
        <v>622</v>
      </c>
      <c r="E75" s="23" t="s">
        <v>14</v>
      </c>
      <c r="F75" s="23" t="s">
        <v>239</v>
      </c>
      <c r="G75" s="23" t="s">
        <v>408</v>
      </c>
      <c r="H75" s="10">
        <v>551.28876595460099</v>
      </c>
      <c r="I75" s="23" t="s">
        <v>421</v>
      </c>
      <c r="J75" s="23" t="s">
        <v>244</v>
      </c>
    </row>
    <row r="76" spans="1:10" x14ac:dyDescent="0.2">
      <c r="A76" s="9"/>
      <c r="B76" s="23" t="s">
        <v>407</v>
      </c>
      <c r="C76" s="24">
        <v>44771</v>
      </c>
      <c r="D76" s="23" t="s">
        <v>622</v>
      </c>
      <c r="E76" s="23" t="s">
        <v>14</v>
      </c>
      <c r="F76" s="23" t="s">
        <v>239</v>
      </c>
      <c r="G76" s="23" t="s">
        <v>408</v>
      </c>
      <c r="H76" s="10">
        <v>2385.8552704368567</v>
      </c>
      <c r="I76" s="23" t="s">
        <v>421</v>
      </c>
      <c r="J76" s="23" t="s">
        <v>422</v>
      </c>
    </row>
    <row r="77" spans="1:10" x14ac:dyDescent="0.2">
      <c r="A77" s="9"/>
      <c r="B77" s="23" t="s">
        <v>407</v>
      </c>
      <c r="C77" s="24">
        <v>44771</v>
      </c>
      <c r="D77" s="23" t="s">
        <v>622</v>
      </c>
      <c r="E77" s="23" t="s">
        <v>14</v>
      </c>
      <c r="F77" s="23" t="s">
        <v>239</v>
      </c>
      <c r="G77" s="23" t="s">
        <v>408</v>
      </c>
      <c r="H77" s="10">
        <v>1086.2430499549916</v>
      </c>
      <c r="I77" s="23" t="s">
        <v>421</v>
      </c>
      <c r="J77" s="23" t="s">
        <v>503</v>
      </c>
    </row>
    <row r="78" spans="1:10" x14ac:dyDescent="0.2">
      <c r="A78" s="9"/>
      <c r="B78" s="23" t="s">
        <v>407</v>
      </c>
      <c r="C78" s="24">
        <v>44771</v>
      </c>
      <c r="D78" s="23" t="s">
        <v>623</v>
      </c>
      <c r="E78" s="23" t="s">
        <v>14</v>
      </c>
      <c r="F78" s="23" t="s">
        <v>239</v>
      </c>
      <c r="G78" s="23" t="s">
        <v>408</v>
      </c>
      <c r="H78" s="10">
        <v>198.668136768084</v>
      </c>
      <c r="I78" s="23" t="s">
        <v>421</v>
      </c>
      <c r="J78" s="23" t="s">
        <v>426</v>
      </c>
    </row>
    <row r="79" spans="1:10" x14ac:dyDescent="0.2">
      <c r="A79" s="9"/>
      <c r="B79" s="23" t="s">
        <v>407</v>
      </c>
      <c r="C79" s="24">
        <v>44771</v>
      </c>
      <c r="D79" s="23" t="s">
        <v>624</v>
      </c>
      <c r="E79" s="23" t="s">
        <v>14</v>
      </c>
      <c r="F79" s="23" t="s">
        <v>239</v>
      </c>
      <c r="G79" s="23" t="s">
        <v>408</v>
      </c>
      <c r="H79" s="10">
        <v>87.726377145331227</v>
      </c>
      <c r="I79" s="23" t="s">
        <v>421</v>
      </c>
      <c r="J79" s="23" t="s">
        <v>242</v>
      </c>
    </row>
    <row r="80" spans="1:10" x14ac:dyDescent="0.2">
      <c r="A80" s="9"/>
      <c r="B80" s="23" t="s">
        <v>407</v>
      </c>
      <c r="C80" s="24">
        <v>44771</v>
      </c>
      <c r="D80" s="23" t="s">
        <v>624</v>
      </c>
      <c r="E80" s="23" t="s">
        <v>14</v>
      </c>
      <c r="F80" s="23" t="s">
        <v>239</v>
      </c>
      <c r="G80" s="23" t="s">
        <v>408</v>
      </c>
      <c r="H80" s="10">
        <v>155.16736951377743</v>
      </c>
      <c r="I80" s="23" t="s">
        <v>421</v>
      </c>
      <c r="J80" s="23" t="s">
        <v>422</v>
      </c>
    </row>
    <row r="81" spans="1:10" x14ac:dyDescent="0.2">
      <c r="A81" s="9"/>
      <c r="B81" s="23" t="s">
        <v>407</v>
      </c>
      <c r="C81" s="24">
        <v>44771</v>
      </c>
      <c r="D81" s="23" t="s">
        <v>622</v>
      </c>
      <c r="E81" s="23" t="s">
        <v>14</v>
      </c>
      <c r="F81" s="23" t="s">
        <v>239</v>
      </c>
      <c r="G81" s="23" t="s">
        <v>408</v>
      </c>
      <c r="H81" s="10">
        <v>918.81460992433495</v>
      </c>
      <c r="I81" s="23" t="s">
        <v>421</v>
      </c>
      <c r="J81" s="23" t="s">
        <v>426</v>
      </c>
    </row>
    <row r="82" spans="1:10" x14ac:dyDescent="0.2">
      <c r="A82" s="9"/>
      <c r="B82" s="23" t="s">
        <v>407</v>
      </c>
      <c r="C82" s="24">
        <v>44771</v>
      </c>
      <c r="D82" s="23" t="s">
        <v>622</v>
      </c>
      <c r="E82" s="23" t="s">
        <v>14</v>
      </c>
      <c r="F82" s="23" t="s">
        <v>239</v>
      </c>
      <c r="G82" s="23" t="s">
        <v>408</v>
      </c>
      <c r="H82" s="10">
        <v>107.19503782450575</v>
      </c>
      <c r="I82" s="23" t="s">
        <v>421</v>
      </c>
      <c r="J82" s="23" t="s">
        <v>424</v>
      </c>
    </row>
    <row r="83" spans="1:10" x14ac:dyDescent="0.2">
      <c r="A83" s="9"/>
      <c r="B83" s="23" t="s">
        <v>407</v>
      </c>
      <c r="C83" s="24">
        <v>44771</v>
      </c>
      <c r="D83" s="23" t="s">
        <v>624</v>
      </c>
      <c r="E83" s="23" t="s">
        <v>14</v>
      </c>
      <c r="F83" s="23" t="s">
        <v>239</v>
      </c>
      <c r="G83" s="23" t="s">
        <v>408</v>
      </c>
      <c r="H83" s="10">
        <v>69.370503049287294</v>
      </c>
      <c r="I83" s="23" t="s">
        <v>421</v>
      </c>
      <c r="J83" s="23" t="s">
        <v>423</v>
      </c>
    </row>
    <row r="84" spans="1:10" x14ac:dyDescent="0.2">
      <c r="A84" s="9"/>
      <c r="B84" s="23" t="s">
        <v>407</v>
      </c>
      <c r="C84" s="24">
        <v>44771</v>
      </c>
      <c r="D84" s="23" t="s">
        <v>623</v>
      </c>
      <c r="E84" s="23" t="s">
        <v>14</v>
      </c>
      <c r="F84" s="23" t="s">
        <v>239</v>
      </c>
      <c r="G84" s="23" t="s">
        <v>408</v>
      </c>
      <c r="H84" s="10">
        <v>379.23562572065856</v>
      </c>
      <c r="I84" s="23" t="s">
        <v>421</v>
      </c>
      <c r="J84" s="23" t="s">
        <v>424</v>
      </c>
    </row>
    <row r="85" spans="1:10" x14ac:dyDescent="0.2">
      <c r="A85" s="9"/>
      <c r="B85" s="23" t="s">
        <v>407</v>
      </c>
      <c r="C85" s="24">
        <v>44771</v>
      </c>
      <c r="D85" s="23" t="s">
        <v>624</v>
      </c>
      <c r="E85" s="23" t="s">
        <v>14</v>
      </c>
      <c r="F85" s="23" t="s">
        <v>239</v>
      </c>
      <c r="G85" s="23" t="s">
        <v>408</v>
      </c>
      <c r="H85" s="10">
        <v>297.9919961009046</v>
      </c>
      <c r="I85" s="23" t="s">
        <v>421</v>
      </c>
      <c r="J85" s="23" t="s">
        <v>434</v>
      </c>
    </row>
    <row r="86" spans="1:10" x14ac:dyDescent="0.2">
      <c r="A86" s="9"/>
      <c r="B86" s="23" t="s">
        <v>407</v>
      </c>
      <c r="C86" s="24">
        <v>44771</v>
      </c>
      <c r="D86" s="23" t="s">
        <v>624</v>
      </c>
      <c r="E86" s="23" t="s">
        <v>14</v>
      </c>
      <c r="F86" s="23" t="s">
        <v>239</v>
      </c>
      <c r="G86" s="23" t="s">
        <v>408</v>
      </c>
      <c r="H86" s="10">
        <v>97.6189477788499</v>
      </c>
      <c r="I86" s="23" t="s">
        <v>421</v>
      </c>
      <c r="J86" s="23" t="s">
        <v>240</v>
      </c>
    </row>
    <row r="87" spans="1:10" x14ac:dyDescent="0.2">
      <c r="A87" s="9"/>
      <c r="B87" s="23" t="s">
        <v>407</v>
      </c>
      <c r="C87" s="24">
        <v>44771</v>
      </c>
      <c r="D87" s="23" t="s">
        <v>623</v>
      </c>
      <c r="E87" s="23" t="s">
        <v>14</v>
      </c>
      <c r="F87" s="23" t="s">
        <v>239</v>
      </c>
      <c r="G87" s="23" t="s">
        <v>408</v>
      </c>
      <c r="H87" s="10">
        <v>306.10819182190289</v>
      </c>
      <c r="I87" s="23" t="s">
        <v>421</v>
      </c>
      <c r="J87" s="23"/>
    </row>
    <row r="88" spans="1:10" x14ac:dyDescent="0.2">
      <c r="A88" s="9"/>
      <c r="B88" s="23" t="s">
        <v>407</v>
      </c>
      <c r="C88" s="24">
        <v>44773</v>
      </c>
      <c r="D88" s="23" t="s">
        <v>625</v>
      </c>
      <c r="E88" s="23" t="s">
        <v>0</v>
      </c>
      <c r="F88" s="23" t="s">
        <v>239</v>
      </c>
      <c r="G88" s="23" t="s">
        <v>408</v>
      </c>
      <c r="H88" s="10">
        <v>99726.402556965724</v>
      </c>
      <c r="I88" s="23" t="s">
        <v>427</v>
      </c>
      <c r="J88" s="23"/>
    </row>
    <row r="89" spans="1:10" x14ac:dyDescent="0.2">
      <c r="A89" s="9"/>
      <c r="B89" s="23" t="s">
        <v>407</v>
      </c>
      <c r="C89" s="24">
        <v>44779</v>
      </c>
      <c r="D89" s="23" t="s">
        <v>478</v>
      </c>
      <c r="E89" s="23" t="s">
        <v>14</v>
      </c>
      <c r="F89" s="23" t="s">
        <v>239</v>
      </c>
      <c r="G89" s="23" t="s">
        <v>408</v>
      </c>
      <c r="H89" s="10">
        <v>564.2154438</v>
      </c>
      <c r="I89" s="23" t="s">
        <v>421</v>
      </c>
      <c r="J89" s="23" t="s">
        <v>426</v>
      </c>
    </row>
    <row r="90" spans="1:10" x14ac:dyDescent="0.2">
      <c r="A90" s="9"/>
      <c r="B90" s="23" t="s">
        <v>407</v>
      </c>
      <c r="C90" s="24">
        <v>44779</v>
      </c>
      <c r="D90" s="23" t="s">
        <v>479</v>
      </c>
      <c r="E90" s="23" t="s">
        <v>14</v>
      </c>
      <c r="F90" s="23" t="s">
        <v>239</v>
      </c>
      <c r="G90" s="23" t="s">
        <v>408</v>
      </c>
      <c r="H90" s="10">
        <v>95.519277900000006</v>
      </c>
      <c r="I90" s="23" t="s">
        <v>421</v>
      </c>
      <c r="J90" s="23" t="s">
        <v>423</v>
      </c>
    </row>
    <row r="91" spans="1:10" x14ac:dyDescent="0.2">
      <c r="A91" s="9"/>
      <c r="B91" s="23" t="s">
        <v>407</v>
      </c>
      <c r="C91" s="24">
        <v>44779</v>
      </c>
      <c r="D91" s="23" t="s">
        <v>480</v>
      </c>
      <c r="E91" s="23" t="s">
        <v>14</v>
      </c>
      <c r="F91" s="23" t="s">
        <v>239</v>
      </c>
      <c r="G91" s="23" t="s">
        <v>408</v>
      </c>
      <c r="H91" s="10">
        <v>1223.780745</v>
      </c>
      <c r="I91" s="23" t="s">
        <v>421</v>
      </c>
      <c r="J91" s="23" t="s">
        <v>424</v>
      </c>
    </row>
    <row r="92" spans="1:10" x14ac:dyDescent="0.2">
      <c r="A92" s="9"/>
      <c r="B92" s="23" t="s">
        <v>407</v>
      </c>
      <c r="C92" s="24">
        <v>44779</v>
      </c>
      <c r="D92" s="23" t="s">
        <v>479</v>
      </c>
      <c r="E92" s="23" t="s">
        <v>14</v>
      </c>
      <c r="F92" s="23" t="s">
        <v>239</v>
      </c>
      <c r="G92" s="23" t="s">
        <v>408</v>
      </c>
      <c r="H92" s="10">
        <v>540.13514339999995</v>
      </c>
      <c r="I92" s="23" t="s">
        <v>421</v>
      </c>
      <c r="J92" s="23" t="s">
        <v>425</v>
      </c>
    </row>
    <row r="93" spans="1:10" x14ac:dyDescent="0.2">
      <c r="A93" s="9"/>
      <c r="B93" s="23" t="s">
        <v>407</v>
      </c>
      <c r="C93" s="24">
        <v>44779</v>
      </c>
      <c r="D93" s="23" t="s">
        <v>478</v>
      </c>
      <c r="E93" s="23" t="s">
        <v>14</v>
      </c>
      <c r="F93" s="23" t="s">
        <v>239</v>
      </c>
      <c r="G93" s="23" t="s">
        <v>408</v>
      </c>
      <c r="H93" s="10">
        <v>5262.6299286000003</v>
      </c>
      <c r="I93" s="23" t="s">
        <v>421</v>
      </c>
      <c r="J93" s="23" t="s">
        <v>424</v>
      </c>
    </row>
    <row r="94" spans="1:10" x14ac:dyDescent="0.2">
      <c r="A94" s="9"/>
      <c r="B94" s="23" t="s">
        <v>407</v>
      </c>
      <c r="C94" s="24">
        <v>44779</v>
      </c>
      <c r="D94" s="23" t="s">
        <v>481</v>
      </c>
      <c r="E94" s="23" t="s">
        <v>14</v>
      </c>
      <c r="F94" s="23" t="s">
        <v>239</v>
      </c>
      <c r="G94" s="23" t="s">
        <v>408</v>
      </c>
      <c r="H94" s="10">
        <v>958.92003</v>
      </c>
      <c r="I94" s="23" t="s">
        <v>421</v>
      </c>
      <c r="J94" s="23" t="s">
        <v>423</v>
      </c>
    </row>
    <row r="95" spans="1:10" x14ac:dyDescent="0.2">
      <c r="A95" s="9"/>
      <c r="B95" s="23" t="s">
        <v>407</v>
      </c>
      <c r="C95" s="24">
        <v>44779</v>
      </c>
      <c r="D95" s="23" t="s">
        <v>478</v>
      </c>
      <c r="E95" s="23" t="s">
        <v>14</v>
      </c>
      <c r="F95" s="23" t="s">
        <v>239</v>
      </c>
      <c r="G95" s="23" t="s">
        <v>408</v>
      </c>
      <c r="H95" s="10">
        <v>3899.5064696999998</v>
      </c>
      <c r="I95" s="23" t="s">
        <v>421</v>
      </c>
      <c r="J95" s="23" t="s">
        <v>423</v>
      </c>
    </row>
    <row r="96" spans="1:10" x14ac:dyDescent="0.2">
      <c r="A96" s="9"/>
      <c r="B96" s="23" t="s">
        <v>407</v>
      </c>
      <c r="C96" s="24">
        <v>44779</v>
      </c>
      <c r="D96" s="23" t="s">
        <v>478</v>
      </c>
      <c r="E96" s="23" t="s">
        <v>14</v>
      </c>
      <c r="F96" s="23" t="s">
        <v>239</v>
      </c>
      <c r="G96" s="23" t="s">
        <v>408</v>
      </c>
      <c r="H96" s="10">
        <v>11573.408017199999</v>
      </c>
      <c r="I96" s="23" t="s">
        <v>421</v>
      </c>
      <c r="J96" s="23" t="s">
        <v>244</v>
      </c>
    </row>
    <row r="97" spans="1:10" x14ac:dyDescent="0.2">
      <c r="A97" s="9"/>
      <c r="B97" s="23" t="s">
        <v>407</v>
      </c>
      <c r="C97" s="24">
        <v>44779</v>
      </c>
      <c r="D97" s="23" t="s">
        <v>480</v>
      </c>
      <c r="E97" s="23" t="s">
        <v>14</v>
      </c>
      <c r="F97" s="23" t="s">
        <v>239</v>
      </c>
      <c r="G97" s="23" t="s">
        <v>408</v>
      </c>
      <c r="H97" s="10">
        <v>298.40597400000001</v>
      </c>
      <c r="I97" s="23" t="s">
        <v>421</v>
      </c>
      <c r="J97" s="23" t="s">
        <v>242</v>
      </c>
    </row>
    <row r="98" spans="1:10" x14ac:dyDescent="0.2">
      <c r="A98" s="9"/>
      <c r="B98" s="23" t="s">
        <v>407</v>
      </c>
      <c r="C98" s="24">
        <v>44779</v>
      </c>
      <c r="D98" s="23" t="s">
        <v>480</v>
      </c>
      <c r="E98" s="23" t="s">
        <v>14</v>
      </c>
      <c r="F98" s="23" t="s">
        <v>239</v>
      </c>
      <c r="G98" s="23" t="s">
        <v>408</v>
      </c>
      <c r="H98" s="10">
        <v>2153.7185748000002</v>
      </c>
      <c r="I98" s="23" t="s">
        <v>421</v>
      </c>
      <c r="J98" s="23" t="s">
        <v>244</v>
      </c>
    </row>
    <row r="99" spans="1:10" x14ac:dyDescent="0.2">
      <c r="A99" s="9"/>
      <c r="B99" s="23" t="s">
        <v>407</v>
      </c>
      <c r="C99" s="24">
        <v>44779</v>
      </c>
      <c r="D99" s="23" t="s">
        <v>478</v>
      </c>
      <c r="E99" s="23" t="s">
        <v>14</v>
      </c>
      <c r="F99" s="23" t="s">
        <v>239</v>
      </c>
      <c r="G99" s="23" t="s">
        <v>408</v>
      </c>
      <c r="H99" s="10">
        <v>2397.5711477999998</v>
      </c>
      <c r="I99" s="23" t="s">
        <v>421</v>
      </c>
      <c r="J99" s="23" t="s">
        <v>434</v>
      </c>
    </row>
    <row r="100" spans="1:10" x14ac:dyDescent="0.2">
      <c r="A100" s="9"/>
      <c r="B100" s="23" t="s">
        <v>407</v>
      </c>
      <c r="C100" s="24">
        <v>44779</v>
      </c>
      <c r="D100" s="23" t="s">
        <v>480</v>
      </c>
      <c r="E100" s="23" t="s">
        <v>14</v>
      </c>
      <c r="F100" s="23" t="s">
        <v>239</v>
      </c>
      <c r="G100" s="23" t="s">
        <v>408</v>
      </c>
      <c r="H100" s="10">
        <v>958.92003</v>
      </c>
      <c r="I100" s="23" t="s">
        <v>421</v>
      </c>
      <c r="J100" s="23" t="s">
        <v>423</v>
      </c>
    </row>
    <row r="101" spans="1:10" x14ac:dyDescent="0.2">
      <c r="A101" s="9"/>
      <c r="B101" s="23" t="s">
        <v>407</v>
      </c>
      <c r="C101" s="24">
        <v>44779</v>
      </c>
      <c r="D101" s="23" t="s">
        <v>478</v>
      </c>
      <c r="E101" s="23" t="s">
        <v>14</v>
      </c>
      <c r="F101" s="23" t="s">
        <v>239</v>
      </c>
      <c r="G101" s="23" t="s">
        <v>408</v>
      </c>
      <c r="H101" s="10">
        <v>50.690613599999999</v>
      </c>
      <c r="I101" s="23" t="s">
        <v>421</v>
      </c>
      <c r="J101" s="23" t="s">
        <v>242</v>
      </c>
    </row>
    <row r="102" spans="1:10" x14ac:dyDescent="0.2">
      <c r="A102" s="9"/>
      <c r="B102" s="23" t="s">
        <v>407</v>
      </c>
      <c r="C102" s="24">
        <v>44779</v>
      </c>
      <c r="D102" s="23" t="s">
        <v>478</v>
      </c>
      <c r="E102" s="23" t="s">
        <v>14</v>
      </c>
      <c r="F102" s="23" t="s">
        <v>239</v>
      </c>
      <c r="G102" s="23" t="s">
        <v>408</v>
      </c>
      <c r="H102" s="10">
        <v>554.03891910000004</v>
      </c>
      <c r="I102" s="23" t="s">
        <v>421</v>
      </c>
      <c r="J102" s="23" t="s">
        <v>425</v>
      </c>
    </row>
    <row r="103" spans="1:10" x14ac:dyDescent="0.2">
      <c r="A103" s="9"/>
      <c r="B103" s="23" t="s">
        <v>407</v>
      </c>
      <c r="C103" s="24">
        <v>44785</v>
      </c>
      <c r="D103" s="23" t="s">
        <v>482</v>
      </c>
      <c r="E103" s="23" t="s">
        <v>14</v>
      </c>
      <c r="F103" s="23" t="s">
        <v>239</v>
      </c>
      <c r="G103" s="23" t="s">
        <v>408</v>
      </c>
      <c r="H103" s="10">
        <v>109.5811794</v>
      </c>
      <c r="I103" s="23" t="s">
        <v>421</v>
      </c>
      <c r="J103" s="23" t="s">
        <v>424</v>
      </c>
    </row>
    <row r="104" spans="1:10" x14ac:dyDescent="0.2">
      <c r="A104" s="9"/>
      <c r="B104" s="23" t="s">
        <v>407</v>
      </c>
      <c r="C104" s="24">
        <v>44785</v>
      </c>
      <c r="D104" s="23" t="s">
        <v>482</v>
      </c>
      <c r="E104" s="23" t="s">
        <v>14</v>
      </c>
      <c r="F104" s="23" t="s">
        <v>239</v>
      </c>
      <c r="G104" s="23" t="s">
        <v>408</v>
      </c>
      <c r="H104" s="10">
        <v>350.70043500000003</v>
      </c>
      <c r="I104" s="23" t="s">
        <v>421</v>
      </c>
      <c r="J104" s="23" t="s">
        <v>244</v>
      </c>
    </row>
    <row r="105" spans="1:10" x14ac:dyDescent="0.2">
      <c r="A105" s="9"/>
      <c r="B105" s="23" t="s">
        <v>407</v>
      </c>
      <c r="C105" s="24">
        <v>44785</v>
      </c>
      <c r="D105" s="23" t="s">
        <v>482</v>
      </c>
      <c r="E105" s="23" t="s">
        <v>14</v>
      </c>
      <c r="F105" s="23" t="s">
        <v>239</v>
      </c>
      <c r="G105" s="23" t="s">
        <v>408</v>
      </c>
      <c r="H105" s="10">
        <v>25.977810000000002</v>
      </c>
      <c r="I105" s="23" t="s">
        <v>421</v>
      </c>
      <c r="J105" s="23" t="s">
        <v>422</v>
      </c>
    </row>
    <row r="106" spans="1:10" x14ac:dyDescent="0.2">
      <c r="A106" s="9"/>
      <c r="B106" s="23" t="s">
        <v>407</v>
      </c>
      <c r="C106" s="24">
        <v>44785</v>
      </c>
      <c r="D106" s="23" t="s">
        <v>482</v>
      </c>
      <c r="E106" s="23" t="s">
        <v>14</v>
      </c>
      <c r="F106" s="23" t="s">
        <v>239</v>
      </c>
      <c r="G106" s="23" t="s">
        <v>408</v>
      </c>
      <c r="H106" s="10">
        <v>156.88338300000001</v>
      </c>
      <c r="I106" s="23" t="s">
        <v>421</v>
      </c>
      <c r="J106" s="23" t="s">
        <v>242</v>
      </c>
    </row>
    <row r="107" spans="1:10" x14ac:dyDescent="0.2">
      <c r="A107" s="9"/>
      <c r="B107" s="23" t="s">
        <v>407</v>
      </c>
      <c r="C107" s="24">
        <v>44785</v>
      </c>
      <c r="D107" s="23" t="s">
        <v>482</v>
      </c>
      <c r="E107" s="23" t="s">
        <v>14</v>
      </c>
      <c r="F107" s="23" t="s">
        <v>239</v>
      </c>
      <c r="G107" s="23" t="s">
        <v>408</v>
      </c>
      <c r="H107" s="10">
        <v>1372.0575666</v>
      </c>
      <c r="I107" s="23" t="s">
        <v>421</v>
      </c>
      <c r="J107" s="23" t="s">
        <v>240</v>
      </c>
    </row>
    <row r="108" spans="1:10" x14ac:dyDescent="0.2">
      <c r="A108" s="9"/>
      <c r="B108" s="23" t="s">
        <v>407</v>
      </c>
      <c r="C108" s="24">
        <v>44785</v>
      </c>
      <c r="D108" s="23" t="s">
        <v>482</v>
      </c>
      <c r="E108" s="23" t="s">
        <v>14</v>
      </c>
      <c r="F108" s="23" t="s">
        <v>239</v>
      </c>
      <c r="G108" s="23" t="s">
        <v>408</v>
      </c>
      <c r="H108" s="10">
        <v>337.146795</v>
      </c>
      <c r="I108" s="23" t="s">
        <v>421</v>
      </c>
      <c r="J108" s="23" t="s">
        <v>433</v>
      </c>
    </row>
    <row r="109" spans="1:10" x14ac:dyDescent="0.2">
      <c r="A109" s="9"/>
      <c r="B109" s="23" t="s">
        <v>407</v>
      </c>
      <c r="C109" s="24">
        <v>44785</v>
      </c>
      <c r="D109" s="23" t="s">
        <v>482</v>
      </c>
      <c r="E109" s="23" t="s">
        <v>14</v>
      </c>
      <c r="F109" s="23" t="s">
        <v>239</v>
      </c>
      <c r="G109" s="23" t="s">
        <v>408</v>
      </c>
      <c r="H109" s="10">
        <v>746.50060710000002</v>
      </c>
      <c r="I109" s="23" t="s">
        <v>421</v>
      </c>
      <c r="J109" s="23" t="s">
        <v>423</v>
      </c>
    </row>
    <row r="110" spans="1:10" x14ac:dyDescent="0.2">
      <c r="A110" s="9"/>
      <c r="B110" s="23" t="s">
        <v>407</v>
      </c>
      <c r="C110" s="24">
        <v>44787</v>
      </c>
      <c r="D110" s="23" t="s">
        <v>483</v>
      </c>
      <c r="E110" s="23" t="s">
        <v>14</v>
      </c>
      <c r="F110" s="23" t="s">
        <v>239</v>
      </c>
      <c r="G110" s="23" t="s">
        <v>408</v>
      </c>
      <c r="H110" s="10">
        <v>96.885936599999994</v>
      </c>
      <c r="I110" s="23" t="s">
        <v>421</v>
      </c>
      <c r="J110" s="23" t="s">
        <v>423</v>
      </c>
    </row>
    <row r="111" spans="1:10" x14ac:dyDescent="0.2">
      <c r="A111" s="9"/>
      <c r="B111" s="23" t="s">
        <v>407</v>
      </c>
      <c r="C111" s="24">
        <v>44787</v>
      </c>
      <c r="D111" s="23" t="s">
        <v>483</v>
      </c>
      <c r="E111" s="23" t="s">
        <v>14</v>
      </c>
      <c r="F111" s="23" t="s">
        <v>239</v>
      </c>
      <c r="G111" s="23" t="s">
        <v>408</v>
      </c>
      <c r="H111" s="10">
        <v>51.311822100000001</v>
      </c>
      <c r="I111" s="23" t="s">
        <v>421</v>
      </c>
      <c r="J111" s="23" t="s">
        <v>242</v>
      </c>
    </row>
    <row r="112" spans="1:10" x14ac:dyDescent="0.2">
      <c r="A112" s="9"/>
      <c r="B112" s="23" t="s">
        <v>407</v>
      </c>
      <c r="C112" s="24">
        <v>44787</v>
      </c>
      <c r="D112" s="23" t="s">
        <v>484</v>
      </c>
      <c r="E112" s="23" t="s">
        <v>14</v>
      </c>
      <c r="F112" s="23" t="s">
        <v>239</v>
      </c>
      <c r="G112" s="23" t="s">
        <v>408</v>
      </c>
      <c r="H112" s="10">
        <v>77.978608800000003</v>
      </c>
      <c r="I112" s="23" t="s">
        <v>421</v>
      </c>
      <c r="J112" s="23" t="s">
        <v>423</v>
      </c>
    </row>
    <row r="113" spans="1:10" x14ac:dyDescent="0.2">
      <c r="A113" s="9"/>
      <c r="B113" s="23" t="s">
        <v>407</v>
      </c>
      <c r="C113" s="24">
        <v>44787</v>
      </c>
      <c r="D113" s="23" t="s">
        <v>485</v>
      </c>
      <c r="E113" s="23" t="s">
        <v>14</v>
      </c>
      <c r="F113" s="23" t="s">
        <v>239</v>
      </c>
      <c r="G113" s="23" t="s">
        <v>408</v>
      </c>
      <c r="H113" s="10">
        <v>170.91140039999999</v>
      </c>
      <c r="I113" s="23" t="s">
        <v>421</v>
      </c>
      <c r="J113" s="23" t="s">
        <v>426</v>
      </c>
    </row>
    <row r="114" spans="1:10" x14ac:dyDescent="0.2">
      <c r="A114" s="9"/>
      <c r="B114" s="23" t="s">
        <v>407</v>
      </c>
      <c r="C114" s="24">
        <v>44787</v>
      </c>
      <c r="D114" s="23" t="s">
        <v>485</v>
      </c>
      <c r="E114" s="23" t="s">
        <v>14</v>
      </c>
      <c r="F114" s="23" t="s">
        <v>239</v>
      </c>
      <c r="G114" s="23" t="s">
        <v>408</v>
      </c>
      <c r="H114" s="10">
        <v>944.01102600000002</v>
      </c>
      <c r="I114" s="23" t="s">
        <v>421</v>
      </c>
      <c r="J114" s="23" t="s">
        <v>433</v>
      </c>
    </row>
    <row r="115" spans="1:10" x14ac:dyDescent="0.2">
      <c r="A115" s="9"/>
      <c r="B115" s="23" t="s">
        <v>407</v>
      </c>
      <c r="C115" s="24">
        <v>44787</v>
      </c>
      <c r="D115" s="23" t="s">
        <v>483</v>
      </c>
      <c r="E115" s="23" t="s">
        <v>14</v>
      </c>
      <c r="F115" s="23" t="s">
        <v>239</v>
      </c>
      <c r="G115" s="23" t="s">
        <v>408</v>
      </c>
      <c r="H115" s="10">
        <v>1306.3675914</v>
      </c>
      <c r="I115" s="23" t="s">
        <v>421</v>
      </c>
      <c r="J115" s="23" t="s">
        <v>422</v>
      </c>
    </row>
    <row r="116" spans="1:10" x14ac:dyDescent="0.2">
      <c r="A116" s="9"/>
      <c r="B116" s="23" t="s">
        <v>407</v>
      </c>
      <c r="C116" s="24">
        <v>44787</v>
      </c>
      <c r="D116" s="23" t="s">
        <v>483</v>
      </c>
      <c r="E116" s="23" t="s">
        <v>14</v>
      </c>
      <c r="F116" s="23" t="s">
        <v>239</v>
      </c>
      <c r="G116" s="23" t="s">
        <v>408</v>
      </c>
      <c r="H116" s="10">
        <v>117.2276913</v>
      </c>
      <c r="I116" s="23" t="s">
        <v>421</v>
      </c>
      <c r="J116" s="23" t="s">
        <v>432</v>
      </c>
    </row>
    <row r="117" spans="1:10" x14ac:dyDescent="0.2">
      <c r="A117" s="9"/>
      <c r="B117" s="23" t="s">
        <v>407</v>
      </c>
      <c r="C117" s="24">
        <v>44787</v>
      </c>
      <c r="D117" s="23" t="s">
        <v>483</v>
      </c>
      <c r="E117" s="23" t="s">
        <v>14</v>
      </c>
      <c r="F117" s="23" t="s">
        <v>239</v>
      </c>
      <c r="G117" s="23" t="s">
        <v>408</v>
      </c>
      <c r="H117" s="10">
        <v>134.85871800000001</v>
      </c>
      <c r="I117" s="23" t="s">
        <v>421</v>
      </c>
      <c r="J117" s="23" t="s">
        <v>433</v>
      </c>
    </row>
    <row r="118" spans="1:10" x14ac:dyDescent="0.2">
      <c r="A118" s="9"/>
      <c r="B118" s="23" t="s">
        <v>407</v>
      </c>
      <c r="C118" s="24">
        <v>44787</v>
      </c>
      <c r="D118" s="23" t="s">
        <v>486</v>
      </c>
      <c r="E118" s="23" t="s">
        <v>14</v>
      </c>
      <c r="F118" s="23" t="s">
        <v>239</v>
      </c>
      <c r="G118" s="23" t="s">
        <v>408</v>
      </c>
      <c r="H118" s="10">
        <v>935.74330559999999</v>
      </c>
      <c r="I118" s="23" t="s">
        <v>421</v>
      </c>
      <c r="J118" s="23" t="s">
        <v>423</v>
      </c>
    </row>
    <row r="119" spans="1:10" x14ac:dyDescent="0.2">
      <c r="A119" s="9"/>
      <c r="B119" s="23" t="s">
        <v>407</v>
      </c>
      <c r="C119" s="24">
        <v>44787</v>
      </c>
      <c r="D119" s="23" t="s">
        <v>487</v>
      </c>
      <c r="E119" s="23" t="s">
        <v>14</v>
      </c>
      <c r="F119" s="23" t="s">
        <v>239</v>
      </c>
      <c r="G119" s="23" t="s">
        <v>408</v>
      </c>
      <c r="H119" s="10">
        <v>19551.938918399999</v>
      </c>
      <c r="I119" s="23" t="s">
        <v>421</v>
      </c>
      <c r="J119" s="23" t="s">
        <v>448</v>
      </c>
    </row>
    <row r="120" spans="1:10" x14ac:dyDescent="0.2">
      <c r="A120" s="9"/>
      <c r="B120" s="23" t="s">
        <v>407</v>
      </c>
      <c r="C120" s="24">
        <v>44789</v>
      </c>
      <c r="D120" s="23" t="s">
        <v>488</v>
      </c>
      <c r="E120" s="23" t="s">
        <v>14</v>
      </c>
      <c r="F120" s="23" t="s">
        <v>239</v>
      </c>
      <c r="G120" s="23" t="s">
        <v>408</v>
      </c>
      <c r="H120" s="10">
        <v>404.57615399999997</v>
      </c>
      <c r="I120" s="23" t="s">
        <v>421</v>
      </c>
      <c r="J120" s="23" t="s">
        <v>433</v>
      </c>
    </row>
    <row r="121" spans="1:10" x14ac:dyDescent="0.2">
      <c r="A121" s="9"/>
      <c r="B121" s="23" t="s">
        <v>407</v>
      </c>
      <c r="C121" s="24">
        <v>44789</v>
      </c>
      <c r="D121" s="23" t="s">
        <v>488</v>
      </c>
      <c r="E121" s="23" t="s">
        <v>14</v>
      </c>
      <c r="F121" s="23" t="s">
        <v>239</v>
      </c>
      <c r="G121" s="23" t="s">
        <v>408</v>
      </c>
      <c r="H121" s="10">
        <v>292.419783</v>
      </c>
      <c r="I121" s="23" t="s">
        <v>421</v>
      </c>
      <c r="J121" s="23" t="s">
        <v>422</v>
      </c>
    </row>
    <row r="122" spans="1:10" x14ac:dyDescent="0.2">
      <c r="A122" s="9"/>
      <c r="B122" s="23" t="s">
        <v>407</v>
      </c>
      <c r="C122" s="24">
        <v>44789</v>
      </c>
      <c r="D122" s="23" t="s">
        <v>488</v>
      </c>
      <c r="E122" s="23" t="s">
        <v>14</v>
      </c>
      <c r="F122" s="23" t="s">
        <v>239</v>
      </c>
      <c r="G122" s="23" t="s">
        <v>408</v>
      </c>
      <c r="H122" s="10">
        <v>685.50922709999998</v>
      </c>
      <c r="I122" s="23" t="s">
        <v>421</v>
      </c>
      <c r="J122" s="23" t="s">
        <v>240</v>
      </c>
    </row>
    <row r="123" spans="1:10" x14ac:dyDescent="0.2">
      <c r="A123" s="9"/>
      <c r="B123" s="23" t="s">
        <v>407</v>
      </c>
      <c r="C123" s="24">
        <v>44789</v>
      </c>
      <c r="D123" s="23" t="s">
        <v>488</v>
      </c>
      <c r="E123" s="23" t="s">
        <v>14</v>
      </c>
      <c r="F123" s="23" t="s">
        <v>239</v>
      </c>
      <c r="G123" s="23" t="s">
        <v>408</v>
      </c>
      <c r="H123" s="10">
        <v>1797.1336011000001</v>
      </c>
      <c r="I123" s="23" t="s">
        <v>421</v>
      </c>
      <c r="J123" s="23" t="s">
        <v>425</v>
      </c>
    </row>
    <row r="124" spans="1:10" x14ac:dyDescent="0.2">
      <c r="A124" s="9"/>
      <c r="B124" s="23" t="s">
        <v>407</v>
      </c>
      <c r="C124" s="24">
        <v>44789</v>
      </c>
      <c r="D124" s="23" t="s">
        <v>488</v>
      </c>
      <c r="E124" s="23" t="s">
        <v>14</v>
      </c>
      <c r="F124" s="23" t="s">
        <v>239</v>
      </c>
      <c r="G124" s="23" t="s">
        <v>408</v>
      </c>
      <c r="H124" s="10">
        <v>450.11638440000002</v>
      </c>
      <c r="I124" s="23" t="s">
        <v>245</v>
      </c>
      <c r="J124" s="23" t="s">
        <v>426</v>
      </c>
    </row>
    <row r="125" spans="1:10" x14ac:dyDescent="0.2">
      <c r="A125" s="9"/>
      <c r="B125" s="23" t="s">
        <v>407</v>
      </c>
      <c r="C125" s="24">
        <v>44789</v>
      </c>
      <c r="D125" s="23" t="s">
        <v>488</v>
      </c>
      <c r="E125" s="23" t="s">
        <v>14</v>
      </c>
      <c r="F125" s="23" t="s">
        <v>239</v>
      </c>
      <c r="G125" s="23" t="s">
        <v>408</v>
      </c>
      <c r="H125" s="10">
        <v>344.91754859999998</v>
      </c>
      <c r="I125" s="23" t="s">
        <v>421</v>
      </c>
      <c r="J125" s="23" t="s">
        <v>426</v>
      </c>
    </row>
    <row r="126" spans="1:10" x14ac:dyDescent="0.2">
      <c r="A126" s="9"/>
      <c r="B126" s="23" t="s">
        <v>407</v>
      </c>
      <c r="C126" s="24">
        <v>44791</v>
      </c>
      <c r="D126" s="23" t="s">
        <v>489</v>
      </c>
      <c r="E126" s="23" t="s">
        <v>14</v>
      </c>
      <c r="F126" s="23" t="s">
        <v>239</v>
      </c>
      <c r="G126" s="23" t="s">
        <v>408</v>
      </c>
      <c r="H126" s="10">
        <v>272.16838589999998</v>
      </c>
      <c r="I126" s="23" t="s">
        <v>421</v>
      </c>
      <c r="J126" s="23" t="s">
        <v>242</v>
      </c>
    </row>
    <row r="127" spans="1:10" x14ac:dyDescent="0.2">
      <c r="A127" s="9"/>
      <c r="B127" s="23" t="s">
        <v>407</v>
      </c>
      <c r="C127" s="24">
        <v>44791</v>
      </c>
      <c r="D127" s="23" t="s">
        <v>490</v>
      </c>
      <c r="E127" s="23" t="s">
        <v>14</v>
      </c>
      <c r="F127" s="23" t="s">
        <v>239</v>
      </c>
      <c r="G127" s="23" t="s">
        <v>408</v>
      </c>
      <c r="H127" s="10">
        <v>68.039272800000006</v>
      </c>
      <c r="I127" s="23" t="s">
        <v>421</v>
      </c>
      <c r="J127" s="23" t="s">
        <v>242</v>
      </c>
    </row>
    <row r="128" spans="1:10" x14ac:dyDescent="0.2">
      <c r="A128" s="9"/>
      <c r="B128" s="23" t="s">
        <v>407</v>
      </c>
      <c r="C128" s="24">
        <v>44791</v>
      </c>
      <c r="D128" s="23" t="s">
        <v>490</v>
      </c>
      <c r="E128" s="23" t="s">
        <v>14</v>
      </c>
      <c r="F128" s="23" t="s">
        <v>239</v>
      </c>
      <c r="G128" s="23" t="s">
        <v>408</v>
      </c>
      <c r="H128" s="10">
        <v>276.27965669999998</v>
      </c>
      <c r="I128" s="23" t="s">
        <v>421</v>
      </c>
      <c r="J128" s="23" t="s">
        <v>240</v>
      </c>
    </row>
    <row r="129" spans="1:10" x14ac:dyDescent="0.2">
      <c r="A129" s="9"/>
      <c r="B129" s="23" t="s">
        <v>407</v>
      </c>
      <c r="C129" s="24">
        <v>44792</v>
      </c>
      <c r="D129" s="23" t="s">
        <v>491</v>
      </c>
      <c r="E129" s="23" t="s">
        <v>14</v>
      </c>
      <c r="F129" s="23" t="s">
        <v>239</v>
      </c>
      <c r="G129" s="23" t="s">
        <v>408</v>
      </c>
      <c r="H129" s="10">
        <v>519.55619999999999</v>
      </c>
      <c r="I129" s="23" t="s">
        <v>421</v>
      </c>
      <c r="J129" s="23" t="s">
        <v>422</v>
      </c>
    </row>
    <row r="130" spans="1:10" x14ac:dyDescent="0.2">
      <c r="A130" s="9"/>
      <c r="B130" s="23" t="s">
        <v>407</v>
      </c>
      <c r="C130" s="24">
        <v>44792</v>
      </c>
      <c r="D130" s="23" t="s">
        <v>492</v>
      </c>
      <c r="E130" s="23" t="s">
        <v>14</v>
      </c>
      <c r="F130" s="23" t="s">
        <v>239</v>
      </c>
      <c r="G130" s="23" t="s">
        <v>408</v>
      </c>
      <c r="H130" s="10">
        <v>2507.4234000000001</v>
      </c>
      <c r="I130" s="23" t="s">
        <v>421</v>
      </c>
      <c r="J130" s="23" t="s">
        <v>422</v>
      </c>
    </row>
    <row r="131" spans="1:10" x14ac:dyDescent="0.2">
      <c r="A131" s="9"/>
      <c r="B131" s="23" t="s">
        <v>407</v>
      </c>
      <c r="C131" s="24">
        <v>44792</v>
      </c>
      <c r="D131" s="23" t="s">
        <v>492</v>
      </c>
      <c r="E131" s="23" t="s">
        <v>14</v>
      </c>
      <c r="F131" s="23" t="s">
        <v>239</v>
      </c>
      <c r="G131" s="23" t="s">
        <v>408</v>
      </c>
      <c r="H131" s="10">
        <v>1694.2049999999999</v>
      </c>
      <c r="I131" s="23" t="s">
        <v>421</v>
      </c>
      <c r="J131" s="23" t="s">
        <v>426</v>
      </c>
    </row>
    <row r="132" spans="1:10" x14ac:dyDescent="0.2">
      <c r="A132" s="9"/>
      <c r="B132" s="23" t="s">
        <v>407</v>
      </c>
      <c r="C132" s="24">
        <v>44792</v>
      </c>
      <c r="D132" s="23" t="s">
        <v>493</v>
      </c>
      <c r="E132" s="23" t="s">
        <v>14</v>
      </c>
      <c r="F132" s="23" t="s">
        <v>239</v>
      </c>
      <c r="G132" s="23" t="s">
        <v>408</v>
      </c>
      <c r="H132" s="10">
        <v>310.15246200000001</v>
      </c>
      <c r="I132" s="23" t="s">
        <v>421</v>
      </c>
      <c r="J132" s="23" t="s">
        <v>242</v>
      </c>
    </row>
    <row r="133" spans="1:10" x14ac:dyDescent="0.2">
      <c r="A133" s="9"/>
      <c r="B133" s="23" t="s">
        <v>407</v>
      </c>
      <c r="C133" s="24">
        <v>44796</v>
      </c>
      <c r="D133" s="23" t="s">
        <v>494</v>
      </c>
      <c r="E133" s="23" t="s">
        <v>14</v>
      </c>
      <c r="F133" s="23" t="s">
        <v>239</v>
      </c>
      <c r="G133" s="23" t="s">
        <v>408</v>
      </c>
      <c r="H133" s="10">
        <v>208.0935528</v>
      </c>
      <c r="I133" s="23" t="s">
        <v>421</v>
      </c>
      <c r="J133" s="23" t="s">
        <v>242</v>
      </c>
    </row>
    <row r="134" spans="1:10" x14ac:dyDescent="0.2">
      <c r="A134" s="9"/>
      <c r="B134" s="23" t="s">
        <v>407</v>
      </c>
      <c r="C134" s="24">
        <v>44796</v>
      </c>
      <c r="D134" s="23" t="s">
        <v>494</v>
      </c>
      <c r="E134" s="23" t="s">
        <v>14</v>
      </c>
      <c r="F134" s="23" t="s">
        <v>239</v>
      </c>
      <c r="G134" s="23" t="s">
        <v>408</v>
      </c>
      <c r="H134" s="10">
        <v>409.77171600000003</v>
      </c>
      <c r="I134" s="23" t="s">
        <v>421</v>
      </c>
      <c r="J134" s="23" t="s">
        <v>425</v>
      </c>
    </row>
    <row r="135" spans="1:10" x14ac:dyDescent="0.2">
      <c r="A135" s="9"/>
      <c r="B135" s="23" t="s">
        <v>407</v>
      </c>
      <c r="C135" s="24">
        <v>44802</v>
      </c>
      <c r="D135" s="23" t="s">
        <v>495</v>
      </c>
      <c r="E135" s="23" t="s">
        <v>14</v>
      </c>
      <c r="F135" s="23" t="s">
        <v>239</v>
      </c>
      <c r="G135" s="23" t="s">
        <v>408</v>
      </c>
      <c r="H135" s="10">
        <v>6267.4290300000002</v>
      </c>
      <c r="I135" s="23" t="s">
        <v>421</v>
      </c>
      <c r="J135" s="23" t="s">
        <v>423</v>
      </c>
    </row>
    <row r="136" spans="1:10" x14ac:dyDescent="0.2">
      <c r="A136" s="9"/>
      <c r="B136" s="23" t="s">
        <v>407</v>
      </c>
      <c r="C136" s="24">
        <v>44802</v>
      </c>
      <c r="D136" s="23" t="s">
        <v>496</v>
      </c>
      <c r="E136" s="23" t="s">
        <v>14</v>
      </c>
      <c r="F136" s="23" t="s">
        <v>239</v>
      </c>
      <c r="G136" s="23" t="s">
        <v>408</v>
      </c>
      <c r="H136" s="10">
        <v>540.69987839999999</v>
      </c>
      <c r="I136" s="23" t="s">
        <v>421</v>
      </c>
      <c r="J136" s="23" t="s">
        <v>240</v>
      </c>
    </row>
    <row r="137" spans="1:10" x14ac:dyDescent="0.2">
      <c r="A137" s="9"/>
      <c r="B137" s="23" t="s">
        <v>407</v>
      </c>
      <c r="C137" s="24">
        <v>44802</v>
      </c>
      <c r="D137" s="23" t="s">
        <v>496</v>
      </c>
      <c r="E137" s="23" t="s">
        <v>14</v>
      </c>
      <c r="F137" s="23" t="s">
        <v>239</v>
      </c>
      <c r="G137" s="23" t="s">
        <v>408</v>
      </c>
      <c r="H137" s="10">
        <v>117.27287010000001</v>
      </c>
      <c r="I137" s="23" t="s">
        <v>421</v>
      </c>
      <c r="J137" s="23" t="s">
        <v>244</v>
      </c>
    </row>
    <row r="138" spans="1:10" x14ac:dyDescent="0.2">
      <c r="A138" s="9"/>
      <c r="B138" s="23" t="s">
        <v>407</v>
      </c>
      <c r="C138" s="24">
        <v>44803</v>
      </c>
      <c r="D138" s="23" t="s">
        <v>497</v>
      </c>
      <c r="E138" s="23" t="s">
        <v>14</v>
      </c>
      <c r="F138" s="23" t="s">
        <v>239</v>
      </c>
      <c r="G138" s="23" t="s">
        <v>408</v>
      </c>
      <c r="H138" s="10">
        <v>274.67580930000003</v>
      </c>
      <c r="I138" s="23" t="s">
        <v>421</v>
      </c>
      <c r="J138" s="23" t="s">
        <v>242</v>
      </c>
    </row>
    <row r="139" spans="1:10" x14ac:dyDescent="0.2">
      <c r="A139" s="9"/>
      <c r="B139" s="23" t="s">
        <v>407</v>
      </c>
      <c r="C139" s="24">
        <v>44803</v>
      </c>
      <c r="D139" s="23" t="s">
        <v>498</v>
      </c>
      <c r="E139" s="23" t="s">
        <v>14</v>
      </c>
      <c r="F139" s="23" t="s">
        <v>239</v>
      </c>
      <c r="G139" s="23" t="s">
        <v>408</v>
      </c>
      <c r="H139" s="10">
        <v>20100.082004100001</v>
      </c>
      <c r="I139" s="23" t="s">
        <v>421</v>
      </c>
      <c r="J139" s="23" t="s">
        <v>423</v>
      </c>
    </row>
    <row r="140" spans="1:10" x14ac:dyDescent="0.2">
      <c r="A140" s="9"/>
      <c r="B140" s="23" t="s">
        <v>407</v>
      </c>
      <c r="C140" s="24">
        <v>44804</v>
      </c>
      <c r="D140" s="23" t="s">
        <v>499</v>
      </c>
      <c r="E140" s="23" t="s">
        <v>0</v>
      </c>
      <c r="F140" s="23" t="s">
        <v>239</v>
      </c>
      <c r="G140" s="23" t="s">
        <v>408</v>
      </c>
      <c r="H140" s="10">
        <v>71576.070451815089</v>
      </c>
      <c r="I140" s="23" t="s">
        <v>427</v>
      </c>
      <c r="J140" s="23"/>
    </row>
    <row r="141" spans="1:10" x14ac:dyDescent="0.2">
      <c r="A141" s="9"/>
      <c r="B141" s="23" t="s">
        <v>407</v>
      </c>
      <c r="C141" s="24">
        <v>44804</v>
      </c>
      <c r="D141" s="23" t="s">
        <v>500</v>
      </c>
      <c r="E141" s="23" t="s">
        <v>0</v>
      </c>
      <c r="F141" s="23" t="s">
        <v>239</v>
      </c>
      <c r="G141" s="23" t="s">
        <v>408</v>
      </c>
      <c r="H141" s="10">
        <v>53048.317694787183</v>
      </c>
      <c r="I141" s="23" t="s">
        <v>427</v>
      </c>
      <c r="J141" s="23"/>
    </row>
  </sheetData>
  <autoFilter ref="A1:J1529" xr:uid="{1C622DCA-2C69-4912-A6E7-C8721CEAB54D}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7B57A-8155-4524-A1E0-2E961266FF05}">
  <sheetPr codeName="Sheet3"/>
  <dimension ref="A1:E33"/>
  <sheetViews>
    <sheetView workbookViewId="0">
      <selection sqref="A1:E1"/>
    </sheetView>
  </sheetViews>
  <sheetFormatPr defaultRowHeight="10" x14ac:dyDescent="0.2"/>
  <cols>
    <col min="1" max="1" width="17.81640625" style="1" bestFit="1" customWidth="1"/>
    <col min="2" max="2" width="40.7265625" style="1" bestFit="1" customWidth="1"/>
    <col min="3" max="3" width="8.90625" style="1" bestFit="1" customWidth="1"/>
    <col min="4" max="4" width="9.81640625" style="1" bestFit="1" customWidth="1"/>
    <col min="5" max="5" width="6.453125" style="1" bestFit="1" customWidth="1"/>
    <col min="6" max="16384" width="8.7265625" style="1"/>
  </cols>
  <sheetData>
    <row r="1" spans="1:5" ht="15.5" x14ac:dyDescent="0.35">
      <c r="A1" s="41" t="s">
        <v>0</v>
      </c>
      <c r="B1" s="41"/>
      <c r="C1" s="41"/>
      <c r="D1" s="41"/>
      <c r="E1" s="41"/>
    </row>
    <row r="2" spans="1:5" ht="15.5" x14ac:dyDescent="0.35">
      <c r="A2" s="41" t="s">
        <v>250</v>
      </c>
      <c r="B2" s="41"/>
      <c r="C2" s="41"/>
      <c r="D2" s="41"/>
      <c r="E2" s="41"/>
    </row>
    <row r="3" spans="1:5" ht="18" x14ac:dyDescent="0.4">
      <c r="A3" s="42" t="s">
        <v>251</v>
      </c>
      <c r="B3" s="42"/>
      <c r="C3" s="42"/>
      <c r="D3" s="42"/>
      <c r="E3" s="42"/>
    </row>
    <row r="4" spans="1:5" ht="18" x14ac:dyDescent="0.4">
      <c r="A4" s="42" t="s">
        <v>477</v>
      </c>
      <c r="B4" s="42"/>
      <c r="C4" s="42"/>
      <c r="D4" s="42"/>
      <c r="E4" s="42"/>
    </row>
    <row r="5" spans="1:5" ht="18" x14ac:dyDescent="0.4">
      <c r="A5" s="42" t="s">
        <v>3</v>
      </c>
      <c r="B5" s="42"/>
      <c r="C5" s="42"/>
      <c r="D5" s="42"/>
      <c r="E5" s="42"/>
    </row>
    <row r="6" spans="1:5" ht="18" x14ac:dyDescent="0.4">
      <c r="A6" s="42" t="s">
        <v>3</v>
      </c>
      <c r="B6" s="42"/>
      <c r="C6" s="42"/>
      <c r="D6" s="42"/>
      <c r="E6" s="42"/>
    </row>
    <row r="9" spans="1:5" x14ac:dyDescent="0.2">
      <c r="A9" s="2" t="s">
        <v>252</v>
      </c>
      <c r="B9" s="2" t="s">
        <v>253</v>
      </c>
      <c r="C9" s="3" t="s">
        <v>254</v>
      </c>
      <c r="D9" s="3" t="s">
        <v>255</v>
      </c>
      <c r="E9" s="3" t="s">
        <v>256</v>
      </c>
    </row>
    <row r="10" spans="1:5" x14ac:dyDescent="0.2">
      <c r="A10" s="22" t="s">
        <v>258</v>
      </c>
      <c r="B10" s="23" t="s">
        <v>257</v>
      </c>
      <c r="C10" s="25">
        <v>2.13</v>
      </c>
      <c r="D10" s="26">
        <v>7.3552304183047306E-7</v>
      </c>
      <c r="E10" s="27">
        <v>0.67</v>
      </c>
    </row>
    <row r="11" spans="1:5" x14ac:dyDescent="0.2">
      <c r="A11" s="22" t="s">
        <v>260</v>
      </c>
      <c r="B11" s="23" t="s">
        <v>259</v>
      </c>
      <c r="C11" s="25">
        <v>501.6</v>
      </c>
      <c r="D11" s="26">
        <v>1.7321049661134523E-4</v>
      </c>
      <c r="E11" s="27">
        <v>22</v>
      </c>
    </row>
    <row r="12" spans="1:5" x14ac:dyDescent="0.2">
      <c r="A12" s="22" t="s">
        <v>261</v>
      </c>
      <c r="B12" s="23" t="s">
        <v>259</v>
      </c>
      <c r="C12" s="25">
        <v>1279.6199999999999</v>
      </c>
      <c r="D12" s="26">
        <v>4.4187323698925349E-4</v>
      </c>
      <c r="E12" s="27">
        <v>60.67</v>
      </c>
    </row>
    <row r="13" spans="1:5" x14ac:dyDescent="0.2">
      <c r="A13" s="22" t="s">
        <v>263</v>
      </c>
      <c r="B13" s="23" t="s">
        <v>262</v>
      </c>
      <c r="C13" s="25">
        <v>889.2</v>
      </c>
      <c r="D13" s="26">
        <v>3.0705497126556653E-4</v>
      </c>
      <c r="E13" s="27">
        <v>39</v>
      </c>
    </row>
    <row r="14" spans="1:5" x14ac:dyDescent="0.2">
      <c r="A14" s="22" t="s">
        <v>264</v>
      </c>
      <c r="B14" s="23" t="s">
        <v>262</v>
      </c>
      <c r="C14" s="25">
        <v>1136.02</v>
      </c>
      <c r="D14" s="26">
        <v>3.9228586196256055E-4</v>
      </c>
      <c r="E14" s="27">
        <v>52.497</v>
      </c>
    </row>
    <row r="15" spans="1:5" x14ac:dyDescent="0.2">
      <c r="A15" s="22" t="s">
        <v>266</v>
      </c>
      <c r="B15" s="23" t="s">
        <v>265</v>
      </c>
      <c r="C15" s="25">
        <v>889.2</v>
      </c>
      <c r="D15" s="26">
        <v>3.0705497126556653E-4</v>
      </c>
      <c r="E15" s="27">
        <v>39</v>
      </c>
    </row>
    <row r="16" spans="1:5" x14ac:dyDescent="0.2">
      <c r="A16" s="22" t="s">
        <v>267</v>
      </c>
      <c r="B16" s="23" t="s">
        <v>265</v>
      </c>
      <c r="C16" s="25">
        <v>1180.73</v>
      </c>
      <c r="D16" s="26">
        <v>4.0772493952135892E-4</v>
      </c>
      <c r="E16" s="27">
        <v>54.33</v>
      </c>
    </row>
    <row r="17" spans="1:5" x14ac:dyDescent="0.2">
      <c r="A17" s="28" t="s">
        <v>268</v>
      </c>
      <c r="B17" s="23" t="s">
        <v>269</v>
      </c>
      <c r="C17" s="25">
        <v>12454.08</v>
      </c>
      <c r="D17" s="26">
        <v>4.3005928661033139E-3</v>
      </c>
      <c r="E17" s="27">
        <v>536</v>
      </c>
    </row>
    <row r="18" spans="1:5" x14ac:dyDescent="0.2">
      <c r="A18" s="28" t="s">
        <v>270</v>
      </c>
      <c r="B18" s="23" t="s">
        <v>271</v>
      </c>
      <c r="C18" s="25">
        <v>2236.9499999999998</v>
      </c>
      <c r="D18" s="26">
        <v>7.7245458611393267E-4</v>
      </c>
      <c r="E18" s="27">
        <v>117</v>
      </c>
    </row>
    <row r="19" spans="1:5" x14ac:dyDescent="0.2">
      <c r="A19" s="28" t="s">
        <v>272</v>
      </c>
      <c r="B19" s="23" t="s">
        <v>273</v>
      </c>
      <c r="C19" s="25">
        <v>4381.67</v>
      </c>
      <c r="D19" s="26">
        <v>1.513060679200624E-3</v>
      </c>
      <c r="E19" s="27">
        <v>227</v>
      </c>
    </row>
    <row r="20" spans="1:5" x14ac:dyDescent="0.2">
      <c r="A20" s="28" t="s">
        <v>274</v>
      </c>
      <c r="B20" s="23" t="s">
        <v>275</v>
      </c>
      <c r="C20" s="25">
        <v>62624.52</v>
      </c>
      <c r="D20" s="26">
        <v>2.1625247626090749E-2</v>
      </c>
      <c r="E20" s="27">
        <v>2585.6669999999999</v>
      </c>
    </row>
    <row r="21" spans="1:5" x14ac:dyDescent="0.2">
      <c r="A21" s="28" t="s">
        <v>276</v>
      </c>
      <c r="B21" s="23" t="s">
        <v>277</v>
      </c>
      <c r="C21" s="25">
        <v>29461.07</v>
      </c>
      <c r="D21" s="26">
        <v>1.0173378320178636E-2</v>
      </c>
      <c r="E21" s="27">
        <v>1283</v>
      </c>
    </row>
    <row r="22" spans="1:5" x14ac:dyDescent="0.2">
      <c r="A22" s="28" t="s">
        <v>278</v>
      </c>
      <c r="B22" s="23" t="s">
        <v>279</v>
      </c>
      <c r="C22" s="25">
        <v>41919.040000000001</v>
      </c>
      <c r="D22" s="26">
        <v>1.4475314465452242E-2</v>
      </c>
      <c r="E22" s="27">
        <v>1811</v>
      </c>
    </row>
    <row r="23" spans="1:5" x14ac:dyDescent="0.2">
      <c r="A23" s="28" t="s">
        <v>280</v>
      </c>
      <c r="B23" s="23" t="s">
        <v>281</v>
      </c>
      <c r="C23" s="25">
        <v>45314.89</v>
      </c>
      <c r="D23" s="26">
        <v>1.5647955743198726E-2</v>
      </c>
      <c r="E23" s="27">
        <v>1986.0006000000001</v>
      </c>
    </row>
    <row r="24" spans="1:5" x14ac:dyDescent="0.2">
      <c r="A24" s="28" t="s">
        <v>282</v>
      </c>
      <c r="B24" s="23" t="s">
        <v>283</v>
      </c>
      <c r="C24" s="25">
        <v>8554.69</v>
      </c>
      <c r="D24" s="26">
        <v>2.9540711787402487E-3</v>
      </c>
      <c r="E24" s="27">
        <v>314</v>
      </c>
    </row>
    <row r="25" spans="1:5" x14ac:dyDescent="0.2">
      <c r="A25" s="22" t="s">
        <v>284</v>
      </c>
      <c r="B25" s="23" t="s">
        <v>285</v>
      </c>
      <c r="C25" s="25">
        <v>67.900000000000006</v>
      </c>
      <c r="D25" s="26">
        <v>2.3446955183234332E-5</v>
      </c>
      <c r="E25" s="27">
        <v>40</v>
      </c>
    </row>
    <row r="26" spans="1:5" x14ac:dyDescent="0.2">
      <c r="A26" s="22" t="s">
        <v>286</v>
      </c>
      <c r="B26" s="23" t="s">
        <v>287</v>
      </c>
      <c r="C26" s="25">
        <v>7.38</v>
      </c>
      <c r="D26" s="26">
        <v>2.5484319477506533E-6</v>
      </c>
      <c r="E26" s="27">
        <v>124</v>
      </c>
    </row>
    <row r="27" spans="1:5" x14ac:dyDescent="0.2">
      <c r="A27" s="22" t="s">
        <v>288</v>
      </c>
      <c r="B27" s="23" t="s">
        <v>289</v>
      </c>
      <c r="C27" s="25">
        <v>67.900000000000006</v>
      </c>
      <c r="D27" s="26">
        <v>2.3446955183234332E-5</v>
      </c>
      <c r="E27" s="27">
        <v>40</v>
      </c>
    </row>
    <row r="28" spans="1:5" x14ac:dyDescent="0.2">
      <c r="A28" s="22" t="s">
        <v>290</v>
      </c>
      <c r="B28" s="23" t="s">
        <v>291</v>
      </c>
      <c r="C28" s="25">
        <v>10.71</v>
      </c>
      <c r="D28" s="26">
        <v>3.6983341680771678E-6</v>
      </c>
      <c r="E28" s="27">
        <v>180</v>
      </c>
    </row>
    <row r="29" spans="1:5" x14ac:dyDescent="0.2">
      <c r="A29" s="22" t="s">
        <v>292</v>
      </c>
      <c r="B29" s="23" t="s">
        <v>293</v>
      </c>
      <c r="C29" s="25">
        <v>67.900000000000006</v>
      </c>
      <c r="D29" s="26">
        <v>2.3446955183234332E-5</v>
      </c>
      <c r="E29" s="27">
        <v>40</v>
      </c>
    </row>
    <row r="30" spans="1:5" x14ac:dyDescent="0.2">
      <c r="A30" s="22" t="s">
        <v>294</v>
      </c>
      <c r="B30" s="23" t="s">
        <v>295</v>
      </c>
      <c r="C30" s="25">
        <v>8.56</v>
      </c>
      <c r="D30" s="26">
        <v>2.9559048066050939E-6</v>
      </c>
      <c r="E30" s="27">
        <v>144</v>
      </c>
    </row>
    <row r="31" spans="1:5" x14ac:dyDescent="0.2">
      <c r="A31" s="22" t="s">
        <v>296</v>
      </c>
      <c r="B31" s="23" t="s">
        <v>297</v>
      </c>
      <c r="C31" s="25">
        <v>50.92</v>
      </c>
      <c r="D31" s="26">
        <v>1.7583489807515349E-5</v>
      </c>
      <c r="E31" s="27">
        <v>30</v>
      </c>
    </row>
    <row r="32" spans="1:5" x14ac:dyDescent="0.2">
      <c r="A32" s="22" t="s">
        <v>298</v>
      </c>
      <c r="B32" s="23" t="s">
        <v>299</v>
      </c>
      <c r="C32" s="25">
        <v>13.56</v>
      </c>
      <c r="D32" s="26">
        <v>4.6824847170052652E-6</v>
      </c>
      <c r="E32" s="27">
        <v>228</v>
      </c>
    </row>
    <row r="33" spans="1:3" x14ac:dyDescent="0.2">
      <c r="A33" s="1" t="s">
        <v>419</v>
      </c>
      <c r="C33" s="35">
        <f>SUM(C10:C32)</f>
        <v>213120.24000000002</v>
      </c>
    </row>
  </sheetData>
  <mergeCells count="6">
    <mergeCell ref="A1:E1"/>
    <mergeCell ref="A2:E2"/>
    <mergeCell ref="A3:E3"/>
    <mergeCell ref="A4:E4"/>
    <mergeCell ref="A5:E5"/>
    <mergeCell ref="A6:E6"/>
  </mergeCells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58B75-65C6-4FE0-A5F0-995603219830}">
  <sheetPr codeName="Sheet27"/>
  <dimension ref="A1:A9"/>
  <sheetViews>
    <sheetView workbookViewId="0"/>
  </sheetViews>
  <sheetFormatPr defaultRowHeight="14.5" x14ac:dyDescent="0.35"/>
  <cols>
    <col min="1" max="1" width="29" bestFit="1" customWidth="1"/>
  </cols>
  <sheetData>
    <row r="1" spans="1:1" x14ac:dyDescent="0.35">
      <c r="A1" t="s">
        <v>229</v>
      </c>
    </row>
    <row r="2" spans="1:1" x14ac:dyDescent="0.35">
      <c r="A2" t="s">
        <v>7</v>
      </c>
    </row>
    <row r="3" spans="1:1" x14ac:dyDescent="0.35">
      <c r="A3" t="s">
        <v>9</v>
      </c>
    </row>
    <row r="4" spans="1:1" x14ac:dyDescent="0.35">
      <c r="A4" t="s">
        <v>0</v>
      </c>
    </row>
    <row r="5" spans="1:1" x14ac:dyDescent="0.35">
      <c r="A5" t="s">
        <v>11</v>
      </c>
    </row>
    <row r="6" spans="1:1" x14ac:dyDescent="0.35">
      <c r="A6" t="s">
        <v>12</v>
      </c>
    </row>
    <row r="7" spans="1:1" x14ac:dyDescent="0.35">
      <c r="A7" t="s">
        <v>13</v>
      </c>
    </row>
    <row r="8" spans="1:1" x14ac:dyDescent="0.35">
      <c r="A8" t="s">
        <v>14</v>
      </c>
    </row>
    <row r="9" spans="1:1" x14ac:dyDescent="0.35">
      <c r="A9" t="s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Instructions</vt:lpstr>
      <vt:lpstr>BS</vt:lpstr>
      <vt:lpstr>PL</vt:lpstr>
      <vt:lpstr>Goodwill</vt:lpstr>
      <vt:lpstr>InternalSales</vt:lpstr>
      <vt:lpstr>COSDetail</vt:lpstr>
      <vt:lpstr>SalesDetail</vt:lpstr>
      <vt:lpstr>Regal Rogue</vt:lpstr>
      <vt:lpstr>CompanyName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彭光宇</dc:creator>
  <cp:lastModifiedBy>彭光宇</cp:lastModifiedBy>
  <dcterms:created xsi:type="dcterms:W3CDTF">2015-06-05T18:17:20Z</dcterms:created>
  <dcterms:modified xsi:type="dcterms:W3CDTF">2022-09-20T15:31:23Z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864038a6-3b03-4c9f-8b9a-932192c8ee83</vt:lpwstr>
  </property>
</Properties>
</file>