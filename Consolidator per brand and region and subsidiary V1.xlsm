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F:\Intrepid Spirits\Consolidation\Consolidation Per Brand &amp; Region &amp; Subsidiary\"/>
    </mc:Choice>
  </mc:AlternateContent>
  <xr:revisionPtr revIDLastSave="0" documentId="13_ncr:1_{11035ED5-5908-4BC4-A8EE-65DD83D23A0E}" xr6:coauthVersionLast="47" xr6:coauthVersionMax="47" xr10:uidLastSave="{00000000-0000-0000-0000-000000000000}"/>
  <bookViews>
    <workbookView xWindow="-110" yWindow="-110" windowWidth="19420" windowHeight="10420" firstSheet="1" activeTab="1" xr2:uid="{00000000-000D-0000-FFFF-FFFF00000000}"/>
  </bookViews>
  <sheets>
    <sheet name="ConsolidatedPLperSub" sheetId="513" r:id="rId1"/>
    <sheet name="ConsolidatedPLperBrand" sheetId="515" r:id="rId2"/>
    <sheet name="ConsolidatedPLperRegion" sheetId="517" r:id="rId3"/>
    <sheet name="InternalSalesPerBrand" sheetId="510" r:id="rId4"/>
    <sheet name="InternalSalesPerRegion" sheetId="511" r:id="rId5"/>
    <sheet name="PLperBrand" sheetId="514" r:id="rId6"/>
    <sheet name="PLperRegion" sheetId="516" r:id="rId7"/>
    <sheet name="CompanyName" sheetId="509" r:id="rId8"/>
    <sheet name="SalesDetail" sheetId="518" r:id="rId9"/>
    <sheet name="COSDetail" sheetId="512" r:id="rId10"/>
  </sheets>
  <functionGroups builtInGroupCount="19"/>
  <definedNames>
    <definedName name="_xlnm._FilterDatabase" localSheetId="9" hidden="1">COSDetail!$A$1:$J$1261</definedName>
    <definedName name="_xlnm._FilterDatabase" localSheetId="8" hidden="1">SalesDetail!$A$1:$J$1499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2" i="517" l="1"/>
  <c r="G14" i="517"/>
  <c r="G18" i="517" s="1"/>
  <c r="G19" i="517" s="1"/>
  <c r="D22" i="517"/>
  <c r="D14" i="517"/>
  <c r="Y22" i="517"/>
  <c r="Y14" i="517"/>
  <c r="S22" i="517"/>
  <c r="S14" i="517"/>
  <c r="L22" i="517"/>
  <c r="L14" i="517"/>
  <c r="G20" i="515"/>
  <c r="G12" i="515"/>
  <c r="L20" i="515"/>
  <c r="L12" i="515"/>
  <c r="R20" i="515"/>
  <c r="R12" i="515"/>
  <c r="Y178" i="517"/>
  <c r="V178" i="517"/>
  <c r="Q178" i="517"/>
  <c r="P178" i="517"/>
  <c r="O178" i="517"/>
  <c r="N178" i="517"/>
  <c r="I178" i="517"/>
  <c r="G178" i="517"/>
  <c r="F178" i="517"/>
  <c r="W177" i="517"/>
  <c r="R177" i="517"/>
  <c r="X177" i="517" s="1"/>
  <c r="M177" i="517"/>
  <c r="H177" i="517"/>
  <c r="W176" i="517"/>
  <c r="R176" i="517"/>
  <c r="X176" i="517" s="1"/>
  <c r="M176" i="517"/>
  <c r="H176" i="517"/>
  <c r="Y175" i="517"/>
  <c r="V175" i="517"/>
  <c r="U175" i="517"/>
  <c r="U178" i="517" s="1"/>
  <c r="T175" i="517"/>
  <c r="T178" i="517" s="1"/>
  <c r="S175" i="517"/>
  <c r="S178" i="517" s="1"/>
  <c r="Q175" i="517"/>
  <c r="P175" i="517"/>
  <c r="O175" i="517"/>
  <c r="N175" i="517"/>
  <c r="L175" i="517"/>
  <c r="L178" i="517" s="1"/>
  <c r="K175" i="517"/>
  <c r="K178" i="517" s="1"/>
  <c r="J175" i="517"/>
  <c r="J178" i="517" s="1"/>
  <c r="I175" i="517"/>
  <c r="G175" i="517"/>
  <c r="F175" i="517"/>
  <c r="E175" i="517"/>
  <c r="E178" i="517" s="1"/>
  <c r="D175" i="517"/>
  <c r="D178" i="517" s="1"/>
  <c r="C175" i="517"/>
  <c r="C178" i="517" s="1"/>
  <c r="B175" i="517"/>
  <c r="B178" i="517" s="1"/>
  <c r="W174" i="517"/>
  <c r="W175" i="517" s="1"/>
  <c r="W178" i="517" s="1"/>
  <c r="R174" i="517"/>
  <c r="X174" i="517" s="1"/>
  <c r="X175" i="517" s="1"/>
  <c r="M174" i="517"/>
  <c r="M175" i="517" s="1"/>
  <c r="M178" i="517" s="1"/>
  <c r="H174" i="517"/>
  <c r="Z174" i="517" s="1"/>
  <c r="Z175" i="517" s="1"/>
  <c r="Z172" i="517"/>
  <c r="X172" i="517"/>
  <c r="W172" i="517"/>
  <c r="R172" i="517"/>
  <c r="M172" i="517"/>
  <c r="H172" i="517"/>
  <c r="P170" i="517"/>
  <c r="P179" i="517" s="1"/>
  <c r="O170" i="517"/>
  <c r="O179" i="517" s="1"/>
  <c r="J170" i="517"/>
  <c r="H170" i="517"/>
  <c r="G170" i="517"/>
  <c r="G179" i="517" s="1"/>
  <c r="B170" i="517"/>
  <c r="B179" i="517" s="1"/>
  <c r="Y169" i="517"/>
  <c r="Y170" i="517" s="1"/>
  <c r="Y179" i="517" s="1"/>
  <c r="V169" i="517"/>
  <c r="V170" i="517" s="1"/>
  <c r="V179" i="517" s="1"/>
  <c r="U169" i="517"/>
  <c r="U170" i="517" s="1"/>
  <c r="U179" i="517" s="1"/>
  <c r="T169" i="517"/>
  <c r="T170" i="517" s="1"/>
  <c r="T179" i="517" s="1"/>
  <c r="S169" i="517"/>
  <c r="S170" i="517" s="1"/>
  <c r="Q169" i="517"/>
  <c r="Q170" i="517" s="1"/>
  <c r="Q179" i="517" s="1"/>
  <c r="P169" i="517"/>
  <c r="O169" i="517"/>
  <c r="N169" i="517"/>
  <c r="N170" i="517" s="1"/>
  <c r="N179" i="517" s="1"/>
  <c r="L169" i="517"/>
  <c r="L170" i="517" s="1"/>
  <c r="L179" i="517" s="1"/>
  <c r="K169" i="517"/>
  <c r="K170" i="517" s="1"/>
  <c r="K179" i="517" s="1"/>
  <c r="J169" i="517"/>
  <c r="I169" i="517"/>
  <c r="I170" i="517" s="1"/>
  <c r="I179" i="517" s="1"/>
  <c r="H169" i="517"/>
  <c r="G169" i="517"/>
  <c r="F169" i="517"/>
  <c r="F170" i="517" s="1"/>
  <c r="F179" i="517" s="1"/>
  <c r="E169" i="517"/>
  <c r="E170" i="517" s="1"/>
  <c r="E179" i="517" s="1"/>
  <c r="D169" i="517"/>
  <c r="D170" i="517" s="1"/>
  <c r="D179" i="517" s="1"/>
  <c r="C169" i="517"/>
  <c r="C170" i="517" s="1"/>
  <c r="C179" i="517" s="1"/>
  <c r="B169" i="517"/>
  <c r="Z168" i="517"/>
  <c r="X168" i="517"/>
  <c r="W168" i="517"/>
  <c r="R168" i="517"/>
  <c r="M168" i="517"/>
  <c r="H168" i="517"/>
  <c r="W167" i="517"/>
  <c r="W169" i="517" s="1"/>
  <c r="W170" i="517" s="1"/>
  <c r="W179" i="517" s="1"/>
  <c r="R167" i="517"/>
  <c r="R169" i="517" s="1"/>
  <c r="R170" i="517" s="1"/>
  <c r="M167" i="517"/>
  <c r="M169" i="517" s="1"/>
  <c r="M170" i="517" s="1"/>
  <c r="H167" i="517"/>
  <c r="S161" i="517"/>
  <c r="P161" i="517"/>
  <c r="K161" i="517"/>
  <c r="J161" i="517"/>
  <c r="C161" i="517"/>
  <c r="B161" i="517"/>
  <c r="Y160" i="517"/>
  <c r="V160" i="517"/>
  <c r="U160" i="517"/>
  <c r="T160" i="517"/>
  <c r="S160" i="517"/>
  <c r="Q160" i="517"/>
  <c r="P160" i="517"/>
  <c r="O160" i="517"/>
  <c r="N160" i="517"/>
  <c r="L160" i="517"/>
  <c r="K160" i="517"/>
  <c r="J160" i="517"/>
  <c r="I160" i="517"/>
  <c r="G160" i="517"/>
  <c r="F160" i="517"/>
  <c r="E160" i="517"/>
  <c r="D160" i="517"/>
  <c r="C160" i="517"/>
  <c r="B160" i="517"/>
  <c r="X159" i="517"/>
  <c r="W159" i="517"/>
  <c r="R159" i="517"/>
  <c r="M159" i="517"/>
  <c r="H159" i="517"/>
  <c r="W158" i="517"/>
  <c r="W160" i="517" s="1"/>
  <c r="R158" i="517"/>
  <c r="R160" i="517" s="1"/>
  <c r="M158" i="517"/>
  <c r="M160" i="517" s="1"/>
  <c r="H158" i="517"/>
  <c r="Y156" i="517"/>
  <c r="Y161" i="517" s="1"/>
  <c r="V156" i="517"/>
  <c r="V161" i="517" s="1"/>
  <c r="U156" i="517"/>
  <c r="U161" i="517" s="1"/>
  <c r="T156" i="517"/>
  <c r="T161" i="517" s="1"/>
  <c r="S156" i="517"/>
  <c r="Q156" i="517"/>
  <c r="Q161" i="517" s="1"/>
  <c r="P156" i="517"/>
  <c r="O156" i="517"/>
  <c r="O161" i="517" s="1"/>
  <c r="N156" i="517"/>
  <c r="N161" i="517" s="1"/>
  <c r="L156" i="517"/>
  <c r="L161" i="517" s="1"/>
  <c r="K156" i="517"/>
  <c r="J156" i="517"/>
  <c r="I156" i="517"/>
  <c r="I161" i="517" s="1"/>
  <c r="G156" i="517"/>
  <c r="G161" i="517" s="1"/>
  <c r="F156" i="517"/>
  <c r="F161" i="517" s="1"/>
  <c r="E156" i="517"/>
  <c r="E161" i="517" s="1"/>
  <c r="D156" i="517"/>
  <c r="D161" i="517" s="1"/>
  <c r="C156" i="517"/>
  <c r="B156" i="517"/>
  <c r="Z155" i="517"/>
  <c r="W155" i="517"/>
  <c r="R155" i="517"/>
  <c r="X155" i="517" s="1"/>
  <c r="M155" i="517"/>
  <c r="M156" i="517" s="1"/>
  <c r="H155" i="517"/>
  <c r="W154" i="517"/>
  <c r="W156" i="517" s="1"/>
  <c r="R154" i="517"/>
  <c r="R156" i="517" s="1"/>
  <c r="M154" i="517"/>
  <c r="H154" i="517"/>
  <c r="W152" i="517"/>
  <c r="X152" i="517" s="1"/>
  <c r="R152" i="517"/>
  <c r="M152" i="517"/>
  <c r="H152" i="517"/>
  <c r="X151" i="517"/>
  <c r="Z151" i="517" s="1"/>
  <c r="W151" i="517"/>
  <c r="R151" i="517"/>
  <c r="M151" i="517"/>
  <c r="H151" i="517"/>
  <c r="Z150" i="517"/>
  <c r="W150" i="517"/>
  <c r="R150" i="517"/>
  <c r="X150" i="517" s="1"/>
  <c r="M150" i="517"/>
  <c r="H150" i="517"/>
  <c r="W149" i="517"/>
  <c r="R149" i="517"/>
  <c r="X149" i="517" s="1"/>
  <c r="M149" i="517"/>
  <c r="H149" i="517"/>
  <c r="W148" i="517"/>
  <c r="X148" i="517" s="1"/>
  <c r="R148" i="517"/>
  <c r="M148" i="517"/>
  <c r="H148" i="517"/>
  <c r="X147" i="517"/>
  <c r="Z147" i="517" s="1"/>
  <c r="W147" i="517"/>
  <c r="R147" i="517"/>
  <c r="M147" i="517"/>
  <c r="H147" i="517"/>
  <c r="W146" i="517"/>
  <c r="R146" i="517"/>
  <c r="X146" i="517" s="1"/>
  <c r="Z146" i="517" s="1"/>
  <c r="M146" i="517"/>
  <c r="H146" i="517"/>
  <c r="W145" i="517"/>
  <c r="R145" i="517"/>
  <c r="X145" i="517" s="1"/>
  <c r="M145" i="517"/>
  <c r="H145" i="517"/>
  <c r="W144" i="517"/>
  <c r="R144" i="517"/>
  <c r="X144" i="517" s="1"/>
  <c r="M144" i="517"/>
  <c r="H144" i="517"/>
  <c r="Z144" i="517" s="1"/>
  <c r="X143" i="517"/>
  <c r="W143" i="517"/>
  <c r="R143" i="517"/>
  <c r="M143" i="517"/>
  <c r="Z143" i="517" s="1"/>
  <c r="H143" i="517"/>
  <c r="W142" i="517"/>
  <c r="R142" i="517"/>
  <c r="X142" i="517" s="1"/>
  <c r="Z142" i="517" s="1"/>
  <c r="M142" i="517"/>
  <c r="H142" i="517"/>
  <c r="W141" i="517"/>
  <c r="R141" i="517"/>
  <c r="M141" i="517"/>
  <c r="H141" i="517"/>
  <c r="W140" i="517"/>
  <c r="R140" i="517"/>
  <c r="X140" i="517" s="1"/>
  <c r="M140" i="517"/>
  <c r="H140" i="517"/>
  <c r="X139" i="517"/>
  <c r="W139" i="517"/>
  <c r="R139" i="517"/>
  <c r="M139" i="517"/>
  <c r="Z139" i="517" s="1"/>
  <c r="H139" i="517"/>
  <c r="Z138" i="517"/>
  <c r="W138" i="517"/>
  <c r="R138" i="517"/>
  <c r="X138" i="517" s="1"/>
  <c r="M138" i="517"/>
  <c r="H138" i="517"/>
  <c r="W137" i="517"/>
  <c r="R137" i="517"/>
  <c r="X137" i="517" s="1"/>
  <c r="M137" i="517"/>
  <c r="M161" i="517" s="1"/>
  <c r="H137" i="517"/>
  <c r="Z137" i="517" s="1"/>
  <c r="Y134" i="517"/>
  <c r="V134" i="517"/>
  <c r="U134" i="517"/>
  <c r="T134" i="517"/>
  <c r="S134" i="517"/>
  <c r="Q134" i="517"/>
  <c r="P134" i="517"/>
  <c r="O134" i="517"/>
  <c r="N134" i="517"/>
  <c r="L134" i="517"/>
  <c r="K134" i="517"/>
  <c r="J134" i="517"/>
  <c r="I134" i="517"/>
  <c r="G134" i="517"/>
  <c r="F134" i="517"/>
  <c r="E134" i="517"/>
  <c r="D134" i="517"/>
  <c r="C134" i="517"/>
  <c r="B134" i="517"/>
  <c r="W133" i="517"/>
  <c r="W134" i="517" s="1"/>
  <c r="R133" i="517"/>
  <c r="M133" i="517"/>
  <c r="H133" i="517"/>
  <c r="W132" i="517"/>
  <c r="R132" i="517"/>
  <c r="X132" i="517" s="1"/>
  <c r="M132" i="517"/>
  <c r="H132" i="517"/>
  <c r="X131" i="517"/>
  <c r="Z131" i="517" s="1"/>
  <c r="W131" i="517"/>
  <c r="R131" i="517"/>
  <c r="M131" i="517"/>
  <c r="H131" i="517"/>
  <c r="W130" i="517"/>
  <c r="R130" i="517"/>
  <c r="R134" i="517" s="1"/>
  <c r="M130" i="517"/>
  <c r="M134" i="517" s="1"/>
  <c r="H130" i="517"/>
  <c r="H134" i="517" s="1"/>
  <c r="U128" i="517"/>
  <c r="P128" i="517"/>
  <c r="O128" i="517"/>
  <c r="G128" i="517"/>
  <c r="E128" i="517"/>
  <c r="Y127" i="517"/>
  <c r="Y128" i="517" s="1"/>
  <c r="V127" i="517"/>
  <c r="V128" i="517" s="1"/>
  <c r="U127" i="517"/>
  <c r="T127" i="517"/>
  <c r="T128" i="517" s="1"/>
  <c r="S127" i="517"/>
  <c r="S128" i="517" s="1"/>
  <c r="Q127" i="517"/>
  <c r="Q128" i="517" s="1"/>
  <c r="P127" i="517"/>
  <c r="O127" i="517"/>
  <c r="N127" i="517"/>
  <c r="N128" i="517" s="1"/>
  <c r="L127" i="517"/>
  <c r="L128" i="517" s="1"/>
  <c r="K127" i="517"/>
  <c r="K128" i="517" s="1"/>
  <c r="J127" i="517"/>
  <c r="J128" i="517" s="1"/>
  <c r="I127" i="517"/>
  <c r="I128" i="517" s="1"/>
  <c r="G127" i="517"/>
  <c r="F127" i="517"/>
  <c r="F128" i="517" s="1"/>
  <c r="E127" i="517"/>
  <c r="D127" i="517"/>
  <c r="D128" i="517" s="1"/>
  <c r="C127" i="517"/>
  <c r="C128" i="517" s="1"/>
  <c r="B127" i="517"/>
  <c r="B128" i="517" s="1"/>
  <c r="W126" i="517"/>
  <c r="R126" i="517"/>
  <c r="X126" i="517" s="1"/>
  <c r="Z126" i="517" s="1"/>
  <c r="M126" i="517"/>
  <c r="H126" i="517"/>
  <c r="W125" i="517"/>
  <c r="W127" i="517" s="1"/>
  <c r="R125" i="517"/>
  <c r="R127" i="517" s="1"/>
  <c r="M125" i="517"/>
  <c r="M127" i="517" s="1"/>
  <c r="H125" i="517"/>
  <c r="W123" i="517"/>
  <c r="R123" i="517"/>
  <c r="X123" i="517" s="1"/>
  <c r="M123" i="517"/>
  <c r="H123" i="517"/>
  <c r="Z123" i="517" s="1"/>
  <c r="X122" i="517"/>
  <c r="W122" i="517"/>
  <c r="R122" i="517"/>
  <c r="M122" i="517"/>
  <c r="H122" i="517"/>
  <c r="Z122" i="517" s="1"/>
  <c r="W121" i="517"/>
  <c r="R121" i="517"/>
  <c r="X121" i="517" s="1"/>
  <c r="Z121" i="517" s="1"/>
  <c r="M121" i="517"/>
  <c r="H121" i="517"/>
  <c r="W120" i="517"/>
  <c r="R120" i="517"/>
  <c r="M120" i="517"/>
  <c r="H120" i="517"/>
  <c r="W119" i="517"/>
  <c r="R119" i="517"/>
  <c r="X119" i="517" s="1"/>
  <c r="M119" i="517"/>
  <c r="H119" i="517"/>
  <c r="X118" i="517"/>
  <c r="W118" i="517"/>
  <c r="R118" i="517"/>
  <c r="M118" i="517"/>
  <c r="H118" i="517"/>
  <c r="Z118" i="517" s="1"/>
  <c r="Z117" i="517"/>
  <c r="W117" i="517"/>
  <c r="R117" i="517"/>
  <c r="X117" i="517" s="1"/>
  <c r="M117" i="517"/>
  <c r="H117" i="517"/>
  <c r="W116" i="517"/>
  <c r="R116" i="517"/>
  <c r="X116" i="517" s="1"/>
  <c r="M116" i="517"/>
  <c r="H116" i="517"/>
  <c r="Z116" i="517" s="1"/>
  <c r="W115" i="517"/>
  <c r="R115" i="517"/>
  <c r="X115" i="517" s="1"/>
  <c r="M115" i="517"/>
  <c r="H115" i="517"/>
  <c r="X114" i="517"/>
  <c r="W114" i="517"/>
  <c r="R114" i="517"/>
  <c r="M114" i="517"/>
  <c r="H114" i="517"/>
  <c r="Z114" i="517" s="1"/>
  <c r="Z113" i="517"/>
  <c r="W113" i="517"/>
  <c r="R113" i="517"/>
  <c r="X113" i="517" s="1"/>
  <c r="M113" i="517"/>
  <c r="H113" i="517"/>
  <c r="W112" i="517"/>
  <c r="R112" i="517"/>
  <c r="X112" i="517" s="1"/>
  <c r="M112" i="517"/>
  <c r="H112" i="517"/>
  <c r="W111" i="517"/>
  <c r="R111" i="517"/>
  <c r="X111" i="517" s="1"/>
  <c r="M111" i="517"/>
  <c r="H111" i="517"/>
  <c r="Z111" i="517" s="1"/>
  <c r="X110" i="517"/>
  <c r="W110" i="517"/>
  <c r="R110" i="517"/>
  <c r="M110" i="517"/>
  <c r="H110" i="517"/>
  <c r="Z110" i="517" s="1"/>
  <c r="W109" i="517"/>
  <c r="R109" i="517"/>
  <c r="M109" i="517"/>
  <c r="H109" i="517"/>
  <c r="Y107" i="517"/>
  <c r="V107" i="517"/>
  <c r="U107" i="517"/>
  <c r="T107" i="517"/>
  <c r="S107" i="517"/>
  <c r="Q107" i="517"/>
  <c r="P107" i="517"/>
  <c r="O107" i="517"/>
  <c r="N107" i="517"/>
  <c r="L107" i="517"/>
  <c r="K107" i="517"/>
  <c r="J107" i="517"/>
  <c r="I107" i="517"/>
  <c r="H107" i="517"/>
  <c r="G107" i="517"/>
  <c r="F107" i="517"/>
  <c r="E107" i="517"/>
  <c r="D107" i="517"/>
  <c r="C107" i="517"/>
  <c r="B107" i="517"/>
  <c r="X106" i="517"/>
  <c r="W106" i="517"/>
  <c r="W107" i="517" s="1"/>
  <c r="R106" i="517"/>
  <c r="M106" i="517"/>
  <c r="M107" i="517" s="1"/>
  <c r="H106" i="517"/>
  <c r="Z106" i="517" s="1"/>
  <c r="W105" i="517"/>
  <c r="R105" i="517"/>
  <c r="M105" i="517"/>
  <c r="H105" i="517"/>
  <c r="Y103" i="517"/>
  <c r="V103" i="517"/>
  <c r="U103" i="517"/>
  <c r="T103" i="517"/>
  <c r="S103" i="517"/>
  <c r="R103" i="517"/>
  <c r="Q103" i="517"/>
  <c r="P103" i="517"/>
  <c r="O103" i="517"/>
  <c r="N103" i="517"/>
  <c r="L103" i="517"/>
  <c r="K103" i="517"/>
  <c r="J103" i="517"/>
  <c r="I103" i="517"/>
  <c r="G103" i="517"/>
  <c r="F103" i="517"/>
  <c r="E103" i="517"/>
  <c r="D103" i="517"/>
  <c r="C103" i="517"/>
  <c r="B103" i="517"/>
  <c r="W102" i="517"/>
  <c r="W103" i="517" s="1"/>
  <c r="R102" i="517"/>
  <c r="X102" i="517" s="1"/>
  <c r="X103" i="517" s="1"/>
  <c r="M102" i="517"/>
  <c r="M103" i="517" s="1"/>
  <c r="H102" i="517"/>
  <c r="H103" i="517" s="1"/>
  <c r="Y100" i="517"/>
  <c r="V100" i="517"/>
  <c r="U100" i="517"/>
  <c r="T100" i="517"/>
  <c r="S100" i="517"/>
  <c r="Q100" i="517"/>
  <c r="P100" i="517"/>
  <c r="O100" i="517"/>
  <c r="N100" i="517"/>
  <c r="L100" i="517"/>
  <c r="K100" i="517"/>
  <c r="J100" i="517"/>
  <c r="I100" i="517"/>
  <c r="G100" i="517"/>
  <c r="F100" i="517"/>
  <c r="E100" i="517"/>
  <c r="D100" i="517"/>
  <c r="C100" i="517"/>
  <c r="B100" i="517"/>
  <c r="X99" i="517"/>
  <c r="W99" i="517"/>
  <c r="R99" i="517"/>
  <c r="M99" i="517"/>
  <c r="H99" i="517"/>
  <c r="Z99" i="517" s="1"/>
  <c r="W98" i="517"/>
  <c r="R98" i="517"/>
  <c r="M98" i="517"/>
  <c r="H98" i="517"/>
  <c r="X97" i="517"/>
  <c r="W97" i="517"/>
  <c r="R97" i="517"/>
  <c r="M97" i="517"/>
  <c r="H97" i="517"/>
  <c r="Z97" i="517" s="1"/>
  <c r="W96" i="517"/>
  <c r="R96" i="517"/>
  <c r="X96" i="517" s="1"/>
  <c r="M96" i="517"/>
  <c r="H96" i="517"/>
  <c r="Z96" i="517" s="1"/>
  <c r="Z95" i="517"/>
  <c r="X95" i="517"/>
  <c r="W95" i="517"/>
  <c r="R95" i="517"/>
  <c r="M95" i="517"/>
  <c r="H95" i="517"/>
  <c r="W94" i="517"/>
  <c r="R94" i="517"/>
  <c r="X94" i="517" s="1"/>
  <c r="Z94" i="517" s="1"/>
  <c r="M94" i="517"/>
  <c r="H94" i="517"/>
  <c r="W93" i="517"/>
  <c r="X93" i="517" s="1"/>
  <c r="R93" i="517"/>
  <c r="M93" i="517"/>
  <c r="H93" i="517"/>
  <c r="W92" i="517"/>
  <c r="R92" i="517"/>
  <c r="X92" i="517" s="1"/>
  <c r="M92" i="517"/>
  <c r="H92" i="517"/>
  <c r="X91" i="517"/>
  <c r="W91" i="517"/>
  <c r="R91" i="517"/>
  <c r="M91" i="517"/>
  <c r="H91" i="517"/>
  <c r="Z91" i="517" s="1"/>
  <c r="W90" i="517"/>
  <c r="R90" i="517"/>
  <c r="X90" i="517" s="1"/>
  <c r="Z90" i="517" s="1"/>
  <c r="M90" i="517"/>
  <c r="H90" i="517"/>
  <c r="W89" i="517"/>
  <c r="X89" i="517" s="1"/>
  <c r="R89" i="517"/>
  <c r="M89" i="517"/>
  <c r="H89" i="517"/>
  <c r="W88" i="517"/>
  <c r="W100" i="517" s="1"/>
  <c r="R88" i="517"/>
  <c r="M88" i="517"/>
  <c r="H88" i="517"/>
  <c r="Y86" i="517"/>
  <c r="V86" i="517"/>
  <c r="U86" i="517"/>
  <c r="T86" i="517"/>
  <c r="S86" i="517"/>
  <c r="Q86" i="517"/>
  <c r="P86" i="517"/>
  <c r="O86" i="517"/>
  <c r="N86" i="517"/>
  <c r="L86" i="517"/>
  <c r="K86" i="517"/>
  <c r="J86" i="517"/>
  <c r="I86" i="517"/>
  <c r="G86" i="517"/>
  <c r="F86" i="517"/>
  <c r="E86" i="517"/>
  <c r="D86" i="517"/>
  <c r="C86" i="517"/>
  <c r="B86" i="517"/>
  <c r="W85" i="517"/>
  <c r="R85" i="517"/>
  <c r="X85" i="517" s="1"/>
  <c r="M85" i="517"/>
  <c r="H85" i="517"/>
  <c r="Z85" i="517" s="1"/>
  <c r="X84" i="517"/>
  <c r="W84" i="517"/>
  <c r="R84" i="517"/>
  <c r="M84" i="517"/>
  <c r="H84" i="517"/>
  <c r="Z84" i="517" s="1"/>
  <c r="X83" i="517"/>
  <c r="Z83" i="517" s="1"/>
  <c r="W83" i="517"/>
  <c r="R83" i="517"/>
  <c r="M83" i="517"/>
  <c r="H83" i="517"/>
  <c r="W82" i="517"/>
  <c r="R82" i="517"/>
  <c r="X82" i="517" s="1"/>
  <c r="M82" i="517"/>
  <c r="H82" i="517"/>
  <c r="Z82" i="517" s="1"/>
  <c r="W81" i="517"/>
  <c r="W86" i="517" s="1"/>
  <c r="R81" i="517"/>
  <c r="X81" i="517" s="1"/>
  <c r="M81" i="517"/>
  <c r="M86" i="517" s="1"/>
  <c r="H81" i="517"/>
  <c r="Y79" i="517"/>
  <c r="V79" i="517"/>
  <c r="U79" i="517"/>
  <c r="T79" i="517"/>
  <c r="S79" i="517"/>
  <c r="Q79" i="517"/>
  <c r="P79" i="517"/>
  <c r="O79" i="517"/>
  <c r="N79" i="517"/>
  <c r="L79" i="517"/>
  <c r="K79" i="517"/>
  <c r="J79" i="517"/>
  <c r="I79" i="517"/>
  <c r="G79" i="517"/>
  <c r="F79" i="517"/>
  <c r="E79" i="517"/>
  <c r="D79" i="517"/>
  <c r="C79" i="517"/>
  <c r="B79" i="517"/>
  <c r="Z78" i="517"/>
  <c r="X78" i="517"/>
  <c r="W78" i="517"/>
  <c r="R78" i="517"/>
  <c r="M78" i="517"/>
  <c r="H78" i="517"/>
  <c r="W77" i="517"/>
  <c r="R77" i="517"/>
  <c r="X77" i="517" s="1"/>
  <c r="Z77" i="517" s="1"/>
  <c r="M77" i="517"/>
  <c r="H77" i="517"/>
  <c r="W76" i="517"/>
  <c r="X76" i="517" s="1"/>
  <c r="R76" i="517"/>
  <c r="M76" i="517"/>
  <c r="H76" i="517"/>
  <c r="W75" i="517"/>
  <c r="R75" i="517"/>
  <c r="X75" i="517" s="1"/>
  <c r="M75" i="517"/>
  <c r="H75" i="517"/>
  <c r="X74" i="517"/>
  <c r="W74" i="517"/>
  <c r="R74" i="517"/>
  <c r="M74" i="517"/>
  <c r="M79" i="517" s="1"/>
  <c r="H74" i="517"/>
  <c r="H79" i="517" s="1"/>
  <c r="Y72" i="517"/>
  <c r="V72" i="517"/>
  <c r="U72" i="517"/>
  <c r="T72" i="517"/>
  <c r="S72" i="517"/>
  <c r="Q72" i="517"/>
  <c r="P72" i="517"/>
  <c r="O72" i="517"/>
  <c r="N72" i="517"/>
  <c r="L72" i="517"/>
  <c r="K72" i="517"/>
  <c r="J72" i="517"/>
  <c r="I72" i="517"/>
  <c r="G72" i="517"/>
  <c r="F72" i="517"/>
  <c r="E72" i="517"/>
  <c r="D72" i="517"/>
  <c r="C72" i="517"/>
  <c r="B72" i="517"/>
  <c r="X71" i="517"/>
  <c r="W71" i="517"/>
  <c r="R71" i="517"/>
  <c r="M71" i="517"/>
  <c r="H71" i="517"/>
  <c r="W70" i="517"/>
  <c r="R70" i="517"/>
  <c r="R72" i="517" s="1"/>
  <c r="M70" i="517"/>
  <c r="H70" i="517"/>
  <c r="W69" i="517"/>
  <c r="R69" i="517"/>
  <c r="M69" i="517"/>
  <c r="H69" i="517"/>
  <c r="W68" i="517"/>
  <c r="R68" i="517"/>
  <c r="X68" i="517" s="1"/>
  <c r="M68" i="517"/>
  <c r="H68" i="517"/>
  <c r="X67" i="517"/>
  <c r="W67" i="517"/>
  <c r="R67" i="517"/>
  <c r="M67" i="517"/>
  <c r="H67" i="517"/>
  <c r="W66" i="517"/>
  <c r="R66" i="517"/>
  <c r="X66" i="517" s="1"/>
  <c r="Z66" i="517" s="1"/>
  <c r="M66" i="517"/>
  <c r="H66" i="517"/>
  <c r="W65" i="517"/>
  <c r="R65" i="517"/>
  <c r="X65" i="517" s="1"/>
  <c r="M65" i="517"/>
  <c r="H65" i="517"/>
  <c r="W64" i="517"/>
  <c r="R64" i="517"/>
  <c r="X64" i="517" s="1"/>
  <c r="M64" i="517"/>
  <c r="H64" i="517"/>
  <c r="X63" i="517"/>
  <c r="W63" i="517"/>
  <c r="R63" i="517"/>
  <c r="M63" i="517"/>
  <c r="H63" i="517"/>
  <c r="Z63" i="517" s="1"/>
  <c r="Y61" i="517"/>
  <c r="V61" i="517"/>
  <c r="U61" i="517"/>
  <c r="T61" i="517"/>
  <c r="S61" i="517"/>
  <c r="R61" i="517"/>
  <c r="Q61" i="517"/>
  <c r="P61" i="517"/>
  <c r="O61" i="517"/>
  <c r="N61" i="517"/>
  <c r="L61" i="517"/>
  <c r="K61" i="517"/>
  <c r="J61" i="517"/>
  <c r="I61" i="517"/>
  <c r="G61" i="517"/>
  <c r="F61" i="517"/>
  <c r="E61" i="517"/>
  <c r="D61" i="517"/>
  <c r="C61" i="517"/>
  <c r="B61" i="517"/>
  <c r="W60" i="517"/>
  <c r="X60" i="517" s="1"/>
  <c r="Z60" i="517" s="1"/>
  <c r="R60" i="517"/>
  <c r="M60" i="517"/>
  <c r="H60" i="517"/>
  <c r="W59" i="517"/>
  <c r="W61" i="517" s="1"/>
  <c r="R59" i="517"/>
  <c r="M59" i="517"/>
  <c r="M61" i="517" s="1"/>
  <c r="H59" i="517"/>
  <c r="Y57" i="517"/>
  <c r="V57" i="517"/>
  <c r="V135" i="517" s="1"/>
  <c r="V162" i="517" s="1"/>
  <c r="U57" i="517"/>
  <c r="T57" i="517"/>
  <c r="S57" i="517"/>
  <c r="Q57" i="517"/>
  <c r="P57" i="517"/>
  <c r="O57" i="517"/>
  <c r="N57" i="517"/>
  <c r="N135" i="517" s="1"/>
  <c r="N162" i="517" s="1"/>
  <c r="L57" i="517"/>
  <c r="K57" i="517"/>
  <c r="J57" i="517"/>
  <c r="I57" i="517"/>
  <c r="G57" i="517"/>
  <c r="F57" i="517"/>
  <c r="F135" i="517" s="1"/>
  <c r="F162" i="517" s="1"/>
  <c r="E57" i="517"/>
  <c r="D57" i="517"/>
  <c r="C57" i="517"/>
  <c r="B57" i="517"/>
  <c r="W56" i="517"/>
  <c r="W57" i="517" s="1"/>
  <c r="R56" i="517"/>
  <c r="X56" i="517" s="1"/>
  <c r="M56" i="517"/>
  <c r="H56" i="517"/>
  <c r="W55" i="517"/>
  <c r="R55" i="517"/>
  <c r="M55" i="517"/>
  <c r="M57" i="517" s="1"/>
  <c r="H55" i="517"/>
  <c r="Y53" i="517"/>
  <c r="V53" i="517"/>
  <c r="U53" i="517"/>
  <c r="T53" i="517"/>
  <c r="S53" i="517"/>
  <c r="Q53" i="517"/>
  <c r="P53" i="517"/>
  <c r="O53" i="517"/>
  <c r="N53" i="517"/>
  <c r="L53" i="517"/>
  <c r="K53" i="517"/>
  <c r="J53" i="517"/>
  <c r="I53" i="517"/>
  <c r="G53" i="517"/>
  <c r="F53" i="517"/>
  <c r="E53" i="517"/>
  <c r="D53" i="517"/>
  <c r="C53" i="517"/>
  <c r="B53" i="517"/>
  <c r="Z52" i="517"/>
  <c r="W52" i="517"/>
  <c r="R52" i="517"/>
  <c r="X52" i="517" s="1"/>
  <c r="M52" i="517"/>
  <c r="H52" i="517"/>
  <c r="W51" i="517"/>
  <c r="X51" i="517" s="1"/>
  <c r="Z51" i="517" s="1"/>
  <c r="R51" i="517"/>
  <c r="M51" i="517"/>
  <c r="H51" i="517"/>
  <c r="W50" i="517"/>
  <c r="X50" i="517" s="1"/>
  <c r="R50" i="517"/>
  <c r="M50" i="517"/>
  <c r="H50" i="517"/>
  <c r="W49" i="517"/>
  <c r="R49" i="517"/>
  <c r="M49" i="517"/>
  <c r="M53" i="517" s="1"/>
  <c r="H49" i="517"/>
  <c r="Y47" i="517"/>
  <c r="V47" i="517"/>
  <c r="U47" i="517"/>
  <c r="U135" i="517" s="1"/>
  <c r="U162" i="517" s="1"/>
  <c r="T47" i="517"/>
  <c r="S47" i="517"/>
  <c r="Q47" i="517"/>
  <c r="P47" i="517"/>
  <c r="O47" i="517"/>
  <c r="N47" i="517"/>
  <c r="M47" i="517"/>
  <c r="L47" i="517"/>
  <c r="K47" i="517"/>
  <c r="K135" i="517" s="1"/>
  <c r="K162" i="517" s="1"/>
  <c r="J47" i="517"/>
  <c r="J135" i="517" s="1"/>
  <c r="J162" i="517" s="1"/>
  <c r="I47" i="517"/>
  <c r="G47" i="517"/>
  <c r="F47" i="517"/>
  <c r="E47" i="517"/>
  <c r="E135" i="517" s="1"/>
  <c r="E162" i="517" s="1"/>
  <c r="D47" i="517"/>
  <c r="D135" i="517" s="1"/>
  <c r="D162" i="517" s="1"/>
  <c r="C47" i="517"/>
  <c r="B47" i="517"/>
  <c r="W46" i="517"/>
  <c r="R46" i="517"/>
  <c r="X46" i="517" s="1"/>
  <c r="M46" i="517"/>
  <c r="H46" i="517"/>
  <c r="X45" i="517"/>
  <c r="W45" i="517"/>
  <c r="R45" i="517"/>
  <c r="M45" i="517"/>
  <c r="H45" i="517"/>
  <c r="Z45" i="517" s="1"/>
  <c r="W44" i="517"/>
  <c r="R44" i="517"/>
  <c r="X44" i="517" s="1"/>
  <c r="Z44" i="517" s="1"/>
  <c r="M44" i="517"/>
  <c r="H44" i="517"/>
  <c r="W43" i="517"/>
  <c r="W47" i="517" s="1"/>
  <c r="R43" i="517"/>
  <c r="X43" i="517" s="1"/>
  <c r="M43" i="517"/>
  <c r="H43" i="517"/>
  <c r="W41" i="517"/>
  <c r="R41" i="517"/>
  <c r="X41" i="517" s="1"/>
  <c r="M41" i="517"/>
  <c r="H41" i="517"/>
  <c r="L37" i="517"/>
  <c r="S36" i="517"/>
  <c r="S37" i="517" s="1"/>
  <c r="N36" i="517"/>
  <c r="N37" i="517" s="1"/>
  <c r="K36" i="517"/>
  <c r="K37" i="517" s="1"/>
  <c r="F36" i="517"/>
  <c r="F37" i="517" s="1"/>
  <c r="C36" i="517"/>
  <c r="C37" i="517" s="1"/>
  <c r="V35" i="517"/>
  <c r="V36" i="517" s="1"/>
  <c r="V37" i="517" s="1"/>
  <c r="T35" i="517"/>
  <c r="T36" i="517" s="1"/>
  <c r="T37" i="517" s="1"/>
  <c r="N35" i="517"/>
  <c r="L35" i="517"/>
  <c r="L36" i="517" s="1"/>
  <c r="F35" i="517"/>
  <c r="D35" i="517"/>
  <c r="D36" i="517" s="1"/>
  <c r="D37" i="517" s="1"/>
  <c r="Y34" i="517"/>
  <c r="Y35" i="517" s="1"/>
  <c r="Y36" i="517" s="1"/>
  <c r="Y37" i="517" s="1"/>
  <c r="V34" i="517"/>
  <c r="U34" i="517"/>
  <c r="U35" i="517" s="1"/>
  <c r="U36" i="517" s="1"/>
  <c r="U37" i="517" s="1"/>
  <c r="T34" i="517"/>
  <c r="S34" i="517"/>
  <c r="S35" i="517" s="1"/>
  <c r="Q34" i="517"/>
  <c r="Q35" i="517" s="1"/>
  <c r="Q36" i="517" s="1"/>
  <c r="Q37" i="517" s="1"/>
  <c r="P34" i="517"/>
  <c r="P35" i="517" s="1"/>
  <c r="P36" i="517" s="1"/>
  <c r="P37" i="517" s="1"/>
  <c r="O34" i="517"/>
  <c r="O35" i="517" s="1"/>
  <c r="O36" i="517" s="1"/>
  <c r="O37" i="517" s="1"/>
  <c r="N34" i="517"/>
  <c r="M34" i="517"/>
  <c r="L34" i="517"/>
  <c r="K34" i="517"/>
  <c r="K35" i="517" s="1"/>
  <c r="J34" i="517"/>
  <c r="J35" i="517" s="1"/>
  <c r="J36" i="517" s="1"/>
  <c r="J37" i="517" s="1"/>
  <c r="I34" i="517"/>
  <c r="I35" i="517" s="1"/>
  <c r="I36" i="517" s="1"/>
  <c r="I37" i="517" s="1"/>
  <c r="H34" i="517"/>
  <c r="G34" i="517"/>
  <c r="G35" i="517" s="1"/>
  <c r="G36" i="517" s="1"/>
  <c r="G37" i="517" s="1"/>
  <c r="F34" i="517"/>
  <c r="E34" i="517"/>
  <c r="E35" i="517" s="1"/>
  <c r="E36" i="517" s="1"/>
  <c r="E37" i="517" s="1"/>
  <c r="D34" i="517"/>
  <c r="C34" i="517"/>
  <c r="C35" i="517" s="1"/>
  <c r="B34" i="517"/>
  <c r="B35" i="517" s="1"/>
  <c r="B36" i="517" s="1"/>
  <c r="B37" i="517" s="1"/>
  <c r="W33" i="517"/>
  <c r="W34" i="517" s="1"/>
  <c r="R33" i="517"/>
  <c r="M33" i="517"/>
  <c r="H33" i="517"/>
  <c r="W32" i="517"/>
  <c r="R32" i="517"/>
  <c r="M32" i="517"/>
  <c r="H32" i="517"/>
  <c r="W30" i="517"/>
  <c r="R30" i="517"/>
  <c r="X30" i="517" s="1"/>
  <c r="M30" i="517"/>
  <c r="H30" i="517"/>
  <c r="Z30" i="517" s="1"/>
  <c r="W29" i="517"/>
  <c r="R29" i="517"/>
  <c r="M29" i="517"/>
  <c r="H29" i="517"/>
  <c r="W28" i="517"/>
  <c r="X28" i="517" s="1"/>
  <c r="R28" i="517"/>
  <c r="M28" i="517"/>
  <c r="H28" i="517"/>
  <c r="W26" i="517"/>
  <c r="R26" i="517"/>
  <c r="X26" i="517" s="1"/>
  <c r="M26" i="517"/>
  <c r="H26" i="517"/>
  <c r="X25" i="517"/>
  <c r="W25" i="517"/>
  <c r="R25" i="517"/>
  <c r="M25" i="517"/>
  <c r="H25" i="517"/>
  <c r="Z25" i="517" s="1"/>
  <c r="Z24" i="517"/>
  <c r="W24" i="517"/>
  <c r="R24" i="517"/>
  <c r="X24" i="517" s="1"/>
  <c r="M24" i="517"/>
  <c r="H24" i="517"/>
  <c r="W23" i="517"/>
  <c r="X23" i="517" s="1"/>
  <c r="R23" i="517"/>
  <c r="M23" i="517"/>
  <c r="H23" i="517"/>
  <c r="W22" i="517"/>
  <c r="R22" i="517"/>
  <c r="M22" i="517"/>
  <c r="U19" i="517"/>
  <c r="P19" i="517"/>
  <c r="P38" i="517" s="1"/>
  <c r="K19" i="517"/>
  <c r="K38" i="517" s="1"/>
  <c r="K163" i="517" s="1"/>
  <c r="K180" i="517" s="1"/>
  <c r="E19" i="517"/>
  <c r="C19" i="517"/>
  <c r="C38" i="517" s="1"/>
  <c r="Y18" i="517"/>
  <c r="Y19" i="517" s="1"/>
  <c r="V18" i="517"/>
  <c r="V19" i="517" s="1"/>
  <c r="V38" i="517" s="1"/>
  <c r="V163" i="517" s="1"/>
  <c r="V180" i="517" s="1"/>
  <c r="U18" i="517"/>
  <c r="T18" i="517"/>
  <c r="T19" i="517" s="1"/>
  <c r="T38" i="517" s="1"/>
  <c r="S18" i="517"/>
  <c r="S19" i="517" s="1"/>
  <c r="Q18" i="517"/>
  <c r="Q19" i="517" s="1"/>
  <c r="Q38" i="517" s="1"/>
  <c r="P18" i="517"/>
  <c r="O18" i="517"/>
  <c r="O19" i="517" s="1"/>
  <c r="N18" i="517"/>
  <c r="N19" i="517" s="1"/>
  <c r="N38" i="517" s="1"/>
  <c r="N163" i="517" s="1"/>
  <c r="N180" i="517" s="1"/>
  <c r="L18" i="517"/>
  <c r="L19" i="517" s="1"/>
  <c r="K18" i="517"/>
  <c r="J18" i="517"/>
  <c r="J19" i="517" s="1"/>
  <c r="J38" i="517" s="1"/>
  <c r="J163" i="517" s="1"/>
  <c r="I18" i="517"/>
  <c r="I19" i="517" s="1"/>
  <c r="I38" i="517" s="1"/>
  <c r="F18" i="517"/>
  <c r="F19" i="517" s="1"/>
  <c r="F38" i="517" s="1"/>
  <c r="F163" i="517" s="1"/>
  <c r="F180" i="517" s="1"/>
  <c r="E18" i="517"/>
  <c r="D18" i="517"/>
  <c r="D19" i="517" s="1"/>
  <c r="C18" i="517"/>
  <c r="B18" i="517"/>
  <c r="B19" i="517" s="1"/>
  <c r="B38" i="517" s="1"/>
  <c r="W17" i="517"/>
  <c r="R17" i="517"/>
  <c r="X17" i="517" s="1"/>
  <c r="Z17" i="517" s="1"/>
  <c r="M17" i="517"/>
  <c r="H17" i="517"/>
  <c r="W16" i="517"/>
  <c r="R16" i="517"/>
  <c r="M16" i="517"/>
  <c r="H16" i="517"/>
  <c r="W15" i="517"/>
  <c r="R15" i="517"/>
  <c r="X15" i="517" s="1"/>
  <c r="M15" i="517"/>
  <c r="H15" i="517"/>
  <c r="W14" i="517"/>
  <c r="X14" i="517" s="1"/>
  <c r="R14" i="517"/>
  <c r="M14" i="517"/>
  <c r="M18" i="517" s="1"/>
  <c r="M19" i="517" s="1"/>
  <c r="U178" i="516"/>
  <c r="Q178" i="516"/>
  <c r="I178" i="516"/>
  <c r="E178" i="516"/>
  <c r="W177" i="516"/>
  <c r="R177" i="516"/>
  <c r="X177" i="516" s="1"/>
  <c r="M177" i="516"/>
  <c r="Z177" i="516" s="1"/>
  <c r="H177" i="516"/>
  <c r="W176" i="516"/>
  <c r="R176" i="516"/>
  <c r="X176" i="516" s="1"/>
  <c r="M176" i="516"/>
  <c r="H176" i="516"/>
  <c r="Z176" i="516" s="1"/>
  <c r="Y175" i="516"/>
  <c r="Y178" i="516" s="1"/>
  <c r="V175" i="516"/>
  <c r="V178" i="516" s="1"/>
  <c r="U175" i="516"/>
  <c r="T175" i="516"/>
  <c r="T178" i="516" s="1"/>
  <c r="S175" i="516"/>
  <c r="S178" i="516" s="1"/>
  <c r="R175" i="516"/>
  <c r="Q175" i="516"/>
  <c r="P175" i="516"/>
  <c r="P178" i="516" s="1"/>
  <c r="O175" i="516"/>
  <c r="O178" i="516" s="1"/>
  <c r="N175" i="516"/>
  <c r="N178" i="516" s="1"/>
  <c r="L175" i="516"/>
  <c r="L178" i="516" s="1"/>
  <c r="L179" i="516" s="1"/>
  <c r="K175" i="516"/>
  <c r="K178" i="516" s="1"/>
  <c r="J175" i="516"/>
  <c r="J178" i="516" s="1"/>
  <c r="I175" i="516"/>
  <c r="G175" i="516"/>
  <c r="G178" i="516" s="1"/>
  <c r="F175" i="516"/>
  <c r="F178" i="516" s="1"/>
  <c r="E175" i="516"/>
  <c r="D175" i="516"/>
  <c r="D178" i="516" s="1"/>
  <c r="D179" i="516" s="1"/>
  <c r="C175" i="516"/>
  <c r="C178" i="516" s="1"/>
  <c r="B175" i="516"/>
  <c r="B178" i="516" s="1"/>
  <c r="W174" i="516"/>
  <c r="W175" i="516" s="1"/>
  <c r="R174" i="516"/>
  <c r="X174" i="516" s="1"/>
  <c r="X175" i="516" s="1"/>
  <c r="M174" i="516"/>
  <c r="M175" i="516" s="1"/>
  <c r="M178" i="516" s="1"/>
  <c r="H174" i="516"/>
  <c r="Z174" i="516" s="1"/>
  <c r="Z175" i="516" s="1"/>
  <c r="X172" i="516"/>
  <c r="X178" i="516" s="1"/>
  <c r="W172" i="516"/>
  <c r="W178" i="516" s="1"/>
  <c r="R172" i="516"/>
  <c r="R178" i="516" s="1"/>
  <c r="M172" i="516"/>
  <c r="H172" i="516"/>
  <c r="S170" i="516"/>
  <c r="S179" i="516" s="1"/>
  <c r="O170" i="516"/>
  <c r="K170" i="516"/>
  <c r="G170" i="516"/>
  <c r="G179" i="516" s="1"/>
  <c r="C170" i="516"/>
  <c r="C179" i="516" s="1"/>
  <c r="Y169" i="516"/>
  <c r="Y170" i="516" s="1"/>
  <c r="Y179" i="516" s="1"/>
  <c r="V169" i="516"/>
  <c r="V170" i="516" s="1"/>
  <c r="U169" i="516"/>
  <c r="U170" i="516" s="1"/>
  <c r="T169" i="516"/>
  <c r="T170" i="516" s="1"/>
  <c r="T179" i="516" s="1"/>
  <c r="S169" i="516"/>
  <c r="Q169" i="516"/>
  <c r="Q170" i="516" s="1"/>
  <c r="Q179" i="516" s="1"/>
  <c r="P169" i="516"/>
  <c r="P170" i="516" s="1"/>
  <c r="P179" i="516" s="1"/>
  <c r="O169" i="516"/>
  <c r="N169" i="516"/>
  <c r="N170" i="516" s="1"/>
  <c r="L169" i="516"/>
  <c r="L170" i="516" s="1"/>
  <c r="K169" i="516"/>
  <c r="J169" i="516"/>
  <c r="J170" i="516" s="1"/>
  <c r="J179" i="516" s="1"/>
  <c r="I169" i="516"/>
  <c r="I170" i="516" s="1"/>
  <c r="I179" i="516" s="1"/>
  <c r="H169" i="516"/>
  <c r="H170" i="516" s="1"/>
  <c r="G169" i="516"/>
  <c r="F169" i="516"/>
  <c r="F170" i="516" s="1"/>
  <c r="F179" i="516" s="1"/>
  <c r="E169" i="516"/>
  <c r="E170" i="516" s="1"/>
  <c r="D169" i="516"/>
  <c r="D170" i="516" s="1"/>
  <c r="C169" i="516"/>
  <c r="B169" i="516"/>
  <c r="B170" i="516" s="1"/>
  <c r="X168" i="516"/>
  <c r="W168" i="516"/>
  <c r="R168" i="516"/>
  <c r="M168" i="516"/>
  <c r="H168" i="516"/>
  <c r="W167" i="516"/>
  <c r="W169" i="516" s="1"/>
  <c r="W170" i="516" s="1"/>
  <c r="W179" i="516" s="1"/>
  <c r="R167" i="516"/>
  <c r="M167" i="516"/>
  <c r="M169" i="516" s="1"/>
  <c r="M170" i="516" s="1"/>
  <c r="H167" i="516"/>
  <c r="E163" i="516"/>
  <c r="O161" i="516"/>
  <c r="G161" i="516"/>
  <c r="Y160" i="516"/>
  <c r="V160" i="516"/>
  <c r="U160" i="516"/>
  <c r="T160" i="516"/>
  <c r="S160" i="516"/>
  <c r="Q160" i="516"/>
  <c r="P160" i="516"/>
  <c r="O160" i="516"/>
  <c r="N160" i="516"/>
  <c r="L160" i="516"/>
  <c r="K160" i="516"/>
  <c r="J160" i="516"/>
  <c r="I160" i="516"/>
  <c r="H160" i="516"/>
  <c r="G160" i="516"/>
  <c r="F160" i="516"/>
  <c r="E160" i="516"/>
  <c r="D160" i="516"/>
  <c r="C160" i="516"/>
  <c r="B160" i="516"/>
  <c r="X159" i="516"/>
  <c r="W159" i="516"/>
  <c r="R159" i="516"/>
  <c r="M159" i="516"/>
  <c r="H159" i="516"/>
  <c r="Z159" i="516" s="1"/>
  <c r="W158" i="516"/>
  <c r="W160" i="516" s="1"/>
  <c r="R158" i="516"/>
  <c r="M158" i="516"/>
  <c r="M160" i="516" s="1"/>
  <c r="H158" i="516"/>
  <c r="Y156" i="516"/>
  <c r="Y161" i="516" s="1"/>
  <c r="V156" i="516"/>
  <c r="V161" i="516" s="1"/>
  <c r="U156" i="516"/>
  <c r="U161" i="516" s="1"/>
  <c r="T156" i="516"/>
  <c r="T161" i="516" s="1"/>
  <c r="S156" i="516"/>
  <c r="S161" i="516" s="1"/>
  <c r="Q156" i="516"/>
  <c r="Q161" i="516" s="1"/>
  <c r="P156" i="516"/>
  <c r="O156" i="516"/>
  <c r="N156" i="516"/>
  <c r="N161" i="516" s="1"/>
  <c r="M156" i="516"/>
  <c r="L156" i="516"/>
  <c r="L161" i="516" s="1"/>
  <c r="K156" i="516"/>
  <c r="K161" i="516" s="1"/>
  <c r="J156" i="516"/>
  <c r="J161" i="516" s="1"/>
  <c r="I156" i="516"/>
  <c r="I161" i="516" s="1"/>
  <c r="G156" i="516"/>
  <c r="F156" i="516"/>
  <c r="F161" i="516" s="1"/>
  <c r="E156" i="516"/>
  <c r="E161" i="516" s="1"/>
  <c r="D156" i="516"/>
  <c r="D161" i="516" s="1"/>
  <c r="C156" i="516"/>
  <c r="C161" i="516" s="1"/>
  <c r="B156" i="516"/>
  <c r="B161" i="516" s="1"/>
  <c r="X155" i="516"/>
  <c r="W155" i="516"/>
  <c r="R155" i="516"/>
  <c r="M155" i="516"/>
  <c r="Z155" i="516" s="1"/>
  <c r="H155" i="516"/>
  <c r="W154" i="516"/>
  <c r="W156" i="516" s="1"/>
  <c r="R154" i="516"/>
  <c r="R156" i="516" s="1"/>
  <c r="M154" i="516"/>
  <c r="H154" i="516"/>
  <c r="W152" i="516"/>
  <c r="R152" i="516"/>
  <c r="X152" i="516" s="1"/>
  <c r="Z152" i="516" s="1"/>
  <c r="M152" i="516"/>
  <c r="H152" i="516"/>
  <c r="W151" i="516"/>
  <c r="X151" i="516" s="1"/>
  <c r="R151" i="516"/>
  <c r="M151" i="516"/>
  <c r="H151" i="516"/>
  <c r="X150" i="516"/>
  <c r="W150" i="516"/>
  <c r="R150" i="516"/>
  <c r="M150" i="516"/>
  <c r="Z150" i="516" s="1"/>
  <c r="H150" i="516"/>
  <c r="W149" i="516"/>
  <c r="R149" i="516"/>
  <c r="X149" i="516" s="1"/>
  <c r="M149" i="516"/>
  <c r="H149" i="516"/>
  <c r="Z149" i="516" s="1"/>
  <c r="W148" i="516"/>
  <c r="R148" i="516"/>
  <c r="X148" i="516" s="1"/>
  <c r="Z148" i="516" s="1"/>
  <c r="M148" i="516"/>
  <c r="H148" i="516"/>
  <c r="W147" i="516"/>
  <c r="X147" i="516" s="1"/>
  <c r="R147" i="516"/>
  <c r="M147" i="516"/>
  <c r="H147" i="516"/>
  <c r="Z147" i="516" s="1"/>
  <c r="X146" i="516"/>
  <c r="W146" i="516"/>
  <c r="R146" i="516"/>
  <c r="M146" i="516"/>
  <c r="Z146" i="516" s="1"/>
  <c r="H146" i="516"/>
  <c r="W145" i="516"/>
  <c r="R145" i="516"/>
  <c r="X145" i="516" s="1"/>
  <c r="M145" i="516"/>
  <c r="H145" i="516"/>
  <c r="Z145" i="516" s="1"/>
  <c r="W144" i="516"/>
  <c r="R144" i="516"/>
  <c r="X144" i="516" s="1"/>
  <c r="Z144" i="516" s="1"/>
  <c r="M144" i="516"/>
  <c r="H144" i="516"/>
  <c r="W143" i="516"/>
  <c r="X143" i="516" s="1"/>
  <c r="R143" i="516"/>
  <c r="M143" i="516"/>
  <c r="H143" i="516"/>
  <c r="Z143" i="516" s="1"/>
  <c r="X142" i="516"/>
  <c r="W142" i="516"/>
  <c r="R142" i="516"/>
  <c r="M142" i="516"/>
  <c r="Z142" i="516" s="1"/>
  <c r="H142" i="516"/>
  <c r="W141" i="516"/>
  <c r="R141" i="516"/>
  <c r="X141" i="516" s="1"/>
  <c r="M141" i="516"/>
  <c r="H141" i="516"/>
  <c r="Z140" i="516"/>
  <c r="W140" i="516"/>
  <c r="R140" i="516"/>
  <c r="X140" i="516" s="1"/>
  <c r="M140" i="516"/>
  <c r="H140" i="516"/>
  <c r="W139" i="516"/>
  <c r="X139" i="516" s="1"/>
  <c r="R139" i="516"/>
  <c r="M139" i="516"/>
  <c r="H139" i="516"/>
  <c r="Z139" i="516" s="1"/>
  <c r="X138" i="516"/>
  <c r="W138" i="516"/>
  <c r="R138" i="516"/>
  <c r="M138" i="516"/>
  <c r="Z138" i="516" s="1"/>
  <c r="H138" i="516"/>
  <c r="W137" i="516"/>
  <c r="R137" i="516"/>
  <c r="X137" i="516" s="1"/>
  <c r="M137" i="516"/>
  <c r="M161" i="516" s="1"/>
  <c r="H137" i="516"/>
  <c r="J135" i="516"/>
  <c r="J162" i="516" s="1"/>
  <c r="B135" i="516"/>
  <c r="Y134" i="516"/>
  <c r="V134" i="516"/>
  <c r="U134" i="516"/>
  <c r="T134" i="516"/>
  <c r="S134" i="516"/>
  <c r="Q134" i="516"/>
  <c r="P134" i="516"/>
  <c r="O134" i="516"/>
  <c r="N134" i="516"/>
  <c r="L134" i="516"/>
  <c r="K134" i="516"/>
  <c r="J134" i="516"/>
  <c r="I134" i="516"/>
  <c r="G134" i="516"/>
  <c r="F134" i="516"/>
  <c r="E134" i="516"/>
  <c r="D134" i="516"/>
  <c r="C134" i="516"/>
  <c r="B134" i="516"/>
  <c r="X133" i="516"/>
  <c r="W133" i="516"/>
  <c r="R133" i="516"/>
  <c r="M133" i="516"/>
  <c r="H133" i="516"/>
  <c r="Z133" i="516" s="1"/>
  <c r="W132" i="516"/>
  <c r="R132" i="516"/>
  <c r="X132" i="516" s="1"/>
  <c r="Z132" i="516" s="1"/>
  <c r="M132" i="516"/>
  <c r="H132" i="516"/>
  <c r="W131" i="516"/>
  <c r="R131" i="516"/>
  <c r="X131" i="516" s="1"/>
  <c r="M131" i="516"/>
  <c r="H131" i="516"/>
  <c r="Z131" i="516" s="1"/>
  <c r="W130" i="516"/>
  <c r="W134" i="516" s="1"/>
  <c r="R130" i="516"/>
  <c r="R134" i="516" s="1"/>
  <c r="M130" i="516"/>
  <c r="H130" i="516"/>
  <c r="H134" i="516" s="1"/>
  <c r="T128" i="516"/>
  <c r="L128" i="516"/>
  <c r="D128" i="516"/>
  <c r="Y127" i="516"/>
  <c r="Y128" i="516" s="1"/>
  <c r="V127" i="516"/>
  <c r="V128" i="516" s="1"/>
  <c r="U127" i="516"/>
  <c r="U128" i="516" s="1"/>
  <c r="T127" i="516"/>
  <c r="S127" i="516"/>
  <c r="S128" i="516" s="1"/>
  <c r="Q127" i="516"/>
  <c r="Q128" i="516" s="1"/>
  <c r="P127" i="516"/>
  <c r="P128" i="516" s="1"/>
  <c r="O127" i="516"/>
  <c r="O128" i="516" s="1"/>
  <c r="N127" i="516"/>
  <c r="N128" i="516" s="1"/>
  <c r="L127" i="516"/>
  <c r="K127" i="516"/>
  <c r="K128" i="516" s="1"/>
  <c r="J127" i="516"/>
  <c r="J128" i="516" s="1"/>
  <c r="I127" i="516"/>
  <c r="I128" i="516" s="1"/>
  <c r="G127" i="516"/>
  <c r="G128" i="516" s="1"/>
  <c r="F127" i="516"/>
  <c r="F128" i="516" s="1"/>
  <c r="E127" i="516"/>
  <c r="E128" i="516" s="1"/>
  <c r="D127" i="516"/>
  <c r="C127" i="516"/>
  <c r="C128" i="516" s="1"/>
  <c r="B127" i="516"/>
  <c r="B128" i="516" s="1"/>
  <c r="X126" i="516"/>
  <c r="W126" i="516"/>
  <c r="R126" i="516"/>
  <c r="M126" i="516"/>
  <c r="M127" i="516" s="1"/>
  <c r="H126" i="516"/>
  <c r="W125" i="516"/>
  <c r="W127" i="516" s="1"/>
  <c r="R125" i="516"/>
  <c r="R127" i="516" s="1"/>
  <c r="M125" i="516"/>
  <c r="H125" i="516"/>
  <c r="W123" i="516"/>
  <c r="R123" i="516"/>
  <c r="X123" i="516" s="1"/>
  <c r="Z123" i="516" s="1"/>
  <c r="M123" i="516"/>
  <c r="H123" i="516"/>
  <c r="W122" i="516"/>
  <c r="R122" i="516"/>
  <c r="M122" i="516"/>
  <c r="H122" i="516"/>
  <c r="X121" i="516"/>
  <c r="W121" i="516"/>
  <c r="R121" i="516"/>
  <c r="M121" i="516"/>
  <c r="H121" i="516"/>
  <c r="Z121" i="516" s="1"/>
  <c r="W120" i="516"/>
  <c r="R120" i="516"/>
  <c r="X120" i="516" s="1"/>
  <c r="Z120" i="516" s="1"/>
  <c r="M120" i="516"/>
  <c r="H120" i="516"/>
  <c r="Z119" i="516"/>
  <c r="W119" i="516"/>
  <c r="R119" i="516"/>
  <c r="X119" i="516" s="1"/>
  <c r="M119" i="516"/>
  <c r="H119" i="516"/>
  <c r="W118" i="516"/>
  <c r="R118" i="516"/>
  <c r="M118" i="516"/>
  <c r="H118" i="516"/>
  <c r="X117" i="516"/>
  <c r="W117" i="516"/>
  <c r="R117" i="516"/>
  <c r="M117" i="516"/>
  <c r="H117" i="516"/>
  <c r="Z117" i="516" s="1"/>
  <c r="W116" i="516"/>
  <c r="R116" i="516"/>
  <c r="X116" i="516" s="1"/>
  <c r="Z116" i="516" s="1"/>
  <c r="M116" i="516"/>
  <c r="H116" i="516"/>
  <c r="Z115" i="516"/>
  <c r="W115" i="516"/>
  <c r="R115" i="516"/>
  <c r="X115" i="516" s="1"/>
  <c r="M115" i="516"/>
  <c r="H115" i="516"/>
  <c r="W114" i="516"/>
  <c r="R114" i="516"/>
  <c r="X114" i="516" s="1"/>
  <c r="M114" i="516"/>
  <c r="H114" i="516"/>
  <c r="X113" i="516"/>
  <c r="W113" i="516"/>
  <c r="R113" i="516"/>
  <c r="M113" i="516"/>
  <c r="H113" i="516"/>
  <c r="Z113" i="516" s="1"/>
  <c r="X112" i="516"/>
  <c r="Z112" i="516" s="1"/>
  <c r="W112" i="516"/>
  <c r="R112" i="516"/>
  <c r="M112" i="516"/>
  <c r="H112" i="516"/>
  <c r="W111" i="516"/>
  <c r="R111" i="516"/>
  <c r="X111" i="516" s="1"/>
  <c r="Z111" i="516" s="1"/>
  <c r="M111" i="516"/>
  <c r="H111" i="516"/>
  <c r="W110" i="516"/>
  <c r="R110" i="516"/>
  <c r="X110" i="516" s="1"/>
  <c r="M110" i="516"/>
  <c r="H110" i="516"/>
  <c r="X109" i="516"/>
  <c r="W109" i="516"/>
  <c r="R109" i="516"/>
  <c r="M109" i="516"/>
  <c r="H109" i="516"/>
  <c r="Y107" i="516"/>
  <c r="V107" i="516"/>
  <c r="U107" i="516"/>
  <c r="T107" i="516"/>
  <c r="S107" i="516"/>
  <c r="Q107" i="516"/>
  <c r="P107" i="516"/>
  <c r="O107" i="516"/>
  <c r="N107" i="516"/>
  <c r="L107" i="516"/>
  <c r="K107" i="516"/>
  <c r="J107" i="516"/>
  <c r="I107" i="516"/>
  <c r="G107" i="516"/>
  <c r="F107" i="516"/>
  <c r="E107" i="516"/>
  <c r="D107" i="516"/>
  <c r="C107" i="516"/>
  <c r="B107" i="516"/>
  <c r="W106" i="516"/>
  <c r="X106" i="516" s="1"/>
  <c r="R106" i="516"/>
  <c r="M106" i="516"/>
  <c r="H106" i="516"/>
  <c r="Z106" i="516" s="1"/>
  <c r="W105" i="516"/>
  <c r="X105" i="516" s="1"/>
  <c r="X107" i="516" s="1"/>
  <c r="R105" i="516"/>
  <c r="R107" i="516" s="1"/>
  <c r="M105" i="516"/>
  <c r="H105" i="516"/>
  <c r="Y103" i="516"/>
  <c r="V103" i="516"/>
  <c r="U103" i="516"/>
  <c r="T103" i="516"/>
  <c r="S103" i="516"/>
  <c r="Q103" i="516"/>
  <c r="P103" i="516"/>
  <c r="O103" i="516"/>
  <c r="N103" i="516"/>
  <c r="L103" i="516"/>
  <c r="K103" i="516"/>
  <c r="J103" i="516"/>
  <c r="I103" i="516"/>
  <c r="G103" i="516"/>
  <c r="F103" i="516"/>
  <c r="E103" i="516"/>
  <c r="D103" i="516"/>
  <c r="C103" i="516"/>
  <c r="B103" i="516"/>
  <c r="W102" i="516"/>
  <c r="W103" i="516" s="1"/>
  <c r="R102" i="516"/>
  <c r="X102" i="516" s="1"/>
  <c r="X103" i="516" s="1"/>
  <c r="M102" i="516"/>
  <c r="M103" i="516" s="1"/>
  <c r="H102" i="516"/>
  <c r="H103" i="516" s="1"/>
  <c r="Y100" i="516"/>
  <c r="V100" i="516"/>
  <c r="U100" i="516"/>
  <c r="T100" i="516"/>
  <c r="S100" i="516"/>
  <c r="Q100" i="516"/>
  <c r="P100" i="516"/>
  <c r="O100" i="516"/>
  <c r="N100" i="516"/>
  <c r="L100" i="516"/>
  <c r="K100" i="516"/>
  <c r="J100" i="516"/>
  <c r="I100" i="516"/>
  <c r="G100" i="516"/>
  <c r="F100" i="516"/>
  <c r="E100" i="516"/>
  <c r="D100" i="516"/>
  <c r="C100" i="516"/>
  <c r="B100" i="516"/>
  <c r="X99" i="516"/>
  <c r="W99" i="516"/>
  <c r="R99" i="516"/>
  <c r="M99" i="516"/>
  <c r="H99" i="516"/>
  <c r="W98" i="516"/>
  <c r="R98" i="516"/>
  <c r="X98" i="516" s="1"/>
  <c r="M98" i="516"/>
  <c r="H98" i="516"/>
  <c r="Z98" i="516" s="1"/>
  <c r="W97" i="516"/>
  <c r="R97" i="516"/>
  <c r="X97" i="516" s="1"/>
  <c r="M97" i="516"/>
  <c r="H97" i="516"/>
  <c r="Z97" i="516" s="1"/>
  <c r="W96" i="516"/>
  <c r="X96" i="516" s="1"/>
  <c r="Z96" i="516" s="1"/>
  <c r="R96" i="516"/>
  <c r="M96" i="516"/>
  <c r="H96" i="516"/>
  <c r="X95" i="516"/>
  <c r="W95" i="516"/>
  <c r="R95" i="516"/>
  <c r="M95" i="516"/>
  <c r="H95" i="516"/>
  <c r="Z95" i="516" s="1"/>
  <c r="W94" i="516"/>
  <c r="R94" i="516"/>
  <c r="X94" i="516" s="1"/>
  <c r="M94" i="516"/>
  <c r="H94" i="516"/>
  <c r="W93" i="516"/>
  <c r="R93" i="516"/>
  <c r="X93" i="516" s="1"/>
  <c r="M93" i="516"/>
  <c r="H93" i="516"/>
  <c r="Z93" i="516" s="1"/>
  <c r="W92" i="516"/>
  <c r="X92" i="516" s="1"/>
  <c r="Z92" i="516" s="1"/>
  <c r="R92" i="516"/>
  <c r="M92" i="516"/>
  <c r="H92" i="516"/>
  <c r="X91" i="516"/>
  <c r="W91" i="516"/>
  <c r="R91" i="516"/>
  <c r="M91" i="516"/>
  <c r="H91" i="516"/>
  <c r="Z91" i="516" s="1"/>
  <c r="W90" i="516"/>
  <c r="R90" i="516"/>
  <c r="X90" i="516" s="1"/>
  <c r="M90" i="516"/>
  <c r="H90" i="516"/>
  <c r="W89" i="516"/>
  <c r="R89" i="516"/>
  <c r="X89" i="516" s="1"/>
  <c r="M89" i="516"/>
  <c r="H89" i="516"/>
  <c r="Z89" i="516" s="1"/>
  <c r="W88" i="516"/>
  <c r="W100" i="516" s="1"/>
  <c r="R88" i="516"/>
  <c r="M88" i="516"/>
  <c r="M100" i="516" s="1"/>
  <c r="H88" i="516"/>
  <c r="Y86" i="516"/>
  <c r="V86" i="516"/>
  <c r="U86" i="516"/>
  <c r="T86" i="516"/>
  <c r="S86" i="516"/>
  <c r="Q86" i="516"/>
  <c r="P86" i="516"/>
  <c r="O86" i="516"/>
  <c r="N86" i="516"/>
  <c r="L86" i="516"/>
  <c r="K86" i="516"/>
  <c r="J86" i="516"/>
  <c r="I86" i="516"/>
  <c r="G86" i="516"/>
  <c r="F86" i="516"/>
  <c r="E86" i="516"/>
  <c r="D86" i="516"/>
  <c r="C86" i="516"/>
  <c r="B86" i="516"/>
  <c r="Z85" i="516"/>
  <c r="X85" i="516"/>
  <c r="W85" i="516"/>
  <c r="R85" i="516"/>
  <c r="M85" i="516"/>
  <c r="H85" i="516"/>
  <c r="W84" i="516"/>
  <c r="R84" i="516"/>
  <c r="X84" i="516" s="1"/>
  <c r="M84" i="516"/>
  <c r="H84" i="516"/>
  <c r="X83" i="516"/>
  <c r="W83" i="516"/>
  <c r="R83" i="516"/>
  <c r="M83" i="516"/>
  <c r="H83" i="516"/>
  <c r="Z83" i="516" s="1"/>
  <c r="X82" i="516"/>
  <c r="Z82" i="516" s="1"/>
  <c r="W82" i="516"/>
  <c r="R82" i="516"/>
  <c r="M82" i="516"/>
  <c r="H82" i="516"/>
  <c r="Z81" i="516"/>
  <c r="X81" i="516"/>
  <c r="W81" i="516"/>
  <c r="W86" i="516" s="1"/>
  <c r="R81" i="516"/>
  <c r="R86" i="516" s="1"/>
  <c r="M81" i="516"/>
  <c r="M86" i="516" s="1"/>
  <c r="H81" i="516"/>
  <c r="H86" i="516" s="1"/>
  <c r="Y79" i="516"/>
  <c r="V79" i="516"/>
  <c r="U79" i="516"/>
  <c r="T79" i="516"/>
  <c r="S79" i="516"/>
  <c r="Q79" i="516"/>
  <c r="P79" i="516"/>
  <c r="O79" i="516"/>
  <c r="N79" i="516"/>
  <c r="L79" i="516"/>
  <c r="K79" i="516"/>
  <c r="J79" i="516"/>
  <c r="I79" i="516"/>
  <c r="H79" i="516"/>
  <c r="G79" i="516"/>
  <c r="F79" i="516"/>
  <c r="E79" i="516"/>
  <c r="D79" i="516"/>
  <c r="C79" i="516"/>
  <c r="B79" i="516"/>
  <c r="X78" i="516"/>
  <c r="W78" i="516"/>
  <c r="R78" i="516"/>
  <c r="M78" i="516"/>
  <c r="H78" i="516"/>
  <c r="W77" i="516"/>
  <c r="R77" i="516"/>
  <c r="X77" i="516" s="1"/>
  <c r="M77" i="516"/>
  <c r="Z77" i="516" s="1"/>
  <c r="H77" i="516"/>
  <c r="W76" i="516"/>
  <c r="R76" i="516"/>
  <c r="X76" i="516" s="1"/>
  <c r="M76" i="516"/>
  <c r="H76" i="516"/>
  <c r="W75" i="516"/>
  <c r="R75" i="516"/>
  <c r="X75" i="516" s="1"/>
  <c r="Z75" i="516" s="1"/>
  <c r="M75" i="516"/>
  <c r="H75" i="516"/>
  <c r="X74" i="516"/>
  <c r="X79" i="516" s="1"/>
  <c r="W74" i="516"/>
  <c r="W79" i="516" s="1"/>
  <c r="R74" i="516"/>
  <c r="R79" i="516" s="1"/>
  <c r="M74" i="516"/>
  <c r="M79" i="516" s="1"/>
  <c r="H74" i="516"/>
  <c r="Y72" i="516"/>
  <c r="V72" i="516"/>
  <c r="U72" i="516"/>
  <c r="T72" i="516"/>
  <c r="S72" i="516"/>
  <c r="Q72" i="516"/>
  <c r="P72" i="516"/>
  <c r="O72" i="516"/>
  <c r="N72" i="516"/>
  <c r="L72" i="516"/>
  <c r="K72" i="516"/>
  <c r="J72" i="516"/>
  <c r="I72" i="516"/>
  <c r="G72" i="516"/>
  <c r="F72" i="516"/>
  <c r="E72" i="516"/>
  <c r="D72" i="516"/>
  <c r="C72" i="516"/>
  <c r="B72" i="516"/>
  <c r="W71" i="516"/>
  <c r="R71" i="516"/>
  <c r="X71" i="516" s="1"/>
  <c r="M71" i="516"/>
  <c r="H71" i="516"/>
  <c r="X70" i="516"/>
  <c r="W70" i="516"/>
  <c r="R70" i="516"/>
  <c r="M70" i="516"/>
  <c r="H70" i="516"/>
  <c r="X69" i="516"/>
  <c r="W69" i="516"/>
  <c r="R69" i="516"/>
  <c r="M69" i="516"/>
  <c r="Z69" i="516" s="1"/>
  <c r="H69" i="516"/>
  <c r="Z68" i="516"/>
  <c r="W68" i="516"/>
  <c r="R68" i="516"/>
  <c r="X68" i="516" s="1"/>
  <c r="M68" i="516"/>
  <c r="H68" i="516"/>
  <c r="W67" i="516"/>
  <c r="R67" i="516"/>
  <c r="M67" i="516"/>
  <c r="H67" i="516"/>
  <c r="X66" i="516"/>
  <c r="W66" i="516"/>
  <c r="R66" i="516"/>
  <c r="M66" i="516"/>
  <c r="H66" i="516"/>
  <c r="Z66" i="516" s="1"/>
  <c r="X65" i="516"/>
  <c r="W65" i="516"/>
  <c r="R65" i="516"/>
  <c r="M65" i="516"/>
  <c r="Z65" i="516" s="1"/>
  <c r="H65" i="516"/>
  <c r="Z64" i="516"/>
  <c r="W64" i="516"/>
  <c r="R64" i="516"/>
  <c r="X64" i="516" s="1"/>
  <c r="M64" i="516"/>
  <c r="H64" i="516"/>
  <c r="W63" i="516"/>
  <c r="W72" i="516" s="1"/>
  <c r="R63" i="516"/>
  <c r="R72" i="516" s="1"/>
  <c r="M63" i="516"/>
  <c r="M72" i="516" s="1"/>
  <c r="H63" i="516"/>
  <c r="Y61" i="516"/>
  <c r="V61" i="516"/>
  <c r="U61" i="516"/>
  <c r="T61" i="516"/>
  <c r="S61" i="516"/>
  <c r="Q61" i="516"/>
  <c r="P61" i="516"/>
  <c r="O61" i="516"/>
  <c r="N61" i="516"/>
  <c r="L61" i="516"/>
  <c r="K61" i="516"/>
  <c r="J61" i="516"/>
  <c r="I61" i="516"/>
  <c r="G61" i="516"/>
  <c r="F61" i="516"/>
  <c r="E61" i="516"/>
  <c r="D61" i="516"/>
  <c r="C61" i="516"/>
  <c r="B61" i="516"/>
  <c r="W60" i="516"/>
  <c r="R60" i="516"/>
  <c r="X60" i="516" s="1"/>
  <c r="M60" i="516"/>
  <c r="M61" i="516" s="1"/>
  <c r="H60" i="516"/>
  <c r="W59" i="516"/>
  <c r="W61" i="516" s="1"/>
  <c r="R59" i="516"/>
  <c r="M59" i="516"/>
  <c r="H59" i="516"/>
  <c r="Y57" i="516"/>
  <c r="V57" i="516"/>
  <c r="U57" i="516"/>
  <c r="T57" i="516"/>
  <c r="S57" i="516"/>
  <c r="Q57" i="516"/>
  <c r="P57" i="516"/>
  <c r="O57" i="516"/>
  <c r="N57" i="516"/>
  <c r="L57" i="516"/>
  <c r="K57" i="516"/>
  <c r="J57" i="516"/>
  <c r="I57" i="516"/>
  <c r="G57" i="516"/>
  <c r="F57" i="516"/>
  <c r="E57" i="516"/>
  <c r="D57" i="516"/>
  <c r="C57" i="516"/>
  <c r="B57" i="516"/>
  <c r="X56" i="516"/>
  <c r="W56" i="516"/>
  <c r="R56" i="516"/>
  <c r="M56" i="516"/>
  <c r="Z56" i="516" s="1"/>
  <c r="H56" i="516"/>
  <c r="W55" i="516"/>
  <c r="W57" i="516" s="1"/>
  <c r="R55" i="516"/>
  <c r="R57" i="516" s="1"/>
  <c r="M55" i="516"/>
  <c r="M57" i="516" s="1"/>
  <c r="H55" i="516"/>
  <c r="H57" i="516" s="1"/>
  <c r="Y53" i="516"/>
  <c r="V53" i="516"/>
  <c r="U53" i="516"/>
  <c r="T53" i="516"/>
  <c r="S53" i="516"/>
  <c r="Q53" i="516"/>
  <c r="P53" i="516"/>
  <c r="O53" i="516"/>
  <c r="N53" i="516"/>
  <c r="L53" i="516"/>
  <c r="K53" i="516"/>
  <c r="J53" i="516"/>
  <c r="I53" i="516"/>
  <c r="H53" i="516"/>
  <c r="G53" i="516"/>
  <c r="F53" i="516"/>
  <c r="E53" i="516"/>
  <c r="D53" i="516"/>
  <c r="C53" i="516"/>
  <c r="B53" i="516"/>
  <c r="X52" i="516"/>
  <c r="W52" i="516"/>
  <c r="R52" i="516"/>
  <c r="M52" i="516"/>
  <c r="H52" i="516"/>
  <c r="W51" i="516"/>
  <c r="R51" i="516"/>
  <c r="X51" i="516" s="1"/>
  <c r="Z51" i="516" s="1"/>
  <c r="M51" i="516"/>
  <c r="H51" i="516"/>
  <c r="W50" i="516"/>
  <c r="R50" i="516"/>
  <c r="X50" i="516" s="1"/>
  <c r="M50" i="516"/>
  <c r="H50" i="516"/>
  <c r="W49" i="516"/>
  <c r="W53" i="516" s="1"/>
  <c r="R49" i="516"/>
  <c r="R53" i="516" s="1"/>
  <c r="M49" i="516"/>
  <c r="M53" i="516" s="1"/>
  <c r="H49" i="516"/>
  <c r="Y47" i="516"/>
  <c r="Y135" i="516" s="1"/>
  <c r="Y162" i="516" s="1"/>
  <c r="V47" i="516"/>
  <c r="V135" i="516" s="1"/>
  <c r="V162" i="516" s="1"/>
  <c r="U47" i="516"/>
  <c r="T47" i="516"/>
  <c r="T135" i="516" s="1"/>
  <c r="S47" i="516"/>
  <c r="Q47" i="516"/>
  <c r="P47" i="516"/>
  <c r="O47" i="516"/>
  <c r="O135" i="516" s="1"/>
  <c r="O162" i="516" s="1"/>
  <c r="N47" i="516"/>
  <c r="N135" i="516" s="1"/>
  <c r="N162" i="516" s="1"/>
  <c r="L47" i="516"/>
  <c r="L135" i="516" s="1"/>
  <c r="L162" i="516" s="1"/>
  <c r="K47" i="516"/>
  <c r="J47" i="516"/>
  <c r="I47" i="516"/>
  <c r="G47" i="516"/>
  <c r="G135" i="516" s="1"/>
  <c r="G162" i="516" s="1"/>
  <c r="F47" i="516"/>
  <c r="F135" i="516" s="1"/>
  <c r="F162" i="516" s="1"/>
  <c r="E47" i="516"/>
  <c r="E135" i="516" s="1"/>
  <c r="E162" i="516" s="1"/>
  <c r="D47" i="516"/>
  <c r="C47" i="516"/>
  <c r="C135" i="516" s="1"/>
  <c r="C162" i="516" s="1"/>
  <c r="B47" i="516"/>
  <c r="W46" i="516"/>
  <c r="R46" i="516"/>
  <c r="X46" i="516" s="1"/>
  <c r="Z46" i="516" s="1"/>
  <c r="M46" i="516"/>
  <c r="H46" i="516"/>
  <c r="W45" i="516"/>
  <c r="R45" i="516"/>
  <c r="X45" i="516" s="1"/>
  <c r="M45" i="516"/>
  <c r="H45" i="516"/>
  <c r="X44" i="516"/>
  <c r="W44" i="516"/>
  <c r="R44" i="516"/>
  <c r="M44" i="516"/>
  <c r="H44" i="516"/>
  <c r="X43" i="516"/>
  <c r="W43" i="516"/>
  <c r="R43" i="516"/>
  <c r="R47" i="516" s="1"/>
  <c r="M43" i="516"/>
  <c r="Z43" i="516" s="1"/>
  <c r="H43" i="516"/>
  <c r="H47" i="516" s="1"/>
  <c r="Z41" i="516"/>
  <c r="W41" i="516"/>
  <c r="R41" i="516"/>
  <c r="X41" i="516" s="1"/>
  <c r="M41" i="516"/>
  <c r="H41" i="516"/>
  <c r="I37" i="516"/>
  <c r="J36" i="516"/>
  <c r="J37" i="516" s="1"/>
  <c r="S35" i="516"/>
  <c r="S36" i="516" s="1"/>
  <c r="S37" i="516" s="1"/>
  <c r="P35" i="516"/>
  <c r="P36" i="516" s="1"/>
  <c r="P37" i="516" s="1"/>
  <c r="K35" i="516"/>
  <c r="K36" i="516" s="1"/>
  <c r="K37" i="516" s="1"/>
  <c r="C35" i="516"/>
  <c r="C36" i="516" s="1"/>
  <c r="C37" i="516" s="1"/>
  <c r="Y34" i="516"/>
  <c r="Y35" i="516" s="1"/>
  <c r="Y36" i="516" s="1"/>
  <c r="Y37" i="516" s="1"/>
  <c r="V34" i="516"/>
  <c r="V35" i="516" s="1"/>
  <c r="V36" i="516" s="1"/>
  <c r="V37" i="516" s="1"/>
  <c r="U34" i="516"/>
  <c r="U35" i="516" s="1"/>
  <c r="U36" i="516" s="1"/>
  <c r="U37" i="516" s="1"/>
  <c r="T34" i="516"/>
  <c r="T35" i="516" s="1"/>
  <c r="T36" i="516" s="1"/>
  <c r="T37" i="516" s="1"/>
  <c r="S34" i="516"/>
  <c r="Q34" i="516"/>
  <c r="Q35" i="516" s="1"/>
  <c r="Q36" i="516" s="1"/>
  <c r="Q37" i="516" s="1"/>
  <c r="P34" i="516"/>
  <c r="O34" i="516"/>
  <c r="O35" i="516" s="1"/>
  <c r="O36" i="516" s="1"/>
  <c r="O37" i="516" s="1"/>
  <c r="N34" i="516"/>
  <c r="N35" i="516" s="1"/>
  <c r="N36" i="516" s="1"/>
  <c r="N37" i="516" s="1"/>
  <c r="L34" i="516"/>
  <c r="L35" i="516" s="1"/>
  <c r="L36" i="516" s="1"/>
  <c r="L37" i="516" s="1"/>
  <c r="K34" i="516"/>
  <c r="J34" i="516"/>
  <c r="J35" i="516" s="1"/>
  <c r="I34" i="516"/>
  <c r="I35" i="516" s="1"/>
  <c r="I36" i="516" s="1"/>
  <c r="G34" i="516"/>
  <c r="G35" i="516" s="1"/>
  <c r="G36" i="516" s="1"/>
  <c r="G37" i="516" s="1"/>
  <c r="F34" i="516"/>
  <c r="F35" i="516" s="1"/>
  <c r="F36" i="516" s="1"/>
  <c r="F37" i="516" s="1"/>
  <c r="E34" i="516"/>
  <c r="E35" i="516" s="1"/>
  <c r="E36" i="516" s="1"/>
  <c r="E37" i="516" s="1"/>
  <c r="D34" i="516"/>
  <c r="D35" i="516" s="1"/>
  <c r="D36" i="516" s="1"/>
  <c r="D37" i="516" s="1"/>
  <c r="C34" i="516"/>
  <c r="B34" i="516"/>
  <c r="B35" i="516" s="1"/>
  <c r="B36" i="516" s="1"/>
  <c r="B37" i="516" s="1"/>
  <c r="W33" i="516"/>
  <c r="R33" i="516"/>
  <c r="X33" i="516" s="1"/>
  <c r="M33" i="516"/>
  <c r="H33" i="516"/>
  <c r="Z33" i="516" s="1"/>
  <c r="W32" i="516"/>
  <c r="X32" i="516" s="1"/>
  <c r="R32" i="516"/>
  <c r="R34" i="516" s="1"/>
  <c r="M32" i="516"/>
  <c r="M34" i="516" s="1"/>
  <c r="H32" i="516"/>
  <c r="X30" i="516"/>
  <c r="W30" i="516"/>
  <c r="R30" i="516"/>
  <c r="M30" i="516"/>
  <c r="H30" i="516"/>
  <c r="Z30" i="516" s="1"/>
  <c r="W29" i="516"/>
  <c r="R29" i="516"/>
  <c r="X29" i="516" s="1"/>
  <c r="M29" i="516"/>
  <c r="H29" i="516"/>
  <c r="W28" i="516"/>
  <c r="R28" i="516"/>
  <c r="M28" i="516"/>
  <c r="M35" i="516" s="1"/>
  <c r="H28" i="516"/>
  <c r="W26" i="516"/>
  <c r="X26" i="516" s="1"/>
  <c r="Z26" i="516" s="1"/>
  <c r="R26" i="516"/>
  <c r="M26" i="516"/>
  <c r="H26" i="516"/>
  <c r="X25" i="516"/>
  <c r="W25" i="516"/>
  <c r="R25" i="516"/>
  <c r="M25" i="516"/>
  <c r="H25" i="516"/>
  <c r="Z25" i="516" s="1"/>
  <c r="W24" i="516"/>
  <c r="R24" i="516"/>
  <c r="X24" i="516" s="1"/>
  <c r="M24" i="516"/>
  <c r="H24" i="516"/>
  <c r="Z24" i="516" s="1"/>
  <c r="W23" i="516"/>
  <c r="R23" i="516"/>
  <c r="X23" i="516" s="1"/>
  <c r="M23" i="516"/>
  <c r="H23" i="516"/>
  <c r="Z23" i="516" s="1"/>
  <c r="W22" i="516"/>
  <c r="X22" i="516" s="1"/>
  <c r="R22" i="516"/>
  <c r="M22" i="516"/>
  <c r="H22" i="516"/>
  <c r="Y19" i="516"/>
  <c r="V19" i="516"/>
  <c r="V38" i="516" s="1"/>
  <c r="Q19" i="516"/>
  <c r="N19" i="516"/>
  <c r="N38" i="516" s="1"/>
  <c r="F19" i="516"/>
  <c r="Y18" i="516"/>
  <c r="V18" i="516"/>
  <c r="U18" i="516"/>
  <c r="U19" i="516" s="1"/>
  <c r="U38" i="516" s="1"/>
  <c r="T18" i="516"/>
  <c r="T19" i="516" s="1"/>
  <c r="T38" i="516" s="1"/>
  <c r="S18" i="516"/>
  <c r="S19" i="516" s="1"/>
  <c r="Q18" i="516"/>
  <c r="P18" i="516"/>
  <c r="P19" i="516" s="1"/>
  <c r="P38" i="516" s="1"/>
  <c r="O18" i="516"/>
  <c r="O19" i="516" s="1"/>
  <c r="O38" i="516" s="1"/>
  <c r="O163" i="516" s="1"/>
  <c r="N18" i="516"/>
  <c r="L18" i="516"/>
  <c r="L19" i="516" s="1"/>
  <c r="L38" i="516" s="1"/>
  <c r="L163" i="516" s="1"/>
  <c r="K18" i="516"/>
  <c r="K19" i="516" s="1"/>
  <c r="J18" i="516"/>
  <c r="J19" i="516" s="1"/>
  <c r="J38" i="516" s="1"/>
  <c r="J163" i="516" s="1"/>
  <c r="J180" i="516" s="1"/>
  <c r="I18" i="516"/>
  <c r="I19" i="516" s="1"/>
  <c r="I38" i="516" s="1"/>
  <c r="G18" i="516"/>
  <c r="G19" i="516" s="1"/>
  <c r="G38" i="516" s="1"/>
  <c r="G163" i="516" s="1"/>
  <c r="G180" i="516" s="1"/>
  <c r="F18" i="516"/>
  <c r="E18" i="516"/>
  <c r="E19" i="516" s="1"/>
  <c r="E38" i="516" s="1"/>
  <c r="D18" i="516"/>
  <c r="D19" i="516" s="1"/>
  <c r="D38" i="516" s="1"/>
  <c r="C18" i="516"/>
  <c r="C19" i="516" s="1"/>
  <c r="B18" i="516"/>
  <c r="B19" i="516" s="1"/>
  <c r="W17" i="516"/>
  <c r="X17" i="516" s="1"/>
  <c r="R17" i="516"/>
  <c r="M17" i="516"/>
  <c r="H17" i="516"/>
  <c r="Z17" i="516" s="1"/>
  <c r="W16" i="516"/>
  <c r="X16" i="516" s="1"/>
  <c r="R16" i="516"/>
  <c r="M16" i="516"/>
  <c r="H16" i="516"/>
  <c r="W15" i="516"/>
  <c r="W18" i="516" s="1"/>
  <c r="W19" i="516" s="1"/>
  <c r="R15" i="516"/>
  <c r="M15" i="516"/>
  <c r="H15" i="516"/>
  <c r="X14" i="516"/>
  <c r="W14" i="516"/>
  <c r="R14" i="516"/>
  <c r="R18" i="516" s="1"/>
  <c r="R19" i="516" s="1"/>
  <c r="M14" i="516"/>
  <c r="Z14" i="516" s="1"/>
  <c r="H14" i="516"/>
  <c r="P176" i="515"/>
  <c r="O176" i="515"/>
  <c r="M176" i="515"/>
  <c r="H176" i="515"/>
  <c r="G176" i="515"/>
  <c r="E176" i="515"/>
  <c r="S175" i="515"/>
  <c r="S174" i="515"/>
  <c r="R173" i="515"/>
  <c r="R176" i="515" s="1"/>
  <c r="Q173" i="515"/>
  <c r="Q176" i="515" s="1"/>
  <c r="P173" i="515"/>
  <c r="O173" i="515"/>
  <c r="N173" i="515"/>
  <c r="N176" i="515" s="1"/>
  <c r="N177" i="515" s="1"/>
  <c r="M173" i="515"/>
  <c r="L173" i="515"/>
  <c r="L176" i="515" s="1"/>
  <c r="K173" i="515"/>
  <c r="K176" i="515" s="1"/>
  <c r="K177" i="515" s="1"/>
  <c r="J173" i="515"/>
  <c r="J176" i="515" s="1"/>
  <c r="I173" i="515"/>
  <c r="I176" i="515" s="1"/>
  <c r="H173" i="515"/>
  <c r="G173" i="515"/>
  <c r="F173" i="515"/>
  <c r="F176" i="515" s="1"/>
  <c r="F177" i="515" s="1"/>
  <c r="E173" i="515"/>
  <c r="D173" i="515"/>
  <c r="D176" i="515" s="1"/>
  <c r="C173" i="515"/>
  <c r="C176" i="515" s="1"/>
  <c r="C177" i="515" s="1"/>
  <c r="B173" i="515"/>
  <c r="B176" i="515" s="1"/>
  <c r="S172" i="515"/>
  <c r="S173" i="515" s="1"/>
  <c r="S176" i="515" s="1"/>
  <c r="S170" i="515"/>
  <c r="P168" i="515"/>
  <c r="P177" i="515" s="1"/>
  <c r="N168" i="515"/>
  <c r="M168" i="515"/>
  <c r="M177" i="515" s="1"/>
  <c r="K168" i="515"/>
  <c r="H168" i="515"/>
  <c r="H177" i="515" s="1"/>
  <c r="F168" i="515"/>
  <c r="E168" i="515"/>
  <c r="E177" i="515" s="1"/>
  <c r="C168" i="515"/>
  <c r="R167" i="515"/>
  <c r="R168" i="515" s="1"/>
  <c r="R177" i="515" s="1"/>
  <c r="Q167" i="515"/>
  <c r="Q168" i="515" s="1"/>
  <c r="P167" i="515"/>
  <c r="O167" i="515"/>
  <c r="O168" i="515" s="1"/>
  <c r="O177" i="515" s="1"/>
  <c r="N167" i="515"/>
  <c r="M167" i="515"/>
  <c r="L167" i="515"/>
  <c r="L168" i="515" s="1"/>
  <c r="L177" i="515" s="1"/>
  <c r="K167" i="515"/>
  <c r="J167" i="515"/>
  <c r="J168" i="515" s="1"/>
  <c r="J177" i="515" s="1"/>
  <c r="I167" i="515"/>
  <c r="I168" i="515" s="1"/>
  <c r="I177" i="515" s="1"/>
  <c r="H167" i="515"/>
  <c r="G167" i="515"/>
  <c r="G168" i="515" s="1"/>
  <c r="G177" i="515" s="1"/>
  <c r="F167" i="515"/>
  <c r="E167" i="515"/>
  <c r="D167" i="515"/>
  <c r="D168" i="515" s="1"/>
  <c r="D177" i="515" s="1"/>
  <c r="C167" i="515"/>
  <c r="B167" i="515"/>
  <c r="B168" i="515" s="1"/>
  <c r="B177" i="515" s="1"/>
  <c r="S166" i="515"/>
  <c r="S165" i="515"/>
  <c r="S167" i="515" s="1"/>
  <c r="S168" i="515" s="1"/>
  <c r="R159" i="515"/>
  <c r="J159" i="515"/>
  <c r="B159" i="515"/>
  <c r="R158" i="515"/>
  <c r="Q158" i="515"/>
  <c r="Q159" i="515" s="1"/>
  <c r="P158" i="515"/>
  <c r="O158" i="515"/>
  <c r="N158" i="515"/>
  <c r="M158" i="515"/>
  <c r="L158" i="515"/>
  <c r="L159" i="515" s="1"/>
  <c r="K158" i="515"/>
  <c r="J158" i="515"/>
  <c r="I158" i="515"/>
  <c r="I159" i="515" s="1"/>
  <c r="H158" i="515"/>
  <c r="G158" i="515"/>
  <c r="F158" i="515"/>
  <c r="E158" i="515"/>
  <c r="D158" i="515"/>
  <c r="D159" i="515" s="1"/>
  <c r="C158" i="515"/>
  <c r="B158" i="515"/>
  <c r="S157" i="515"/>
  <c r="S158" i="515" s="1"/>
  <c r="S156" i="515"/>
  <c r="R154" i="515"/>
  <c r="Q154" i="515"/>
  <c r="P154" i="515"/>
  <c r="P159" i="515" s="1"/>
  <c r="O154" i="515"/>
  <c r="O159" i="515" s="1"/>
  <c r="N154" i="515"/>
  <c r="N159" i="515" s="1"/>
  <c r="M154" i="515"/>
  <c r="M159" i="515" s="1"/>
  <c r="L154" i="515"/>
  <c r="K154" i="515"/>
  <c r="K159" i="515" s="1"/>
  <c r="J154" i="515"/>
  <c r="I154" i="515"/>
  <c r="H154" i="515"/>
  <c r="H159" i="515" s="1"/>
  <c r="G154" i="515"/>
  <c r="G159" i="515" s="1"/>
  <c r="F154" i="515"/>
  <c r="F159" i="515" s="1"/>
  <c r="E154" i="515"/>
  <c r="E159" i="515" s="1"/>
  <c r="D154" i="515"/>
  <c r="C154" i="515"/>
  <c r="C159" i="515" s="1"/>
  <c r="B154" i="515"/>
  <c r="S153" i="515"/>
  <c r="S152" i="515"/>
  <c r="S154" i="515" s="1"/>
  <c r="S150" i="515"/>
  <c r="S149" i="515"/>
  <c r="S148" i="515"/>
  <c r="S147" i="515"/>
  <c r="S146" i="515"/>
  <c r="S145" i="515"/>
  <c r="S144" i="515"/>
  <c r="S143" i="515"/>
  <c r="S142" i="515"/>
  <c r="S141" i="515"/>
  <c r="S140" i="515"/>
  <c r="S139" i="515"/>
  <c r="S138" i="515"/>
  <c r="S137" i="515"/>
  <c r="S136" i="515"/>
  <c r="S135" i="515"/>
  <c r="S159" i="515" s="1"/>
  <c r="R132" i="515"/>
  <c r="Q132" i="515"/>
  <c r="P132" i="515"/>
  <c r="O132" i="515"/>
  <c r="N132" i="515"/>
  <c r="M132" i="515"/>
  <c r="L132" i="515"/>
  <c r="K132" i="515"/>
  <c r="J132" i="515"/>
  <c r="I132" i="515"/>
  <c r="H132" i="515"/>
  <c r="G132" i="515"/>
  <c r="F132" i="515"/>
  <c r="E132" i="515"/>
  <c r="D132" i="515"/>
  <c r="C132" i="515"/>
  <c r="B132" i="515"/>
  <c r="S131" i="515"/>
  <c r="S130" i="515"/>
  <c r="S129" i="515"/>
  <c r="S128" i="515"/>
  <c r="S132" i="515" s="1"/>
  <c r="R126" i="515"/>
  <c r="Q126" i="515"/>
  <c r="O126" i="515"/>
  <c r="L126" i="515"/>
  <c r="K126" i="515"/>
  <c r="J126" i="515"/>
  <c r="I126" i="515"/>
  <c r="G126" i="515"/>
  <c r="D126" i="515"/>
  <c r="C126" i="515"/>
  <c r="B126" i="515"/>
  <c r="S125" i="515"/>
  <c r="R125" i="515"/>
  <c r="Q125" i="515"/>
  <c r="P125" i="515"/>
  <c r="P126" i="515" s="1"/>
  <c r="O125" i="515"/>
  <c r="N125" i="515"/>
  <c r="N126" i="515" s="1"/>
  <c r="M125" i="515"/>
  <c r="M126" i="515" s="1"/>
  <c r="L125" i="515"/>
  <c r="K125" i="515"/>
  <c r="J125" i="515"/>
  <c r="I125" i="515"/>
  <c r="H125" i="515"/>
  <c r="H126" i="515" s="1"/>
  <c r="G125" i="515"/>
  <c r="F125" i="515"/>
  <c r="F126" i="515" s="1"/>
  <c r="E125" i="515"/>
  <c r="E126" i="515" s="1"/>
  <c r="D125" i="515"/>
  <c r="C125" i="515"/>
  <c r="B125" i="515"/>
  <c r="S124" i="515"/>
  <c r="S123" i="515"/>
  <c r="S121" i="515"/>
  <c r="S120" i="515"/>
  <c r="S119" i="515"/>
  <c r="S118" i="515"/>
  <c r="S117" i="515"/>
  <c r="S116" i="515"/>
  <c r="S115" i="515"/>
  <c r="S114" i="515"/>
  <c r="S113" i="515"/>
  <c r="S112" i="515"/>
  <c r="S111" i="515"/>
  <c r="S110" i="515"/>
  <c r="S109" i="515"/>
  <c r="S126" i="515" s="1"/>
  <c r="S108" i="515"/>
  <c r="S107" i="515"/>
  <c r="R105" i="515"/>
  <c r="Q105" i="515"/>
  <c r="P105" i="515"/>
  <c r="O105" i="515"/>
  <c r="N105" i="515"/>
  <c r="M105" i="515"/>
  <c r="L105" i="515"/>
  <c r="K105" i="515"/>
  <c r="J105" i="515"/>
  <c r="I105" i="515"/>
  <c r="H105" i="515"/>
  <c r="G105" i="515"/>
  <c r="F105" i="515"/>
  <c r="E105" i="515"/>
  <c r="D105" i="515"/>
  <c r="C105" i="515"/>
  <c r="B105" i="515"/>
  <c r="S104" i="515"/>
  <c r="S103" i="515"/>
  <c r="S105" i="515" s="1"/>
  <c r="S101" i="515"/>
  <c r="R101" i="515"/>
  <c r="Q101" i="515"/>
  <c r="P101" i="515"/>
  <c r="O101" i="515"/>
  <c r="N101" i="515"/>
  <c r="M101" i="515"/>
  <c r="L101" i="515"/>
  <c r="K101" i="515"/>
  <c r="J101" i="515"/>
  <c r="I101" i="515"/>
  <c r="H101" i="515"/>
  <c r="G101" i="515"/>
  <c r="F101" i="515"/>
  <c r="E101" i="515"/>
  <c r="D101" i="515"/>
  <c r="C101" i="515"/>
  <c r="B101" i="515"/>
  <c r="S100" i="515"/>
  <c r="R98" i="515"/>
  <c r="Q98" i="515"/>
  <c r="P98" i="515"/>
  <c r="O98" i="515"/>
  <c r="N98" i="515"/>
  <c r="M98" i="515"/>
  <c r="L98" i="515"/>
  <c r="K98" i="515"/>
  <c r="J98" i="515"/>
  <c r="I98" i="515"/>
  <c r="H98" i="515"/>
  <c r="G98" i="515"/>
  <c r="F98" i="515"/>
  <c r="E98" i="515"/>
  <c r="D98" i="515"/>
  <c r="C98" i="515"/>
  <c r="B98" i="515"/>
  <c r="S97" i="515"/>
  <c r="S96" i="515"/>
  <c r="S95" i="515"/>
  <c r="S94" i="515"/>
  <c r="S93" i="515"/>
  <c r="S92" i="515"/>
  <c r="S91" i="515"/>
  <c r="S90" i="515"/>
  <c r="S89" i="515"/>
  <c r="S88" i="515"/>
  <c r="S87" i="515"/>
  <c r="S98" i="515" s="1"/>
  <c r="S86" i="515"/>
  <c r="R84" i="515"/>
  <c r="Q84" i="515"/>
  <c r="P84" i="515"/>
  <c r="O84" i="515"/>
  <c r="N84" i="515"/>
  <c r="M84" i="515"/>
  <c r="L84" i="515"/>
  <c r="K84" i="515"/>
  <c r="J84" i="515"/>
  <c r="I84" i="515"/>
  <c r="H84" i="515"/>
  <c r="G84" i="515"/>
  <c r="F84" i="515"/>
  <c r="E84" i="515"/>
  <c r="D84" i="515"/>
  <c r="C84" i="515"/>
  <c r="B84" i="515"/>
  <c r="S83" i="515"/>
  <c r="S82" i="515"/>
  <c r="S81" i="515"/>
  <c r="S80" i="515"/>
  <c r="S79" i="515"/>
  <c r="S84" i="515" s="1"/>
  <c r="R77" i="515"/>
  <c r="Q77" i="515"/>
  <c r="P77" i="515"/>
  <c r="O77" i="515"/>
  <c r="N77" i="515"/>
  <c r="M77" i="515"/>
  <c r="L77" i="515"/>
  <c r="K77" i="515"/>
  <c r="J77" i="515"/>
  <c r="I77" i="515"/>
  <c r="H77" i="515"/>
  <c r="G77" i="515"/>
  <c r="F77" i="515"/>
  <c r="E77" i="515"/>
  <c r="D77" i="515"/>
  <c r="C77" i="515"/>
  <c r="B77" i="515"/>
  <c r="S76" i="515"/>
  <c r="S75" i="515"/>
  <c r="S74" i="515"/>
  <c r="S73" i="515"/>
  <c r="S72" i="515"/>
  <c r="S77" i="515" s="1"/>
  <c r="R70" i="515"/>
  <c r="Q70" i="515"/>
  <c r="Q133" i="515" s="1"/>
  <c r="Q160" i="515" s="1"/>
  <c r="P70" i="515"/>
  <c r="O70" i="515"/>
  <c r="N70" i="515"/>
  <c r="M70" i="515"/>
  <c r="L70" i="515"/>
  <c r="L133" i="515" s="1"/>
  <c r="L160" i="515" s="1"/>
  <c r="K70" i="515"/>
  <c r="J70" i="515"/>
  <c r="I70" i="515"/>
  <c r="I133" i="515" s="1"/>
  <c r="I160" i="515" s="1"/>
  <c r="H70" i="515"/>
  <c r="G70" i="515"/>
  <c r="F70" i="515"/>
  <c r="E70" i="515"/>
  <c r="D70" i="515"/>
  <c r="D133" i="515" s="1"/>
  <c r="D160" i="515" s="1"/>
  <c r="C70" i="515"/>
  <c r="B70" i="515"/>
  <c r="S69" i="515"/>
  <c r="S68" i="515"/>
  <c r="S67" i="515"/>
  <c r="S66" i="515"/>
  <c r="S65" i="515"/>
  <c r="S64" i="515"/>
  <c r="S63" i="515"/>
  <c r="S70" i="515" s="1"/>
  <c r="S62" i="515"/>
  <c r="S61" i="515"/>
  <c r="R59" i="515"/>
  <c r="Q59" i="515"/>
  <c r="P59" i="515"/>
  <c r="O59" i="515"/>
  <c r="N59" i="515"/>
  <c r="M59" i="515"/>
  <c r="L59" i="515"/>
  <c r="K59" i="515"/>
  <c r="J59" i="515"/>
  <c r="I59" i="515"/>
  <c r="H59" i="515"/>
  <c r="G59" i="515"/>
  <c r="F59" i="515"/>
  <c r="E59" i="515"/>
  <c r="D59" i="515"/>
  <c r="C59" i="515"/>
  <c r="B59" i="515"/>
  <c r="S58" i="515"/>
  <c r="S57" i="515"/>
  <c r="S59" i="515" s="1"/>
  <c r="S55" i="515"/>
  <c r="R55" i="515"/>
  <c r="Q55" i="515"/>
  <c r="P55" i="515"/>
  <c r="O55" i="515"/>
  <c r="N55" i="515"/>
  <c r="M55" i="515"/>
  <c r="L55" i="515"/>
  <c r="K55" i="515"/>
  <c r="K133" i="515" s="1"/>
  <c r="K160" i="515" s="1"/>
  <c r="J55" i="515"/>
  <c r="I55" i="515"/>
  <c r="H55" i="515"/>
  <c r="G55" i="515"/>
  <c r="F55" i="515"/>
  <c r="E55" i="515"/>
  <c r="D55" i="515"/>
  <c r="C55" i="515"/>
  <c r="C133" i="515" s="1"/>
  <c r="C160" i="515" s="1"/>
  <c r="B55" i="515"/>
  <c r="S54" i="515"/>
  <c r="S53" i="515"/>
  <c r="R51" i="515"/>
  <c r="Q51" i="515"/>
  <c r="P51" i="515"/>
  <c r="O51" i="515"/>
  <c r="O133" i="515" s="1"/>
  <c r="N51" i="515"/>
  <c r="M51" i="515"/>
  <c r="L51" i="515"/>
  <c r="K51" i="515"/>
  <c r="J51" i="515"/>
  <c r="I51" i="515"/>
  <c r="H51" i="515"/>
  <c r="G51" i="515"/>
  <c r="G133" i="515" s="1"/>
  <c r="G160" i="515" s="1"/>
  <c r="F51" i="515"/>
  <c r="E51" i="515"/>
  <c r="D51" i="515"/>
  <c r="C51" i="515"/>
  <c r="B51" i="515"/>
  <c r="S50" i="515"/>
  <c r="S49" i="515"/>
  <c r="S48" i="515"/>
  <c r="S47" i="515"/>
  <c r="S51" i="515" s="1"/>
  <c r="R45" i="515"/>
  <c r="R133" i="515" s="1"/>
  <c r="R160" i="515" s="1"/>
  <c r="Q45" i="515"/>
  <c r="P45" i="515"/>
  <c r="P133" i="515" s="1"/>
  <c r="P160" i="515" s="1"/>
  <c r="O45" i="515"/>
  <c r="N45" i="515"/>
  <c r="M45" i="515"/>
  <c r="M133" i="515" s="1"/>
  <c r="M160" i="515" s="1"/>
  <c r="L45" i="515"/>
  <c r="K45" i="515"/>
  <c r="J45" i="515"/>
  <c r="J133" i="515" s="1"/>
  <c r="J160" i="515" s="1"/>
  <c r="I45" i="515"/>
  <c r="H45" i="515"/>
  <c r="H133" i="515" s="1"/>
  <c r="H160" i="515" s="1"/>
  <c r="G45" i="515"/>
  <c r="F45" i="515"/>
  <c r="E45" i="515"/>
  <c r="E133" i="515" s="1"/>
  <c r="E160" i="515" s="1"/>
  <c r="D45" i="515"/>
  <c r="C45" i="515"/>
  <c r="B45" i="515"/>
  <c r="B133" i="515" s="1"/>
  <c r="B160" i="515" s="1"/>
  <c r="S44" i="515"/>
  <c r="S43" i="515"/>
  <c r="S42" i="515"/>
  <c r="S45" i="515" s="1"/>
  <c r="S41" i="515"/>
  <c r="S39" i="515"/>
  <c r="P34" i="515"/>
  <c r="P35" i="515" s="1"/>
  <c r="H34" i="515"/>
  <c r="H35" i="515" s="1"/>
  <c r="R33" i="515"/>
  <c r="R34" i="515" s="1"/>
  <c r="R35" i="515" s="1"/>
  <c r="Q33" i="515"/>
  <c r="Q34" i="515" s="1"/>
  <c r="Q35" i="515" s="1"/>
  <c r="P33" i="515"/>
  <c r="M33" i="515"/>
  <c r="M34" i="515" s="1"/>
  <c r="M35" i="515" s="1"/>
  <c r="J33" i="515"/>
  <c r="J34" i="515" s="1"/>
  <c r="J35" i="515" s="1"/>
  <c r="I33" i="515"/>
  <c r="I34" i="515" s="1"/>
  <c r="I35" i="515" s="1"/>
  <c r="H33" i="515"/>
  <c r="E33" i="515"/>
  <c r="E34" i="515" s="1"/>
  <c r="E35" i="515" s="1"/>
  <c r="B33" i="515"/>
  <c r="B34" i="515" s="1"/>
  <c r="B35" i="515" s="1"/>
  <c r="S32" i="515"/>
  <c r="R32" i="515"/>
  <c r="Q32" i="515"/>
  <c r="P32" i="515"/>
  <c r="O32" i="515"/>
  <c r="O33" i="515" s="1"/>
  <c r="O34" i="515" s="1"/>
  <c r="O35" i="515" s="1"/>
  <c r="N32" i="515"/>
  <c r="N33" i="515" s="1"/>
  <c r="N34" i="515" s="1"/>
  <c r="N35" i="515" s="1"/>
  <c r="M32" i="515"/>
  <c r="L32" i="515"/>
  <c r="L33" i="515" s="1"/>
  <c r="L34" i="515" s="1"/>
  <c r="L35" i="515" s="1"/>
  <c r="K32" i="515"/>
  <c r="K33" i="515" s="1"/>
  <c r="K34" i="515" s="1"/>
  <c r="K35" i="515" s="1"/>
  <c r="J32" i="515"/>
  <c r="I32" i="515"/>
  <c r="H32" i="515"/>
  <c r="G32" i="515"/>
  <c r="G33" i="515" s="1"/>
  <c r="G34" i="515" s="1"/>
  <c r="G35" i="515" s="1"/>
  <c r="F32" i="515"/>
  <c r="F33" i="515" s="1"/>
  <c r="F34" i="515" s="1"/>
  <c r="F35" i="515" s="1"/>
  <c r="E32" i="515"/>
  <c r="D32" i="515"/>
  <c r="D33" i="515" s="1"/>
  <c r="D34" i="515" s="1"/>
  <c r="D35" i="515" s="1"/>
  <c r="C32" i="515"/>
  <c r="C33" i="515" s="1"/>
  <c r="C34" i="515" s="1"/>
  <c r="C35" i="515" s="1"/>
  <c r="B32" i="515"/>
  <c r="S31" i="515"/>
  <c r="S30" i="515"/>
  <c r="S28" i="515"/>
  <c r="S27" i="515"/>
  <c r="S26" i="515"/>
  <c r="S33" i="515" s="1"/>
  <c r="S24" i="515"/>
  <c r="S23" i="515"/>
  <c r="S22" i="515"/>
  <c r="S21" i="515"/>
  <c r="S20" i="515"/>
  <c r="P17" i="515"/>
  <c r="O17" i="515"/>
  <c r="O36" i="515" s="1"/>
  <c r="N17" i="515"/>
  <c r="K17" i="515"/>
  <c r="K36" i="515" s="1"/>
  <c r="K161" i="515" s="1"/>
  <c r="K178" i="515" s="1"/>
  <c r="H17" i="515"/>
  <c r="F17" i="515"/>
  <c r="C17" i="515"/>
  <c r="C36" i="515" s="1"/>
  <c r="C161" i="515" s="1"/>
  <c r="R16" i="515"/>
  <c r="R17" i="515" s="1"/>
  <c r="Q16" i="515"/>
  <c r="Q17" i="515" s="1"/>
  <c r="Q36" i="515" s="1"/>
  <c r="Q161" i="515" s="1"/>
  <c r="P16" i="515"/>
  <c r="O16" i="515"/>
  <c r="N16" i="515"/>
  <c r="M16" i="515"/>
  <c r="M17" i="515" s="1"/>
  <c r="M36" i="515" s="1"/>
  <c r="L16" i="515"/>
  <c r="L17" i="515" s="1"/>
  <c r="K16" i="515"/>
  <c r="J16" i="515"/>
  <c r="J17" i="515" s="1"/>
  <c r="J36" i="515" s="1"/>
  <c r="I16" i="515"/>
  <c r="I17" i="515" s="1"/>
  <c r="I36" i="515" s="1"/>
  <c r="I161" i="515" s="1"/>
  <c r="I178" i="515" s="1"/>
  <c r="H16" i="515"/>
  <c r="G16" i="515"/>
  <c r="G17" i="515" s="1"/>
  <c r="F16" i="515"/>
  <c r="E16" i="515"/>
  <c r="E17" i="515" s="1"/>
  <c r="E36" i="515" s="1"/>
  <c r="D16" i="515"/>
  <c r="D17" i="515" s="1"/>
  <c r="C16" i="515"/>
  <c r="B16" i="515"/>
  <c r="B17" i="515" s="1"/>
  <c r="S15" i="515"/>
  <c r="S14" i="515"/>
  <c r="S13" i="515"/>
  <c r="S12" i="515"/>
  <c r="S16" i="515" s="1"/>
  <c r="S17" i="515" s="1"/>
  <c r="R176" i="514"/>
  <c r="Q176" i="514"/>
  <c r="P176" i="514"/>
  <c r="J176" i="514"/>
  <c r="I176" i="514"/>
  <c r="H176" i="514"/>
  <c r="B176" i="514"/>
  <c r="S175" i="514"/>
  <c r="S174" i="514"/>
  <c r="R173" i="514"/>
  <c r="Q173" i="514"/>
  <c r="P173" i="514"/>
  <c r="O173" i="514"/>
  <c r="O176" i="514" s="1"/>
  <c r="N173" i="514"/>
  <c r="N176" i="514" s="1"/>
  <c r="M173" i="514"/>
  <c r="M176" i="514" s="1"/>
  <c r="L173" i="514"/>
  <c r="L176" i="514" s="1"/>
  <c r="K173" i="514"/>
  <c r="K176" i="514" s="1"/>
  <c r="J173" i="514"/>
  <c r="I173" i="514"/>
  <c r="H173" i="514"/>
  <c r="G173" i="514"/>
  <c r="G176" i="514" s="1"/>
  <c r="F173" i="514"/>
  <c r="F176" i="514" s="1"/>
  <c r="E173" i="514"/>
  <c r="E176" i="514" s="1"/>
  <c r="D173" i="514"/>
  <c r="D176" i="514" s="1"/>
  <c r="C173" i="514"/>
  <c r="C176" i="514" s="1"/>
  <c r="B173" i="514"/>
  <c r="S172" i="514"/>
  <c r="S173" i="514" s="1"/>
  <c r="S170" i="514"/>
  <c r="S176" i="514" s="1"/>
  <c r="Q168" i="514"/>
  <c r="Q177" i="514" s="1"/>
  <c r="P168" i="514"/>
  <c r="P177" i="514" s="1"/>
  <c r="M168" i="514"/>
  <c r="M177" i="514" s="1"/>
  <c r="I168" i="514"/>
  <c r="I177" i="514" s="1"/>
  <c r="H168" i="514"/>
  <c r="H177" i="514" s="1"/>
  <c r="E168" i="514"/>
  <c r="S167" i="514"/>
  <c r="S168" i="514" s="1"/>
  <c r="R167" i="514"/>
  <c r="R168" i="514" s="1"/>
  <c r="R177" i="514" s="1"/>
  <c r="Q167" i="514"/>
  <c r="P167" i="514"/>
  <c r="O167" i="514"/>
  <c r="O168" i="514" s="1"/>
  <c r="N167" i="514"/>
  <c r="N168" i="514" s="1"/>
  <c r="M167" i="514"/>
  <c r="L167" i="514"/>
  <c r="L168" i="514" s="1"/>
  <c r="K167" i="514"/>
  <c r="K168" i="514" s="1"/>
  <c r="J167" i="514"/>
  <c r="J168" i="514" s="1"/>
  <c r="J177" i="514" s="1"/>
  <c r="I167" i="514"/>
  <c r="H167" i="514"/>
  <c r="G167" i="514"/>
  <c r="G168" i="514" s="1"/>
  <c r="F167" i="514"/>
  <c r="F168" i="514" s="1"/>
  <c r="E167" i="514"/>
  <c r="D167" i="514"/>
  <c r="D168" i="514" s="1"/>
  <c r="C167" i="514"/>
  <c r="C168" i="514" s="1"/>
  <c r="B167" i="514"/>
  <c r="B168" i="514" s="1"/>
  <c r="B177" i="514" s="1"/>
  <c r="S166" i="514"/>
  <c r="S165" i="514"/>
  <c r="R159" i="514"/>
  <c r="O159" i="514"/>
  <c r="K159" i="514"/>
  <c r="J159" i="514"/>
  <c r="G159" i="514"/>
  <c r="C159" i="514"/>
  <c r="B159" i="514"/>
  <c r="R158" i="514"/>
  <c r="Q158" i="514"/>
  <c r="P158" i="514"/>
  <c r="O158" i="514"/>
  <c r="N158" i="514"/>
  <c r="M158" i="514"/>
  <c r="L158" i="514"/>
  <c r="L159" i="514" s="1"/>
  <c r="K158" i="514"/>
  <c r="J158" i="514"/>
  <c r="I158" i="514"/>
  <c r="H158" i="514"/>
  <c r="G158" i="514"/>
  <c r="F158" i="514"/>
  <c r="E158" i="514"/>
  <c r="D158" i="514"/>
  <c r="D159" i="514" s="1"/>
  <c r="C158" i="514"/>
  <c r="B158" i="514"/>
  <c r="S157" i="514"/>
  <c r="S156" i="514"/>
  <c r="S158" i="514" s="1"/>
  <c r="R154" i="514"/>
  <c r="Q154" i="514"/>
  <c r="Q159" i="514" s="1"/>
  <c r="P154" i="514"/>
  <c r="P159" i="514" s="1"/>
  <c r="O154" i="514"/>
  <c r="N154" i="514"/>
  <c r="N159" i="514" s="1"/>
  <c r="M154" i="514"/>
  <c r="M159" i="514" s="1"/>
  <c r="L154" i="514"/>
  <c r="K154" i="514"/>
  <c r="J154" i="514"/>
  <c r="I154" i="514"/>
  <c r="I159" i="514" s="1"/>
  <c r="H154" i="514"/>
  <c r="H159" i="514" s="1"/>
  <c r="G154" i="514"/>
  <c r="F154" i="514"/>
  <c r="F159" i="514" s="1"/>
  <c r="E154" i="514"/>
  <c r="E159" i="514" s="1"/>
  <c r="D154" i="514"/>
  <c r="C154" i="514"/>
  <c r="B154" i="514"/>
  <c r="S153" i="514"/>
  <c r="S152" i="514"/>
  <c r="S154" i="514" s="1"/>
  <c r="S150" i="514"/>
  <c r="S149" i="514"/>
  <c r="S148" i="514"/>
  <c r="S147" i="514"/>
  <c r="S146" i="514"/>
  <c r="S145" i="514"/>
  <c r="S144" i="514"/>
  <c r="S143" i="514"/>
  <c r="S142" i="514"/>
  <c r="S141" i="514"/>
  <c r="S140" i="514"/>
  <c r="S139" i="514"/>
  <c r="S138" i="514"/>
  <c r="S137" i="514"/>
  <c r="S136" i="514"/>
  <c r="S135" i="514"/>
  <c r="R132" i="514"/>
  <c r="Q132" i="514"/>
  <c r="P132" i="514"/>
  <c r="O132" i="514"/>
  <c r="N132" i="514"/>
  <c r="M132" i="514"/>
  <c r="L132" i="514"/>
  <c r="K132" i="514"/>
  <c r="J132" i="514"/>
  <c r="I132" i="514"/>
  <c r="H132" i="514"/>
  <c r="G132" i="514"/>
  <c r="F132" i="514"/>
  <c r="E132" i="514"/>
  <c r="D132" i="514"/>
  <c r="C132" i="514"/>
  <c r="B132" i="514"/>
  <c r="S131" i="514"/>
  <c r="S130" i="514"/>
  <c r="S129" i="514"/>
  <c r="S128" i="514"/>
  <c r="S132" i="514" s="1"/>
  <c r="Q126" i="514"/>
  <c r="M126" i="514"/>
  <c r="L126" i="514"/>
  <c r="I126" i="514"/>
  <c r="E126" i="514"/>
  <c r="D126" i="514"/>
  <c r="R125" i="514"/>
  <c r="R126" i="514" s="1"/>
  <c r="Q125" i="514"/>
  <c r="P125" i="514"/>
  <c r="P126" i="514" s="1"/>
  <c r="O125" i="514"/>
  <c r="O126" i="514" s="1"/>
  <c r="N125" i="514"/>
  <c r="N126" i="514" s="1"/>
  <c r="M125" i="514"/>
  <c r="L125" i="514"/>
  <c r="K125" i="514"/>
  <c r="K126" i="514" s="1"/>
  <c r="J125" i="514"/>
  <c r="J126" i="514" s="1"/>
  <c r="I125" i="514"/>
  <c r="H125" i="514"/>
  <c r="H126" i="514" s="1"/>
  <c r="G125" i="514"/>
  <c r="G126" i="514" s="1"/>
  <c r="F125" i="514"/>
  <c r="F126" i="514" s="1"/>
  <c r="E125" i="514"/>
  <c r="D125" i="514"/>
  <c r="C125" i="514"/>
  <c r="C126" i="514" s="1"/>
  <c r="B125" i="514"/>
  <c r="B126" i="514" s="1"/>
  <c r="S124" i="514"/>
  <c r="S123" i="514"/>
  <c r="S125" i="514" s="1"/>
  <c r="S121" i="514"/>
  <c r="S120" i="514"/>
  <c r="S119" i="514"/>
  <c r="S118" i="514"/>
  <c r="S117" i="514"/>
  <c r="S116" i="514"/>
  <c r="S115" i="514"/>
  <c r="S114" i="514"/>
  <c r="S113" i="514"/>
  <c r="S112" i="514"/>
  <c r="S111" i="514"/>
  <c r="S110" i="514"/>
  <c r="S109" i="514"/>
  <c r="S108" i="514"/>
  <c r="S107" i="514"/>
  <c r="S126" i="514" s="1"/>
  <c r="R105" i="514"/>
  <c r="Q105" i="514"/>
  <c r="P105" i="514"/>
  <c r="O105" i="514"/>
  <c r="N105" i="514"/>
  <c r="M105" i="514"/>
  <c r="L105" i="514"/>
  <c r="K105" i="514"/>
  <c r="J105" i="514"/>
  <c r="I105" i="514"/>
  <c r="H105" i="514"/>
  <c r="G105" i="514"/>
  <c r="F105" i="514"/>
  <c r="E105" i="514"/>
  <c r="D105" i="514"/>
  <c r="C105" i="514"/>
  <c r="B105" i="514"/>
  <c r="S104" i="514"/>
  <c r="S105" i="514" s="1"/>
  <c r="S103" i="514"/>
  <c r="R101" i="514"/>
  <c r="Q101" i="514"/>
  <c r="P101" i="514"/>
  <c r="O101" i="514"/>
  <c r="N101" i="514"/>
  <c r="M101" i="514"/>
  <c r="L101" i="514"/>
  <c r="K101" i="514"/>
  <c r="J101" i="514"/>
  <c r="I101" i="514"/>
  <c r="H101" i="514"/>
  <c r="G101" i="514"/>
  <c r="F101" i="514"/>
  <c r="E101" i="514"/>
  <c r="D101" i="514"/>
  <c r="C101" i="514"/>
  <c r="B101" i="514"/>
  <c r="S100" i="514"/>
  <c r="S101" i="514" s="1"/>
  <c r="R98" i="514"/>
  <c r="Q98" i="514"/>
  <c r="P98" i="514"/>
  <c r="O98" i="514"/>
  <c r="N98" i="514"/>
  <c r="M98" i="514"/>
  <c r="L98" i="514"/>
  <c r="K98" i="514"/>
  <c r="J98" i="514"/>
  <c r="I98" i="514"/>
  <c r="H98" i="514"/>
  <c r="G98" i="514"/>
  <c r="F98" i="514"/>
  <c r="E98" i="514"/>
  <c r="D98" i="514"/>
  <c r="C98" i="514"/>
  <c r="B98" i="514"/>
  <c r="S97" i="514"/>
  <c r="S96" i="514"/>
  <c r="S95" i="514"/>
  <c r="S94" i="514"/>
  <c r="S93" i="514"/>
  <c r="S92" i="514"/>
  <c r="S91" i="514"/>
  <c r="S90" i="514"/>
  <c r="S89" i="514"/>
  <c r="S88" i="514"/>
  <c r="S87" i="514"/>
  <c r="S86" i="514"/>
  <c r="S98" i="514" s="1"/>
  <c r="R84" i="514"/>
  <c r="Q84" i="514"/>
  <c r="P84" i="514"/>
  <c r="O84" i="514"/>
  <c r="N84" i="514"/>
  <c r="M84" i="514"/>
  <c r="L84" i="514"/>
  <c r="K84" i="514"/>
  <c r="J84" i="514"/>
  <c r="I84" i="514"/>
  <c r="H84" i="514"/>
  <c r="G84" i="514"/>
  <c r="F84" i="514"/>
  <c r="E84" i="514"/>
  <c r="D84" i="514"/>
  <c r="C84" i="514"/>
  <c r="B84" i="514"/>
  <c r="S83" i="514"/>
  <c r="S82" i="514"/>
  <c r="S81" i="514"/>
  <c r="S80" i="514"/>
  <c r="S84" i="514" s="1"/>
  <c r="S79" i="514"/>
  <c r="R77" i="514"/>
  <c r="Q77" i="514"/>
  <c r="P77" i="514"/>
  <c r="O77" i="514"/>
  <c r="N77" i="514"/>
  <c r="M77" i="514"/>
  <c r="L77" i="514"/>
  <c r="K77" i="514"/>
  <c r="J77" i="514"/>
  <c r="I77" i="514"/>
  <c r="H77" i="514"/>
  <c r="G77" i="514"/>
  <c r="F77" i="514"/>
  <c r="E77" i="514"/>
  <c r="D77" i="514"/>
  <c r="C77" i="514"/>
  <c r="B77" i="514"/>
  <c r="S76" i="514"/>
  <c r="S75" i="514"/>
  <c r="S74" i="514"/>
  <c r="S73" i="514"/>
  <c r="S72" i="514"/>
  <c r="S77" i="514" s="1"/>
  <c r="R70" i="514"/>
  <c r="Q70" i="514"/>
  <c r="P70" i="514"/>
  <c r="O70" i="514"/>
  <c r="N70" i="514"/>
  <c r="M70" i="514"/>
  <c r="L70" i="514"/>
  <c r="L133" i="514" s="1"/>
  <c r="L160" i="514" s="1"/>
  <c r="K70" i="514"/>
  <c r="J70" i="514"/>
  <c r="I70" i="514"/>
  <c r="H70" i="514"/>
  <c r="G70" i="514"/>
  <c r="F70" i="514"/>
  <c r="E70" i="514"/>
  <c r="D70" i="514"/>
  <c r="D133" i="514" s="1"/>
  <c r="D160" i="514" s="1"/>
  <c r="C70" i="514"/>
  <c r="B70" i="514"/>
  <c r="S69" i="514"/>
  <c r="S68" i="514"/>
  <c r="S67" i="514"/>
  <c r="S66" i="514"/>
  <c r="S65" i="514"/>
  <c r="S64" i="514"/>
  <c r="S63" i="514"/>
  <c r="S62" i="514"/>
  <c r="S61" i="514"/>
  <c r="S70" i="514" s="1"/>
  <c r="R59" i="514"/>
  <c r="Q59" i="514"/>
  <c r="P59" i="514"/>
  <c r="O59" i="514"/>
  <c r="N59" i="514"/>
  <c r="M59" i="514"/>
  <c r="L59" i="514"/>
  <c r="K59" i="514"/>
  <c r="J59" i="514"/>
  <c r="I59" i="514"/>
  <c r="H59" i="514"/>
  <c r="G59" i="514"/>
  <c r="F59" i="514"/>
  <c r="E59" i="514"/>
  <c r="D59" i="514"/>
  <c r="C59" i="514"/>
  <c r="B59" i="514"/>
  <c r="S58" i="514"/>
  <c r="S57" i="514"/>
  <c r="S59" i="514" s="1"/>
  <c r="S55" i="514"/>
  <c r="R55" i="514"/>
  <c r="Q55" i="514"/>
  <c r="P55" i="514"/>
  <c r="O55" i="514"/>
  <c r="N55" i="514"/>
  <c r="M55" i="514"/>
  <c r="L55" i="514"/>
  <c r="K55" i="514"/>
  <c r="J55" i="514"/>
  <c r="I55" i="514"/>
  <c r="H55" i="514"/>
  <c r="G55" i="514"/>
  <c r="F55" i="514"/>
  <c r="E55" i="514"/>
  <c r="D55" i="514"/>
  <c r="C55" i="514"/>
  <c r="B55" i="514"/>
  <c r="S54" i="514"/>
  <c r="S53" i="514"/>
  <c r="R51" i="514"/>
  <c r="Q51" i="514"/>
  <c r="P51" i="514"/>
  <c r="O51" i="514"/>
  <c r="N51" i="514"/>
  <c r="M51" i="514"/>
  <c r="L51" i="514"/>
  <c r="K51" i="514"/>
  <c r="J51" i="514"/>
  <c r="I51" i="514"/>
  <c r="H51" i="514"/>
  <c r="G51" i="514"/>
  <c r="F51" i="514"/>
  <c r="E51" i="514"/>
  <c r="D51" i="514"/>
  <c r="C51" i="514"/>
  <c r="B51" i="514"/>
  <c r="S50" i="514"/>
  <c r="S49" i="514"/>
  <c r="S48" i="514"/>
  <c r="S47" i="514"/>
  <c r="S51" i="514" s="1"/>
  <c r="R45" i="514"/>
  <c r="R133" i="514" s="1"/>
  <c r="R160" i="514" s="1"/>
  <c r="Q45" i="514"/>
  <c r="Q133" i="514" s="1"/>
  <c r="Q160" i="514" s="1"/>
  <c r="P45" i="514"/>
  <c r="P133" i="514" s="1"/>
  <c r="P160" i="514" s="1"/>
  <c r="O45" i="514"/>
  <c r="O133" i="514" s="1"/>
  <c r="O160" i="514" s="1"/>
  <c r="N45" i="514"/>
  <c r="N133" i="514" s="1"/>
  <c r="M45" i="514"/>
  <c r="M133" i="514" s="1"/>
  <c r="L45" i="514"/>
  <c r="K45" i="514"/>
  <c r="J45" i="514"/>
  <c r="J133" i="514" s="1"/>
  <c r="J160" i="514" s="1"/>
  <c r="I45" i="514"/>
  <c r="I133" i="514" s="1"/>
  <c r="I160" i="514" s="1"/>
  <c r="H45" i="514"/>
  <c r="H133" i="514" s="1"/>
  <c r="H160" i="514" s="1"/>
  <c r="G45" i="514"/>
  <c r="G133" i="514" s="1"/>
  <c r="G160" i="514" s="1"/>
  <c r="F45" i="514"/>
  <c r="F133" i="514" s="1"/>
  <c r="E45" i="514"/>
  <c r="E133" i="514" s="1"/>
  <c r="D45" i="514"/>
  <c r="C45" i="514"/>
  <c r="B45" i="514"/>
  <c r="B133" i="514" s="1"/>
  <c r="B160" i="514" s="1"/>
  <c r="S44" i="514"/>
  <c r="S43" i="514"/>
  <c r="S42" i="514"/>
  <c r="S41" i="514"/>
  <c r="S45" i="514" s="1"/>
  <c r="S39" i="514"/>
  <c r="R33" i="514"/>
  <c r="R34" i="514" s="1"/>
  <c r="R35" i="514" s="1"/>
  <c r="K33" i="514"/>
  <c r="K34" i="514" s="1"/>
  <c r="K35" i="514" s="1"/>
  <c r="J33" i="514"/>
  <c r="J34" i="514" s="1"/>
  <c r="J35" i="514" s="1"/>
  <c r="C33" i="514"/>
  <c r="C34" i="514" s="1"/>
  <c r="C35" i="514" s="1"/>
  <c r="B33" i="514"/>
  <c r="B34" i="514" s="1"/>
  <c r="B35" i="514" s="1"/>
  <c r="R32" i="514"/>
  <c r="Q32" i="514"/>
  <c r="Q33" i="514" s="1"/>
  <c r="Q34" i="514" s="1"/>
  <c r="Q35" i="514" s="1"/>
  <c r="P32" i="514"/>
  <c r="P33" i="514" s="1"/>
  <c r="P34" i="514" s="1"/>
  <c r="P35" i="514" s="1"/>
  <c r="O32" i="514"/>
  <c r="O33" i="514" s="1"/>
  <c r="O34" i="514" s="1"/>
  <c r="O35" i="514" s="1"/>
  <c r="N32" i="514"/>
  <c r="N33" i="514" s="1"/>
  <c r="N34" i="514" s="1"/>
  <c r="N35" i="514" s="1"/>
  <c r="M32" i="514"/>
  <c r="M33" i="514" s="1"/>
  <c r="M34" i="514" s="1"/>
  <c r="M35" i="514" s="1"/>
  <c r="L32" i="514"/>
  <c r="L33" i="514" s="1"/>
  <c r="L34" i="514" s="1"/>
  <c r="L35" i="514" s="1"/>
  <c r="K32" i="514"/>
  <c r="J32" i="514"/>
  <c r="I32" i="514"/>
  <c r="I33" i="514" s="1"/>
  <c r="I34" i="514" s="1"/>
  <c r="I35" i="514" s="1"/>
  <c r="H32" i="514"/>
  <c r="H33" i="514" s="1"/>
  <c r="H34" i="514" s="1"/>
  <c r="H35" i="514" s="1"/>
  <c r="G32" i="514"/>
  <c r="G33" i="514" s="1"/>
  <c r="G34" i="514" s="1"/>
  <c r="G35" i="514" s="1"/>
  <c r="F32" i="514"/>
  <c r="F33" i="514" s="1"/>
  <c r="F34" i="514" s="1"/>
  <c r="F35" i="514" s="1"/>
  <c r="E32" i="514"/>
  <c r="E33" i="514" s="1"/>
  <c r="E34" i="514" s="1"/>
  <c r="E35" i="514" s="1"/>
  <c r="D32" i="514"/>
  <c r="D33" i="514" s="1"/>
  <c r="D34" i="514" s="1"/>
  <c r="D35" i="514" s="1"/>
  <c r="C32" i="514"/>
  <c r="B32" i="514"/>
  <c r="S31" i="514"/>
  <c r="S30" i="514"/>
  <c r="S32" i="514" s="1"/>
  <c r="S28" i="514"/>
  <c r="S27" i="514"/>
  <c r="S26" i="514"/>
  <c r="S33" i="514" s="1"/>
  <c r="S24" i="514"/>
  <c r="S23" i="514"/>
  <c r="S22" i="514"/>
  <c r="S21" i="514"/>
  <c r="S20" i="514"/>
  <c r="Q17" i="514"/>
  <c r="P17" i="514"/>
  <c r="P36" i="514" s="1"/>
  <c r="P161" i="514" s="1"/>
  <c r="I17" i="514"/>
  <c r="I36" i="514" s="1"/>
  <c r="H17" i="514"/>
  <c r="H36" i="514" s="1"/>
  <c r="H161" i="514" s="1"/>
  <c r="H178" i="514" s="1"/>
  <c r="S16" i="514"/>
  <c r="S17" i="514" s="1"/>
  <c r="R16" i="514"/>
  <c r="R17" i="514" s="1"/>
  <c r="R36" i="514" s="1"/>
  <c r="Q16" i="514"/>
  <c r="P16" i="514"/>
  <c r="O16" i="514"/>
  <c r="O17" i="514" s="1"/>
  <c r="O36" i="514" s="1"/>
  <c r="N16" i="514"/>
  <c r="N17" i="514" s="1"/>
  <c r="N36" i="514" s="1"/>
  <c r="M16" i="514"/>
  <c r="M17" i="514" s="1"/>
  <c r="M36" i="514" s="1"/>
  <c r="L16" i="514"/>
  <c r="L17" i="514" s="1"/>
  <c r="K16" i="514"/>
  <c r="K17" i="514" s="1"/>
  <c r="K36" i="514" s="1"/>
  <c r="J16" i="514"/>
  <c r="J17" i="514" s="1"/>
  <c r="I16" i="514"/>
  <c r="H16" i="514"/>
  <c r="G16" i="514"/>
  <c r="G17" i="514" s="1"/>
  <c r="G36" i="514" s="1"/>
  <c r="F16" i="514"/>
  <c r="F17" i="514" s="1"/>
  <c r="F36" i="514" s="1"/>
  <c r="E16" i="514"/>
  <c r="E17" i="514" s="1"/>
  <c r="D16" i="514"/>
  <c r="D17" i="514" s="1"/>
  <c r="C16" i="514"/>
  <c r="C17" i="514" s="1"/>
  <c r="B16" i="514"/>
  <c r="B17" i="514" s="1"/>
  <c r="B36" i="514" s="1"/>
  <c r="S15" i="514"/>
  <c r="S14" i="514"/>
  <c r="S13" i="514"/>
  <c r="S12" i="514"/>
  <c r="M178" i="513"/>
  <c r="K178" i="513"/>
  <c r="K177" i="513"/>
  <c r="M177" i="513" s="1"/>
  <c r="L176" i="513"/>
  <c r="L179" i="513" s="1"/>
  <c r="J176" i="513"/>
  <c r="J179" i="513" s="1"/>
  <c r="I176" i="513"/>
  <c r="I179" i="513" s="1"/>
  <c r="H176" i="513"/>
  <c r="H179" i="513" s="1"/>
  <c r="G176" i="513"/>
  <c r="G179" i="513" s="1"/>
  <c r="F176" i="513"/>
  <c r="F179" i="513" s="1"/>
  <c r="E176" i="513"/>
  <c r="E179" i="513" s="1"/>
  <c r="D176" i="513"/>
  <c r="D179" i="513" s="1"/>
  <c r="C176" i="513"/>
  <c r="C179" i="513" s="1"/>
  <c r="B176" i="513"/>
  <c r="B179" i="513" s="1"/>
  <c r="M175" i="513"/>
  <c r="K175" i="513"/>
  <c r="K174" i="513"/>
  <c r="M174" i="513" s="1"/>
  <c r="M173" i="513"/>
  <c r="K173" i="513"/>
  <c r="K172" i="513"/>
  <c r="M172" i="513" s="1"/>
  <c r="L171" i="513"/>
  <c r="L180" i="513" s="1"/>
  <c r="J171" i="513"/>
  <c r="J180" i="513" s="1"/>
  <c r="D171" i="513"/>
  <c r="D180" i="513" s="1"/>
  <c r="C171" i="513"/>
  <c r="B171" i="513"/>
  <c r="L170" i="513"/>
  <c r="J170" i="513"/>
  <c r="I170" i="513"/>
  <c r="I171" i="513" s="1"/>
  <c r="H170" i="513"/>
  <c r="H171" i="513" s="1"/>
  <c r="H180" i="513" s="1"/>
  <c r="G170" i="513"/>
  <c r="G171" i="513" s="1"/>
  <c r="F170" i="513"/>
  <c r="F171" i="513" s="1"/>
  <c r="E170" i="513"/>
  <c r="E171" i="513" s="1"/>
  <c r="E180" i="513" s="1"/>
  <c r="D170" i="513"/>
  <c r="K170" i="513" s="1"/>
  <c r="M170" i="513" s="1"/>
  <c r="C170" i="513"/>
  <c r="B170" i="513"/>
  <c r="M169" i="513"/>
  <c r="K169" i="513"/>
  <c r="K168" i="513"/>
  <c r="M168" i="513" s="1"/>
  <c r="M167" i="513"/>
  <c r="K167" i="513"/>
  <c r="K166" i="513"/>
  <c r="M166" i="513" s="1"/>
  <c r="M165" i="513"/>
  <c r="K165" i="513"/>
  <c r="L161" i="513"/>
  <c r="F161" i="513"/>
  <c r="D161" i="513"/>
  <c r="L160" i="513"/>
  <c r="J160" i="513"/>
  <c r="I160" i="513"/>
  <c r="H160" i="513"/>
  <c r="H161" i="513" s="1"/>
  <c r="G160" i="513"/>
  <c r="G161" i="513" s="1"/>
  <c r="F160" i="513"/>
  <c r="E160" i="513"/>
  <c r="D160" i="513"/>
  <c r="C160" i="513"/>
  <c r="C161" i="513" s="1"/>
  <c r="B160" i="513"/>
  <c r="K159" i="513"/>
  <c r="M159" i="513" s="1"/>
  <c r="M158" i="513"/>
  <c r="K158" i="513"/>
  <c r="K157" i="513"/>
  <c r="M157" i="513" s="1"/>
  <c r="L156" i="513"/>
  <c r="J156" i="513"/>
  <c r="J161" i="513" s="1"/>
  <c r="I156" i="513"/>
  <c r="I161" i="513" s="1"/>
  <c r="H156" i="513"/>
  <c r="G156" i="513"/>
  <c r="F156" i="513"/>
  <c r="E156" i="513"/>
  <c r="E161" i="513" s="1"/>
  <c r="D156" i="513"/>
  <c r="K156" i="513" s="1"/>
  <c r="C156" i="513"/>
  <c r="B156" i="513"/>
  <c r="B161" i="513" s="1"/>
  <c r="M155" i="513"/>
  <c r="K155" i="513"/>
  <c r="K154" i="513"/>
  <c r="M154" i="513" s="1"/>
  <c r="M153" i="513"/>
  <c r="K153" i="513"/>
  <c r="K152" i="513"/>
  <c r="M152" i="513" s="1"/>
  <c r="M151" i="513"/>
  <c r="K151" i="513"/>
  <c r="K150" i="513"/>
  <c r="M150" i="513" s="1"/>
  <c r="M149" i="513"/>
  <c r="K149" i="513"/>
  <c r="K148" i="513"/>
  <c r="M148" i="513" s="1"/>
  <c r="M147" i="513"/>
  <c r="K147" i="513"/>
  <c r="K146" i="513"/>
  <c r="M146" i="513" s="1"/>
  <c r="M145" i="513"/>
  <c r="K145" i="513"/>
  <c r="K144" i="513"/>
  <c r="M144" i="513" s="1"/>
  <c r="M143" i="513"/>
  <c r="K143" i="513"/>
  <c r="K142" i="513"/>
  <c r="M142" i="513" s="1"/>
  <c r="M141" i="513"/>
  <c r="K141" i="513"/>
  <c r="K140" i="513"/>
  <c r="M140" i="513" s="1"/>
  <c r="M139" i="513"/>
  <c r="K139" i="513"/>
  <c r="K138" i="513"/>
  <c r="M138" i="513" s="1"/>
  <c r="M137" i="513"/>
  <c r="K137" i="513"/>
  <c r="K136" i="513"/>
  <c r="M136" i="513" s="1"/>
  <c r="L134" i="513"/>
  <c r="J134" i="513"/>
  <c r="I134" i="513"/>
  <c r="H134" i="513"/>
  <c r="G134" i="513"/>
  <c r="F134" i="513"/>
  <c r="E134" i="513"/>
  <c r="D134" i="513"/>
  <c r="K134" i="513" s="1"/>
  <c r="C134" i="513"/>
  <c r="B134" i="513"/>
  <c r="M134" i="513" s="1"/>
  <c r="M133" i="513"/>
  <c r="K133" i="513"/>
  <c r="K132" i="513"/>
  <c r="M132" i="513" s="1"/>
  <c r="M131" i="513"/>
  <c r="K131" i="513"/>
  <c r="K130" i="513"/>
  <c r="M130" i="513" s="1"/>
  <c r="M129" i="513"/>
  <c r="K129" i="513"/>
  <c r="J128" i="513"/>
  <c r="I128" i="513"/>
  <c r="H128" i="513"/>
  <c r="G128" i="513"/>
  <c r="C128" i="513"/>
  <c r="B128" i="513"/>
  <c r="L127" i="513"/>
  <c r="L128" i="513" s="1"/>
  <c r="J127" i="513"/>
  <c r="I127" i="513"/>
  <c r="H127" i="513"/>
  <c r="G127" i="513"/>
  <c r="F127" i="513"/>
  <c r="F128" i="513" s="1"/>
  <c r="E127" i="513"/>
  <c r="E128" i="513" s="1"/>
  <c r="D127" i="513"/>
  <c r="K127" i="513" s="1"/>
  <c r="C127" i="513"/>
  <c r="M127" i="513" s="1"/>
  <c r="B127" i="513"/>
  <c r="K126" i="513"/>
  <c r="M126" i="513" s="1"/>
  <c r="M125" i="513"/>
  <c r="K125" i="513"/>
  <c r="K124" i="513"/>
  <c r="M124" i="513" s="1"/>
  <c r="M123" i="513"/>
  <c r="K123" i="513"/>
  <c r="K122" i="513"/>
  <c r="M122" i="513" s="1"/>
  <c r="M121" i="513"/>
  <c r="K121" i="513"/>
  <c r="K120" i="513"/>
  <c r="M120" i="513" s="1"/>
  <c r="M119" i="513"/>
  <c r="K119" i="513"/>
  <c r="K118" i="513"/>
  <c r="M118" i="513" s="1"/>
  <c r="M117" i="513"/>
  <c r="K117" i="513"/>
  <c r="K116" i="513"/>
  <c r="M116" i="513" s="1"/>
  <c r="M115" i="513"/>
  <c r="K115" i="513"/>
  <c r="K114" i="513"/>
  <c r="M114" i="513" s="1"/>
  <c r="M113" i="513"/>
  <c r="K113" i="513"/>
  <c r="K112" i="513"/>
  <c r="M112" i="513" s="1"/>
  <c r="M111" i="513"/>
  <c r="K111" i="513"/>
  <c r="K110" i="513"/>
  <c r="M110" i="513" s="1"/>
  <c r="M109" i="513"/>
  <c r="K109" i="513"/>
  <c r="K108" i="513"/>
  <c r="M108" i="513" s="1"/>
  <c r="L107" i="513"/>
  <c r="J107" i="513"/>
  <c r="I107" i="513"/>
  <c r="H107" i="513"/>
  <c r="G107" i="513"/>
  <c r="F107" i="513"/>
  <c r="E107" i="513"/>
  <c r="K107" i="513" s="1"/>
  <c r="M107" i="513" s="1"/>
  <c r="D107" i="513"/>
  <c r="C107" i="513"/>
  <c r="B107" i="513"/>
  <c r="M106" i="513"/>
  <c r="K106" i="513"/>
  <c r="K105" i="513"/>
  <c r="M105" i="513" s="1"/>
  <c r="M104" i="513"/>
  <c r="K104" i="513"/>
  <c r="L103" i="513"/>
  <c r="J103" i="513"/>
  <c r="I103" i="513"/>
  <c r="H103" i="513"/>
  <c r="G103" i="513"/>
  <c r="K103" i="513" s="1"/>
  <c r="F103" i="513"/>
  <c r="E103" i="513"/>
  <c r="D103" i="513"/>
  <c r="C103" i="513"/>
  <c r="M103" i="513" s="1"/>
  <c r="B103" i="513"/>
  <c r="K102" i="513"/>
  <c r="M102" i="513" s="1"/>
  <c r="M101" i="513"/>
  <c r="K101" i="513"/>
  <c r="L100" i="513"/>
  <c r="J100" i="513"/>
  <c r="I100" i="513"/>
  <c r="H100" i="513"/>
  <c r="G100" i="513"/>
  <c r="K100" i="513" s="1"/>
  <c r="F100" i="513"/>
  <c r="E100" i="513"/>
  <c r="D100" i="513"/>
  <c r="C100" i="513"/>
  <c r="M100" i="513" s="1"/>
  <c r="B100" i="513"/>
  <c r="K99" i="513"/>
  <c r="M99" i="513" s="1"/>
  <c r="M98" i="513"/>
  <c r="K98" i="513"/>
  <c r="K97" i="513"/>
  <c r="M97" i="513" s="1"/>
  <c r="M96" i="513"/>
  <c r="K96" i="513"/>
  <c r="K95" i="513"/>
  <c r="M95" i="513" s="1"/>
  <c r="M94" i="513"/>
  <c r="K94" i="513"/>
  <c r="K93" i="513"/>
  <c r="M93" i="513" s="1"/>
  <c r="M92" i="513"/>
  <c r="K92" i="513"/>
  <c r="K91" i="513"/>
  <c r="M91" i="513" s="1"/>
  <c r="M90" i="513"/>
  <c r="K90" i="513"/>
  <c r="K89" i="513"/>
  <c r="M89" i="513" s="1"/>
  <c r="M88" i="513"/>
  <c r="K88" i="513"/>
  <c r="K87" i="513"/>
  <c r="M87" i="513" s="1"/>
  <c r="L86" i="513"/>
  <c r="J86" i="513"/>
  <c r="I86" i="513"/>
  <c r="H86" i="513"/>
  <c r="G86" i="513"/>
  <c r="F86" i="513"/>
  <c r="E86" i="513"/>
  <c r="K86" i="513" s="1"/>
  <c r="M86" i="513" s="1"/>
  <c r="D86" i="513"/>
  <c r="C86" i="513"/>
  <c r="B86" i="513"/>
  <c r="M85" i="513"/>
  <c r="K85" i="513"/>
  <c r="K84" i="513"/>
  <c r="M84" i="513" s="1"/>
  <c r="M83" i="513"/>
  <c r="K83" i="513"/>
  <c r="K82" i="513"/>
  <c r="M82" i="513" s="1"/>
  <c r="M81" i="513"/>
  <c r="K81" i="513"/>
  <c r="K80" i="513"/>
  <c r="M80" i="513" s="1"/>
  <c r="L79" i="513"/>
  <c r="J79" i="513"/>
  <c r="I79" i="513"/>
  <c r="H79" i="513"/>
  <c r="G79" i="513"/>
  <c r="F79" i="513"/>
  <c r="E79" i="513"/>
  <c r="K79" i="513" s="1"/>
  <c r="M79" i="513" s="1"/>
  <c r="D79" i="513"/>
  <c r="C79" i="513"/>
  <c r="B79" i="513"/>
  <c r="M78" i="513"/>
  <c r="K78" i="513"/>
  <c r="K77" i="513"/>
  <c r="M77" i="513" s="1"/>
  <c r="M76" i="513"/>
  <c r="K76" i="513"/>
  <c r="K75" i="513"/>
  <c r="M75" i="513" s="1"/>
  <c r="M74" i="513"/>
  <c r="K74" i="513"/>
  <c r="K73" i="513"/>
  <c r="M73" i="513" s="1"/>
  <c r="L72" i="513"/>
  <c r="J72" i="513"/>
  <c r="I72" i="513"/>
  <c r="H72" i="513"/>
  <c r="G72" i="513"/>
  <c r="F72" i="513"/>
  <c r="E72" i="513"/>
  <c r="K72" i="513" s="1"/>
  <c r="M72" i="513" s="1"/>
  <c r="D72" i="513"/>
  <c r="C72" i="513"/>
  <c r="B72" i="513"/>
  <c r="M71" i="513"/>
  <c r="K71" i="513"/>
  <c r="K70" i="513"/>
  <c r="M70" i="513" s="1"/>
  <c r="M69" i="513"/>
  <c r="K69" i="513"/>
  <c r="K68" i="513"/>
  <c r="M68" i="513" s="1"/>
  <c r="M67" i="513"/>
  <c r="K67" i="513"/>
  <c r="K66" i="513"/>
  <c r="M66" i="513" s="1"/>
  <c r="M65" i="513"/>
  <c r="K65" i="513"/>
  <c r="K64" i="513"/>
  <c r="M64" i="513" s="1"/>
  <c r="M63" i="513"/>
  <c r="K63" i="513"/>
  <c r="K62" i="513"/>
  <c r="M62" i="513" s="1"/>
  <c r="L61" i="513"/>
  <c r="J61" i="513"/>
  <c r="I61" i="513"/>
  <c r="H61" i="513"/>
  <c r="G61" i="513"/>
  <c r="F61" i="513"/>
  <c r="E61" i="513"/>
  <c r="K61" i="513" s="1"/>
  <c r="M61" i="513" s="1"/>
  <c r="D61" i="513"/>
  <c r="C61" i="513"/>
  <c r="B61" i="513"/>
  <c r="M60" i="513"/>
  <c r="K60" i="513"/>
  <c r="K59" i="513"/>
  <c r="M59" i="513" s="1"/>
  <c r="M58" i="513"/>
  <c r="K58" i="513"/>
  <c r="L57" i="513"/>
  <c r="J57" i="513"/>
  <c r="I57" i="513"/>
  <c r="H57" i="513"/>
  <c r="G57" i="513"/>
  <c r="K57" i="513" s="1"/>
  <c r="F57" i="513"/>
  <c r="E57" i="513"/>
  <c r="D57" i="513"/>
  <c r="C57" i="513"/>
  <c r="M57" i="513" s="1"/>
  <c r="B57" i="513"/>
  <c r="K56" i="513"/>
  <c r="M56" i="513" s="1"/>
  <c r="M55" i="513"/>
  <c r="K55" i="513"/>
  <c r="K54" i="513"/>
  <c r="M54" i="513" s="1"/>
  <c r="L53" i="513"/>
  <c r="J53" i="513"/>
  <c r="I53" i="513"/>
  <c r="I135" i="513" s="1"/>
  <c r="I163" i="513" s="1"/>
  <c r="H53" i="513"/>
  <c r="G53" i="513"/>
  <c r="F53" i="513"/>
  <c r="E53" i="513"/>
  <c r="E135" i="513" s="1"/>
  <c r="E163" i="513" s="1"/>
  <c r="D53" i="513"/>
  <c r="K53" i="513" s="1"/>
  <c r="C53" i="513"/>
  <c r="B53" i="513"/>
  <c r="M53" i="513" s="1"/>
  <c r="M52" i="513"/>
  <c r="K52" i="513"/>
  <c r="K51" i="513"/>
  <c r="M51" i="513" s="1"/>
  <c r="M50" i="513"/>
  <c r="K50" i="513"/>
  <c r="K49" i="513"/>
  <c r="M49" i="513" s="1"/>
  <c r="M48" i="513"/>
  <c r="K48" i="513"/>
  <c r="L47" i="513"/>
  <c r="L135" i="513" s="1"/>
  <c r="L163" i="513" s="1"/>
  <c r="J47" i="513"/>
  <c r="J135" i="513" s="1"/>
  <c r="I47" i="513"/>
  <c r="H47" i="513"/>
  <c r="H135" i="513" s="1"/>
  <c r="H163" i="513" s="1"/>
  <c r="G47" i="513"/>
  <c r="K47" i="513" s="1"/>
  <c r="F47" i="513"/>
  <c r="E47" i="513"/>
  <c r="D47" i="513"/>
  <c r="C47" i="513"/>
  <c r="C135" i="513" s="1"/>
  <c r="B47" i="513"/>
  <c r="B135" i="513" s="1"/>
  <c r="K46" i="513"/>
  <c r="M46" i="513" s="1"/>
  <c r="M45" i="513"/>
  <c r="K45" i="513"/>
  <c r="K44" i="513"/>
  <c r="M44" i="513" s="1"/>
  <c r="M43" i="513"/>
  <c r="K43" i="513"/>
  <c r="K42" i="513"/>
  <c r="M42" i="513" s="1"/>
  <c r="M41" i="513"/>
  <c r="K41" i="513"/>
  <c r="K40" i="513"/>
  <c r="M40" i="513" s="1"/>
  <c r="M39" i="513"/>
  <c r="K39" i="513"/>
  <c r="J35" i="513"/>
  <c r="J36" i="513" s="1"/>
  <c r="J37" i="513" s="1"/>
  <c r="I35" i="513"/>
  <c r="I36" i="513" s="1"/>
  <c r="I37" i="513" s="1"/>
  <c r="H35" i="513"/>
  <c r="H36" i="513" s="1"/>
  <c r="H37" i="513" s="1"/>
  <c r="G35" i="513"/>
  <c r="G36" i="513" s="1"/>
  <c r="G37" i="513" s="1"/>
  <c r="B35" i="513"/>
  <c r="B36" i="513" s="1"/>
  <c r="B37" i="513" s="1"/>
  <c r="L34" i="513"/>
  <c r="L35" i="513" s="1"/>
  <c r="L36" i="513" s="1"/>
  <c r="L37" i="513" s="1"/>
  <c r="K34" i="513"/>
  <c r="J34" i="513"/>
  <c r="I34" i="513"/>
  <c r="H34" i="513"/>
  <c r="G34" i="513"/>
  <c r="F34" i="513"/>
  <c r="F35" i="513" s="1"/>
  <c r="F36" i="513" s="1"/>
  <c r="F37" i="513" s="1"/>
  <c r="E34" i="513"/>
  <c r="E35" i="513" s="1"/>
  <c r="E36" i="513" s="1"/>
  <c r="E37" i="513" s="1"/>
  <c r="D34" i="513"/>
  <c r="D35" i="513" s="1"/>
  <c r="C34" i="513"/>
  <c r="C35" i="513" s="1"/>
  <c r="B34" i="513"/>
  <c r="K33" i="513"/>
  <c r="M33" i="513" s="1"/>
  <c r="M32" i="513"/>
  <c r="K32" i="513"/>
  <c r="K31" i="513"/>
  <c r="M31" i="513" s="1"/>
  <c r="M30" i="513"/>
  <c r="K30" i="513"/>
  <c r="K29" i="513"/>
  <c r="M29" i="513" s="1"/>
  <c r="M28" i="513"/>
  <c r="K28" i="513"/>
  <c r="K27" i="513"/>
  <c r="M27" i="513" s="1"/>
  <c r="M26" i="513"/>
  <c r="K26" i="513"/>
  <c r="K25" i="513"/>
  <c r="M25" i="513" s="1"/>
  <c r="M24" i="513"/>
  <c r="K24" i="513"/>
  <c r="K23" i="513"/>
  <c r="M23" i="513" s="1"/>
  <c r="M22" i="513"/>
  <c r="K22" i="513"/>
  <c r="K21" i="513"/>
  <c r="M21" i="513" s="1"/>
  <c r="M20" i="513"/>
  <c r="K20" i="513"/>
  <c r="L19" i="513"/>
  <c r="L38" i="513" s="1"/>
  <c r="F19" i="513"/>
  <c r="F38" i="513" s="1"/>
  <c r="E19" i="513"/>
  <c r="D19" i="513"/>
  <c r="C19" i="513"/>
  <c r="L18" i="513"/>
  <c r="J18" i="513"/>
  <c r="J19" i="513" s="1"/>
  <c r="I18" i="513"/>
  <c r="I19" i="513" s="1"/>
  <c r="H18" i="513"/>
  <c r="H19" i="513" s="1"/>
  <c r="G18" i="513"/>
  <c r="K18" i="513" s="1"/>
  <c r="F18" i="513"/>
  <c r="E18" i="513"/>
  <c r="D18" i="513"/>
  <c r="C18" i="513"/>
  <c r="M18" i="513" s="1"/>
  <c r="B18" i="513"/>
  <c r="B19" i="513" s="1"/>
  <c r="K17" i="513"/>
  <c r="M17" i="513" s="1"/>
  <c r="M16" i="513"/>
  <c r="K16" i="513"/>
  <c r="K15" i="513"/>
  <c r="M15" i="513" s="1"/>
  <c r="M14" i="513"/>
  <c r="K14" i="513"/>
  <c r="K13" i="513"/>
  <c r="M13" i="513" s="1"/>
  <c r="H22" i="517" l="1"/>
  <c r="H14" i="517"/>
  <c r="H18" i="517" s="1"/>
  <c r="H19" i="517" s="1"/>
  <c r="D38" i="517"/>
  <c r="D163" i="517" s="1"/>
  <c r="D180" i="517" s="1"/>
  <c r="Y38" i="517"/>
  <c r="S38" i="517"/>
  <c r="W18" i="517"/>
  <c r="W19" i="517" s="1"/>
  <c r="L38" i="517"/>
  <c r="X18" i="517"/>
  <c r="X19" i="517" s="1"/>
  <c r="O38" i="517"/>
  <c r="Z15" i="517"/>
  <c r="G38" i="517"/>
  <c r="Z23" i="517"/>
  <c r="Z159" i="517"/>
  <c r="H160" i="517"/>
  <c r="X16" i="517"/>
  <c r="Z16" i="517" s="1"/>
  <c r="R18" i="517"/>
  <c r="R19" i="517" s="1"/>
  <c r="Z50" i="517"/>
  <c r="W72" i="517"/>
  <c r="Z67" i="517"/>
  <c r="W128" i="517"/>
  <c r="Z132" i="517"/>
  <c r="X29" i="517"/>
  <c r="Z29" i="517" s="1"/>
  <c r="Z32" i="517"/>
  <c r="X33" i="517"/>
  <c r="W35" i="517"/>
  <c r="Z46" i="517"/>
  <c r="O135" i="517"/>
  <c r="O162" i="517" s="1"/>
  <c r="Y135" i="517"/>
  <c r="Y162" i="517" s="1"/>
  <c r="Y163" i="517" s="1"/>
  <c r="Y180" i="517" s="1"/>
  <c r="H57" i="517"/>
  <c r="X59" i="517"/>
  <c r="X61" i="517" s="1"/>
  <c r="X70" i="517"/>
  <c r="Z70" i="517" s="1"/>
  <c r="R79" i="517"/>
  <c r="Z76" i="517"/>
  <c r="Z93" i="517"/>
  <c r="R128" i="517"/>
  <c r="X109" i="517"/>
  <c r="Z148" i="517"/>
  <c r="P163" i="517"/>
  <c r="P180" i="517" s="1"/>
  <c r="H35" i="517"/>
  <c r="H47" i="517"/>
  <c r="Z43" i="517"/>
  <c r="Z47" i="517" s="1"/>
  <c r="G135" i="517"/>
  <c r="G162" i="517" s="1"/>
  <c r="P135" i="517"/>
  <c r="P162" i="517" s="1"/>
  <c r="Z64" i="517"/>
  <c r="W79" i="517"/>
  <c r="R86" i="517"/>
  <c r="M100" i="517"/>
  <c r="R107" i="517"/>
  <c r="X105" i="517"/>
  <c r="X107" i="517" s="1"/>
  <c r="M128" i="517"/>
  <c r="W161" i="517"/>
  <c r="X22" i="517"/>
  <c r="Z28" i="517"/>
  <c r="M35" i="517"/>
  <c r="M36" i="517" s="1"/>
  <c r="M37" i="517" s="1"/>
  <c r="M38" i="517" s="1"/>
  <c r="M163" i="517" s="1"/>
  <c r="M180" i="517" s="1"/>
  <c r="R34" i="517"/>
  <c r="X32" i="517"/>
  <c r="I135" i="517"/>
  <c r="I162" i="517" s="1"/>
  <c r="I163" i="517" s="1"/>
  <c r="I180" i="517" s="1"/>
  <c r="Q135" i="517"/>
  <c r="Q162" i="517" s="1"/>
  <c r="Q163" i="517" s="1"/>
  <c r="Q180" i="517" s="1"/>
  <c r="Z49" i="517"/>
  <c r="Z53" i="517" s="1"/>
  <c r="R57" i="517"/>
  <c r="X69" i="517"/>
  <c r="Z69" i="517" s="1"/>
  <c r="Z71" i="517"/>
  <c r="X79" i="517"/>
  <c r="X88" i="517"/>
  <c r="Z88" i="517" s="1"/>
  <c r="Z100" i="517" s="1"/>
  <c r="R100" i="517"/>
  <c r="X98" i="517"/>
  <c r="Z98" i="517" s="1"/>
  <c r="Z115" i="517"/>
  <c r="X120" i="517"/>
  <c r="Z120" i="517" s="1"/>
  <c r="X141" i="517"/>
  <c r="Z145" i="517"/>
  <c r="Z152" i="517"/>
  <c r="Z177" i="517"/>
  <c r="E38" i="517"/>
  <c r="E163" i="517" s="1"/>
  <c r="E180" i="517" s="1"/>
  <c r="U38" i="517"/>
  <c r="U163" i="517" s="1"/>
  <c r="U180" i="517" s="1"/>
  <c r="W36" i="517"/>
  <c r="W37" i="517" s="1"/>
  <c r="W38" i="517" s="1"/>
  <c r="W163" i="517" s="1"/>
  <c r="W180" i="517" s="1"/>
  <c r="R35" i="517"/>
  <c r="R36" i="517" s="1"/>
  <c r="R37" i="517" s="1"/>
  <c r="X47" i="517"/>
  <c r="R47" i="517"/>
  <c r="Z74" i="517"/>
  <c r="Z79" i="517" s="1"/>
  <c r="H86" i="517"/>
  <c r="Z81" i="517"/>
  <c r="Z86" i="517" s="1"/>
  <c r="Z14" i="517"/>
  <c r="B135" i="517"/>
  <c r="B162" i="517" s="1"/>
  <c r="B163" i="517" s="1"/>
  <c r="B180" i="517" s="1"/>
  <c r="S135" i="517"/>
  <c r="S162" i="517" s="1"/>
  <c r="S163" i="517" s="1"/>
  <c r="S180" i="517" s="1"/>
  <c r="X49" i="517"/>
  <c r="X53" i="517" s="1"/>
  <c r="R53" i="517"/>
  <c r="R135" i="517" s="1"/>
  <c r="R162" i="517" s="1"/>
  <c r="Z56" i="517"/>
  <c r="Z59" i="517"/>
  <c r="Z61" i="517" s="1"/>
  <c r="Z68" i="517"/>
  <c r="Z75" i="517"/>
  <c r="Z89" i="517"/>
  <c r="Z92" i="517"/>
  <c r="Z112" i="517"/>
  <c r="Z119" i="517"/>
  <c r="Z140" i="517"/>
  <c r="Z149" i="517"/>
  <c r="H179" i="517"/>
  <c r="X178" i="517"/>
  <c r="Z26" i="517"/>
  <c r="Z33" i="517"/>
  <c r="Z41" i="517"/>
  <c r="C135" i="517"/>
  <c r="C162" i="517" s="1"/>
  <c r="C163" i="517" s="1"/>
  <c r="C180" i="517" s="1"/>
  <c r="L135" i="517"/>
  <c r="L162" i="517" s="1"/>
  <c r="L163" i="517" s="1"/>
  <c r="L180" i="517" s="1"/>
  <c r="T135" i="517"/>
  <c r="T162" i="517" s="1"/>
  <c r="T163" i="517" s="1"/>
  <c r="T180" i="517" s="1"/>
  <c r="W53" i="517"/>
  <c r="W135" i="517" s="1"/>
  <c r="W162" i="517" s="1"/>
  <c r="M72" i="517"/>
  <c r="M135" i="517" s="1"/>
  <c r="M162" i="517" s="1"/>
  <c r="Z65" i="517"/>
  <c r="H72" i="517"/>
  <c r="X86" i="517"/>
  <c r="X133" i="517"/>
  <c r="Z133" i="517" s="1"/>
  <c r="M179" i="517"/>
  <c r="S179" i="517"/>
  <c r="J179" i="517"/>
  <c r="J180" i="517" s="1"/>
  <c r="Z178" i="517"/>
  <c r="Z176" i="517"/>
  <c r="H53" i="517"/>
  <c r="H135" i="517" s="1"/>
  <c r="H100" i="517"/>
  <c r="Z102" i="517"/>
  <c r="Z103" i="517" s="1"/>
  <c r="R175" i="517"/>
  <c r="R178" i="517" s="1"/>
  <c r="R179" i="517" s="1"/>
  <c r="H61" i="517"/>
  <c r="X158" i="517"/>
  <c r="X167" i="517"/>
  <c r="H127" i="517"/>
  <c r="H128" i="517" s="1"/>
  <c r="X130" i="517"/>
  <c r="H156" i="517"/>
  <c r="H161" i="517" s="1"/>
  <c r="R161" i="517"/>
  <c r="X125" i="517"/>
  <c r="X127" i="517" s="1"/>
  <c r="X154" i="517"/>
  <c r="X156" i="517" s="1"/>
  <c r="H36" i="517"/>
  <c r="H37" i="517" s="1"/>
  <c r="H38" i="517" s="1"/>
  <c r="H175" i="517"/>
  <c r="H178" i="517" s="1"/>
  <c r="X55" i="517"/>
  <c r="X57" i="517" s="1"/>
  <c r="R38" i="516"/>
  <c r="L180" i="516"/>
  <c r="X15" i="516"/>
  <c r="Z15" i="516" s="1"/>
  <c r="M18" i="516"/>
  <c r="M19" i="516" s="1"/>
  <c r="Q38" i="516"/>
  <c r="H35" i="516"/>
  <c r="H36" i="516" s="1"/>
  <c r="H37" i="516" s="1"/>
  <c r="Z32" i="516"/>
  <c r="Z34" i="516" s="1"/>
  <c r="X34" i="516"/>
  <c r="Z44" i="516"/>
  <c r="D135" i="516"/>
  <c r="D162" i="516" s="1"/>
  <c r="Z70" i="516"/>
  <c r="Z84" i="516"/>
  <c r="Z114" i="516"/>
  <c r="Z141" i="516"/>
  <c r="V163" i="516"/>
  <c r="Z102" i="516"/>
  <c r="Z103" i="516" s="1"/>
  <c r="M128" i="516"/>
  <c r="Z126" i="516"/>
  <c r="D163" i="516"/>
  <c r="D180" i="516" s="1"/>
  <c r="N163" i="516"/>
  <c r="X18" i="516"/>
  <c r="X19" i="516" s="1"/>
  <c r="Z16" i="516"/>
  <c r="Z18" i="516" s="1"/>
  <c r="Z19" i="516" s="1"/>
  <c r="O180" i="516"/>
  <c r="Y38" i="516"/>
  <c r="Y163" i="516" s="1"/>
  <c r="Y180" i="516" s="1"/>
  <c r="R35" i="516"/>
  <c r="P135" i="516"/>
  <c r="P162" i="516" s="1"/>
  <c r="P163" i="516" s="1"/>
  <c r="P180" i="516" s="1"/>
  <c r="R128" i="516"/>
  <c r="B162" i="516"/>
  <c r="Z167" i="516"/>
  <c r="Z169" i="516" s="1"/>
  <c r="Z170" i="516" s="1"/>
  <c r="Z179" i="516" s="1"/>
  <c r="K179" i="516"/>
  <c r="X47" i="516"/>
  <c r="H18" i="516"/>
  <c r="H19" i="516" s="1"/>
  <c r="Q135" i="516"/>
  <c r="Q162" i="516" s="1"/>
  <c r="Z99" i="516"/>
  <c r="W128" i="516"/>
  <c r="W161" i="516"/>
  <c r="M179" i="516"/>
  <c r="B179" i="516"/>
  <c r="O179" i="516"/>
  <c r="R100" i="516"/>
  <c r="M36" i="516"/>
  <c r="M37" i="516" s="1"/>
  <c r="Z29" i="516"/>
  <c r="Z47" i="516"/>
  <c r="I135" i="516"/>
  <c r="I162" i="516" s="1"/>
  <c r="I163" i="516" s="1"/>
  <c r="I180" i="516" s="1"/>
  <c r="S135" i="516"/>
  <c r="S162" i="516" s="1"/>
  <c r="H61" i="516"/>
  <c r="X67" i="516"/>
  <c r="Z67" i="516" s="1"/>
  <c r="X86" i="516"/>
  <c r="X118" i="516"/>
  <c r="Z118" i="516" s="1"/>
  <c r="P161" i="516"/>
  <c r="R169" i="516"/>
  <c r="R170" i="516" s="1"/>
  <c r="R179" i="516" s="1"/>
  <c r="X167" i="516"/>
  <c r="X169" i="516" s="1"/>
  <c r="X170" i="516" s="1"/>
  <c r="X179" i="516" s="1"/>
  <c r="U179" i="516"/>
  <c r="Z63" i="516"/>
  <c r="B38" i="516"/>
  <c r="B163" i="516" s="1"/>
  <c r="B180" i="516" s="1"/>
  <c r="F38" i="516"/>
  <c r="F163" i="516" s="1"/>
  <c r="F180" i="516" s="1"/>
  <c r="H34" i="516"/>
  <c r="Z45" i="516"/>
  <c r="T162" i="516"/>
  <c r="T163" i="516" s="1"/>
  <c r="T180" i="516" s="1"/>
  <c r="Z50" i="516"/>
  <c r="Z52" i="516"/>
  <c r="Z71" i="516"/>
  <c r="Z74" i="516"/>
  <c r="Z86" i="516"/>
  <c r="Z90" i="516"/>
  <c r="H107" i="516"/>
  <c r="Z110" i="516"/>
  <c r="Z151" i="516"/>
  <c r="R160" i="516"/>
  <c r="X158" i="516"/>
  <c r="V179" i="516"/>
  <c r="C38" i="516"/>
  <c r="C163" i="516" s="1"/>
  <c r="C180" i="516" s="1"/>
  <c r="K38" i="516"/>
  <c r="S38" i="516"/>
  <c r="S163" i="516" s="1"/>
  <c r="S180" i="516" s="1"/>
  <c r="Z22" i="516"/>
  <c r="R36" i="516"/>
  <c r="R37" i="516" s="1"/>
  <c r="W47" i="516"/>
  <c r="W135" i="516" s="1"/>
  <c r="W162" i="516" s="1"/>
  <c r="K135" i="516"/>
  <c r="K162" i="516" s="1"/>
  <c r="U135" i="516"/>
  <c r="U162" i="516" s="1"/>
  <c r="U163" i="516" s="1"/>
  <c r="U180" i="516" s="1"/>
  <c r="R61" i="516"/>
  <c r="R135" i="516" s="1"/>
  <c r="R162" i="516" s="1"/>
  <c r="Z76" i="516"/>
  <c r="Z78" i="516"/>
  <c r="Z94" i="516"/>
  <c r="H100" i="516"/>
  <c r="Z105" i="516"/>
  <c r="Z107" i="516" s="1"/>
  <c r="X122" i="516"/>
  <c r="Z122" i="516" s="1"/>
  <c r="M134" i="516"/>
  <c r="Z137" i="516"/>
  <c r="Z168" i="516"/>
  <c r="E179" i="516"/>
  <c r="E180" i="516" s="1"/>
  <c r="N179" i="516"/>
  <c r="X63" i="516"/>
  <c r="H72" i="516"/>
  <c r="R103" i="516"/>
  <c r="M107" i="516"/>
  <c r="H161" i="516"/>
  <c r="Z172" i="516"/>
  <c r="Z178" i="516" s="1"/>
  <c r="W34" i="516"/>
  <c r="W35" i="516" s="1"/>
  <c r="W36" i="516" s="1"/>
  <c r="W37" i="516" s="1"/>
  <c r="W38" i="516" s="1"/>
  <c r="Z60" i="516"/>
  <c r="W107" i="516"/>
  <c r="H127" i="516"/>
  <c r="H128" i="516" s="1"/>
  <c r="X130" i="516"/>
  <c r="X134" i="516" s="1"/>
  <c r="H156" i="516"/>
  <c r="R161" i="516"/>
  <c r="X28" i="516"/>
  <c r="M47" i="516"/>
  <c r="M135" i="516" s="1"/>
  <c r="M162" i="516" s="1"/>
  <c r="X59" i="516"/>
  <c r="X61" i="516" s="1"/>
  <c r="Z109" i="516"/>
  <c r="X125" i="516"/>
  <c r="X127" i="516" s="1"/>
  <c r="X154" i="516"/>
  <c r="X156" i="516" s="1"/>
  <c r="X49" i="516"/>
  <c r="X53" i="516" s="1"/>
  <c r="X88" i="516"/>
  <c r="H175" i="516"/>
  <c r="H178" i="516" s="1"/>
  <c r="H179" i="516" s="1"/>
  <c r="X55" i="516"/>
  <c r="N36" i="515"/>
  <c r="O161" i="515"/>
  <c r="O178" i="515" s="1"/>
  <c r="O160" i="515"/>
  <c r="S177" i="515"/>
  <c r="Q177" i="515"/>
  <c r="B36" i="515"/>
  <c r="B161" i="515" s="1"/>
  <c r="B178" i="515" s="1"/>
  <c r="J161" i="515"/>
  <c r="J178" i="515" s="1"/>
  <c r="R36" i="515"/>
  <c r="R161" i="515" s="1"/>
  <c r="R178" i="515" s="1"/>
  <c r="P36" i="515"/>
  <c r="P161" i="515" s="1"/>
  <c r="P178" i="515" s="1"/>
  <c r="S133" i="515"/>
  <c r="S160" i="515" s="1"/>
  <c r="C178" i="515"/>
  <c r="F133" i="515"/>
  <c r="F160" i="515" s="1"/>
  <c r="N133" i="515"/>
  <c r="N160" i="515" s="1"/>
  <c r="D36" i="515"/>
  <c r="D161" i="515" s="1"/>
  <c r="D178" i="515" s="1"/>
  <c r="L36" i="515"/>
  <c r="L161" i="515" s="1"/>
  <c r="L178" i="515" s="1"/>
  <c r="F36" i="515"/>
  <c r="F161" i="515" s="1"/>
  <c r="F178" i="515" s="1"/>
  <c r="S34" i="515"/>
  <c r="S35" i="515" s="1"/>
  <c r="S36" i="515" s="1"/>
  <c r="S161" i="515" s="1"/>
  <c r="S178" i="515" s="1"/>
  <c r="Q178" i="515"/>
  <c r="E161" i="515"/>
  <c r="E178" i="515" s="1"/>
  <c r="M161" i="515"/>
  <c r="M178" i="515" s="1"/>
  <c r="G36" i="515"/>
  <c r="G161" i="515" s="1"/>
  <c r="G178" i="515" s="1"/>
  <c r="H36" i="515"/>
  <c r="H161" i="515" s="1"/>
  <c r="H178" i="515" s="1"/>
  <c r="B161" i="514"/>
  <c r="B178" i="514" s="1"/>
  <c r="J36" i="514"/>
  <c r="J161" i="514" s="1"/>
  <c r="J178" i="514" s="1"/>
  <c r="R161" i="514"/>
  <c r="R178" i="514" s="1"/>
  <c r="F177" i="514"/>
  <c r="N177" i="514"/>
  <c r="D36" i="514"/>
  <c r="D161" i="514" s="1"/>
  <c r="L36" i="514"/>
  <c r="L161" i="514" s="1"/>
  <c r="L178" i="514" s="1"/>
  <c r="C36" i="514"/>
  <c r="G177" i="514"/>
  <c r="O177" i="514"/>
  <c r="F161" i="514"/>
  <c r="F178" i="514" s="1"/>
  <c r="N161" i="514"/>
  <c r="N178" i="514" s="1"/>
  <c r="P178" i="514"/>
  <c r="C133" i="514"/>
  <c r="C160" i="514" s="1"/>
  <c r="K133" i="514"/>
  <c r="K160" i="514" s="1"/>
  <c r="K161" i="514" s="1"/>
  <c r="K178" i="514" s="1"/>
  <c r="G161" i="514"/>
  <c r="O161" i="514"/>
  <c r="O178" i="514" s="1"/>
  <c r="Q36" i="514"/>
  <c r="Q161" i="514" s="1"/>
  <c r="Q178" i="514" s="1"/>
  <c r="S159" i="514"/>
  <c r="C177" i="514"/>
  <c r="K177" i="514"/>
  <c r="S177" i="514"/>
  <c r="E36" i="514"/>
  <c r="S34" i="514"/>
  <c r="S35" i="514" s="1"/>
  <c r="S36" i="514" s="1"/>
  <c r="S133" i="514"/>
  <c r="E160" i="514"/>
  <c r="M160" i="514"/>
  <c r="M161" i="514" s="1"/>
  <c r="M178" i="514" s="1"/>
  <c r="D177" i="514"/>
  <c r="L177" i="514"/>
  <c r="E177" i="514"/>
  <c r="I161" i="514"/>
  <c r="I178" i="514" s="1"/>
  <c r="F160" i="514"/>
  <c r="N160" i="514"/>
  <c r="D135" i="513"/>
  <c r="F135" i="513"/>
  <c r="F163" i="513" s="1"/>
  <c r="C180" i="513"/>
  <c r="E38" i="513"/>
  <c r="E164" i="513" s="1"/>
  <c r="E181" i="513" s="1"/>
  <c r="F180" i="513"/>
  <c r="C163" i="513"/>
  <c r="F164" i="513"/>
  <c r="C36" i="513"/>
  <c r="M35" i="513"/>
  <c r="K161" i="513"/>
  <c r="M161" i="513" s="1"/>
  <c r="G180" i="513"/>
  <c r="K180" i="513" s="1"/>
  <c r="H38" i="513"/>
  <c r="H164" i="513" s="1"/>
  <c r="H181" i="513" s="1"/>
  <c r="I180" i="513"/>
  <c r="K179" i="513"/>
  <c r="L164" i="513"/>
  <c r="L181" i="513" s="1"/>
  <c r="K35" i="513"/>
  <c r="D36" i="513"/>
  <c r="M179" i="513"/>
  <c r="I38" i="513"/>
  <c r="I164" i="513" s="1"/>
  <c r="I181" i="513" s="1"/>
  <c r="B38" i="513"/>
  <c r="J38" i="513"/>
  <c r="B163" i="513"/>
  <c r="J163" i="513"/>
  <c r="B180" i="513"/>
  <c r="M34" i="513"/>
  <c r="G135" i="513"/>
  <c r="G163" i="513" s="1"/>
  <c r="K171" i="513"/>
  <c r="M171" i="513" s="1"/>
  <c r="M156" i="513"/>
  <c r="K160" i="513"/>
  <c r="D128" i="513"/>
  <c r="K128" i="513" s="1"/>
  <c r="M128" i="513" s="1"/>
  <c r="G19" i="513"/>
  <c r="M47" i="513"/>
  <c r="M160" i="513"/>
  <c r="K176" i="513"/>
  <c r="M176" i="513" s="1"/>
  <c r="H162" i="517" l="1"/>
  <c r="Z72" i="517"/>
  <c r="H163" i="517"/>
  <c r="H180" i="517" s="1"/>
  <c r="X128" i="517"/>
  <c r="Z109" i="517"/>
  <c r="Z128" i="517" s="1"/>
  <c r="Z18" i="517"/>
  <c r="Z19" i="517" s="1"/>
  <c r="Z125" i="517"/>
  <c r="Z127" i="517" s="1"/>
  <c r="Z55" i="517"/>
  <c r="Z57" i="517" s="1"/>
  <c r="Z34" i="517"/>
  <c r="Z35" i="517" s="1"/>
  <c r="Z22" i="517"/>
  <c r="X134" i="517"/>
  <c r="Z130" i="517"/>
  <c r="Z134" i="517" s="1"/>
  <c r="Z154" i="517"/>
  <c r="Z156" i="517" s="1"/>
  <c r="R38" i="517"/>
  <c r="R163" i="517" s="1"/>
  <c r="R180" i="517" s="1"/>
  <c r="G163" i="517"/>
  <c r="G180" i="517" s="1"/>
  <c r="X72" i="517"/>
  <c r="X135" i="517" s="1"/>
  <c r="X162" i="517" s="1"/>
  <c r="Z141" i="517"/>
  <c r="Z161" i="517" s="1"/>
  <c r="Z167" i="517"/>
  <c r="Z169" i="517" s="1"/>
  <c r="Z170" i="517" s="1"/>
  <c r="Z179" i="517" s="1"/>
  <c r="X169" i="517"/>
  <c r="X170" i="517" s="1"/>
  <c r="X179" i="517" s="1"/>
  <c r="X100" i="517"/>
  <c r="X34" i="517"/>
  <c r="X35" i="517" s="1"/>
  <c r="X36" i="517" s="1"/>
  <c r="X37" i="517" s="1"/>
  <c r="X38" i="517" s="1"/>
  <c r="Z158" i="517"/>
  <c r="Z160" i="517" s="1"/>
  <c r="X160" i="517"/>
  <c r="X161" i="517" s="1"/>
  <c r="Z105" i="517"/>
  <c r="Z107" i="517" s="1"/>
  <c r="Z135" i="517" s="1"/>
  <c r="Z162" i="517" s="1"/>
  <c r="O163" i="517"/>
  <c r="O180" i="517" s="1"/>
  <c r="H135" i="516"/>
  <c r="H162" i="516" s="1"/>
  <c r="W163" i="516"/>
  <c r="W180" i="516" s="1"/>
  <c r="X35" i="516"/>
  <c r="X36" i="516" s="1"/>
  <c r="X37" i="516" s="1"/>
  <c r="X38" i="516" s="1"/>
  <c r="X163" i="516" s="1"/>
  <c r="X180" i="516" s="1"/>
  <c r="Z158" i="516"/>
  <c r="Z160" i="516" s="1"/>
  <c r="Z161" i="516" s="1"/>
  <c r="X160" i="516"/>
  <c r="X161" i="516" s="1"/>
  <c r="Z79" i="516"/>
  <c r="X128" i="516"/>
  <c r="Z49" i="516"/>
  <c r="Z53" i="516" s="1"/>
  <c r="Z72" i="516"/>
  <c r="Z28" i="516"/>
  <c r="Z35" i="516" s="1"/>
  <c r="Z36" i="516" s="1"/>
  <c r="Z37" i="516" s="1"/>
  <c r="Z38" i="516" s="1"/>
  <c r="Z88" i="516"/>
  <c r="Z100" i="516" s="1"/>
  <c r="X100" i="516"/>
  <c r="Z154" i="516"/>
  <c r="Z156" i="516" s="1"/>
  <c r="N180" i="516"/>
  <c r="V180" i="516"/>
  <c r="Z125" i="516"/>
  <c r="Z127" i="516" s="1"/>
  <c r="Z128" i="516" s="1"/>
  <c r="Q163" i="516"/>
  <c r="Q180" i="516" s="1"/>
  <c r="Z59" i="516"/>
  <c r="Z61" i="516" s="1"/>
  <c r="H38" i="516"/>
  <c r="M38" i="516"/>
  <c r="M163" i="516" s="1"/>
  <c r="M180" i="516" s="1"/>
  <c r="X72" i="516"/>
  <c r="Z130" i="516"/>
  <c r="Z134" i="516" s="1"/>
  <c r="K163" i="516"/>
  <c r="K180" i="516" s="1"/>
  <c r="R163" i="516"/>
  <c r="R180" i="516" s="1"/>
  <c r="X57" i="516"/>
  <c r="X135" i="516" s="1"/>
  <c r="X162" i="516" s="1"/>
  <c r="Z55" i="516"/>
  <c r="Z57" i="516" s="1"/>
  <c r="N161" i="515"/>
  <c r="N178" i="515" s="1"/>
  <c r="D178" i="514"/>
  <c r="S160" i="514"/>
  <c r="S161" i="514" s="1"/>
  <c r="S178" i="514" s="1"/>
  <c r="G178" i="514"/>
  <c r="E161" i="514"/>
  <c r="E178" i="514" s="1"/>
  <c r="C161" i="514"/>
  <c r="C178" i="514" s="1"/>
  <c r="K135" i="513"/>
  <c r="M135" i="513" s="1"/>
  <c r="D163" i="513"/>
  <c r="K163" i="513" s="1"/>
  <c r="C37" i="513"/>
  <c r="K19" i="513"/>
  <c r="M19" i="513" s="1"/>
  <c r="G38" i="513"/>
  <c r="G164" i="513" s="1"/>
  <c r="G181" i="513" s="1"/>
  <c r="M180" i="513"/>
  <c r="J164" i="513"/>
  <c r="J181" i="513" s="1"/>
  <c r="K36" i="513"/>
  <c r="M36" i="513" s="1"/>
  <c r="D37" i="513"/>
  <c r="F181" i="513"/>
  <c r="B164" i="513"/>
  <c r="B181" i="513" s="1"/>
  <c r="M163" i="513"/>
  <c r="X163" i="517" l="1"/>
  <c r="X180" i="517" s="1"/>
  <c r="Z36" i="517"/>
  <c r="Z37" i="517" s="1"/>
  <c r="Z38" i="517" s="1"/>
  <c r="Z163" i="517" s="1"/>
  <c r="Z180" i="517" s="1"/>
  <c r="Z135" i="516"/>
  <c r="Z162" i="516" s="1"/>
  <c r="Z163" i="516" s="1"/>
  <c r="Z180" i="516" s="1"/>
  <c r="H163" i="516"/>
  <c r="H180" i="516" s="1"/>
  <c r="M37" i="513"/>
  <c r="C38" i="513"/>
  <c r="K37" i="513"/>
  <c r="D38" i="513"/>
  <c r="K38" i="513" l="1"/>
  <c r="M38" i="513" s="1"/>
  <c r="D164" i="513"/>
  <c r="C164" i="513"/>
  <c r="C181" i="513" l="1"/>
  <c r="K164" i="513"/>
  <c r="M164" i="513" s="1"/>
  <c r="D181" i="513"/>
  <c r="K181" i="513" s="1"/>
  <c r="M181" i="513" l="1"/>
</calcChain>
</file>

<file path=xl/sharedStrings.xml><?xml version="1.0" encoding="utf-8"?>
<sst xmlns="http://schemas.openxmlformats.org/spreadsheetml/2006/main" count="1319" uniqueCount="260">
  <si>
    <t>Intrepid Spirits Limited</t>
  </si>
  <si>
    <t>Parent Company : Intrepid Spirits Holdings Inc (Consolidated)</t>
  </si>
  <si>
    <t>From Jan 2021 to Dec 2021</t>
  </si>
  <si>
    <t/>
  </si>
  <si>
    <t>Financial Row</t>
  </si>
  <si>
    <t>Type</t>
  </si>
  <si>
    <t>Date</t>
  </si>
  <si>
    <t>Document Number</t>
  </si>
  <si>
    <t>Name</t>
  </si>
  <si>
    <t>Clr</t>
  </si>
  <si>
    <t>Split</t>
  </si>
  <si>
    <t>Amount</t>
  </si>
  <si>
    <t>Ordinary Income/Expense</t>
  </si>
  <si>
    <t>Income</t>
  </si>
  <si>
    <t>40000 - - SALES -</t>
  </si>
  <si>
    <t>40010 - Sales</t>
  </si>
  <si>
    <t>Invoice</t>
  </si>
  <si>
    <t>F</t>
  </si>
  <si>
    <t>Cocalero</t>
  </si>
  <si>
    <t>Rest Of World/Global</t>
  </si>
  <si>
    <t>Regal Rogue</t>
  </si>
  <si>
    <t>Europe</t>
  </si>
  <si>
    <t>Mad March Hare</t>
  </si>
  <si>
    <t>Egan's</t>
  </si>
  <si>
    <t>Michter's</t>
  </si>
  <si>
    <t>La Republica</t>
  </si>
  <si>
    <t>Los Javis</t>
  </si>
  <si>
    <t>Japan</t>
  </si>
  <si>
    <t>Australia</t>
  </si>
  <si>
    <t>INV10343</t>
  </si>
  <si>
    <t>11110 - - INTERCOMPANY ACCOUNTS RECEIVABLE - : Intercompany Accounts Receivable</t>
  </si>
  <si>
    <t>United States</t>
  </si>
  <si>
    <t>Ban Poitin</t>
  </si>
  <si>
    <t>Kyro</t>
  </si>
  <si>
    <t>Fuba</t>
  </si>
  <si>
    <t>Pusser's</t>
  </si>
  <si>
    <t>INV10342</t>
  </si>
  <si>
    <t>INV10122</t>
  </si>
  <si>
    <t>INV10124</t>
  </si>
  <si>
    <t>INV10340</t>
  </si>
  <si>
    <t>Plantation</t>
  </si>
  <si>
    <t>Other</t>
  </si>
  <si>
    <t>INV10455</t>
  </si>
  <si>
    <t>Merlet</t>
  </si>
  <si>
    <t>INV10431</t>
  </si>
  <si>
    <t>INV10532</t>
  </si>
  <si>
    <t>D1</t>
  </si>
  <si>
    <t>INV10648</t>
  </si>
  <si>
    <t>INV10749</t>
  </si>
  <si>
    <t>INV10751</t>
  </si>
  <si>
    <t>INV10814</t>
  </si>
  <si>
    <t>INV10975</t>
  </si>
  <si>
    <t>INV11059</t>
  </si>
  <si>
    <t>Intrepid Japan</t>
  </si>
  <si>
    <t>INV11088</t>
  </si>
  <si>
    <t>INV11101</t>
  </si>
  <si>
    <t>Total - 40000 - - SALES -</t>
  </si>
  <si>
    <t>Total - Income</t>
  </si>
  <si>
    <t>Gross Profit</t>
  </si>
  <si>
    <t>Net Ordinary Income</t>
  </si>
  <si>
    <t>Net Income</t>
  </si>
  <si>
    <t>Profit and Loss</t>
  </si>
  <si>
    <t> </t>
  </si>
  <si>
    <t>Intrepid Spirits Holdings Inc</t>
  </si>
  <si>
    <t>Total</t>
  </si>
  <si>
    <t>Cocalero International HK Limited</t>
  </si>
  <si>
    <t>Cocalero Productions Limited</t>
  </si>
  <si>
    <t>Intrepid Australia Ltd</t>
  </si>
  <si>
    <t>Intrepid Spirits Ireland Ltd.</t>
  </si>
  <si>
    <t>Intrepid Spirits USA Inc</t>
  </si>
  <si>
    <t>40030 - Sales Point of Sale</t>
  </si>
  <si>
    <t>40050 - Shipping and Handling</t>
  </si>
  <si>
    <t>40100 - Other Revenue</t>
  </si>
  <si>
    <t>50000 - - COST OF GOODS SOLD -</t>
  </si>
  <si>
    <t>50010 - Cost of Goods Sold</t>
  </si>
  <si>
    <t>50020 - Stock Wastage</t>
  </si>
  <si>
    <t>50030 - Cost of Goods Sold PoS</t>
  </si>
  <si>
    <t>50040 - Obsolete Stock Write Off</t>
  </si>
  <si>
    <t>50050 - Stock Adjustment</t>
  </si>
  <si>
    <t>51000 - - LANDED COST -</t>
  </si>
  <si>
    <t>51100 - Customs Fees</t>
  </si>
  <si>
    <t>51300 - Duty</t>
  </si>
  <si>
    <t>51400 - Import Consumption Tax</t>
  </si>
  <si>
    <t>51410 - Import National Consumption Tax</t>
  </si>
  <si>
    <t>51420 - Import Local Consumption Tax</t>
  </si>
  <si>
    <t>Total - 51400 - Import Consumption Tax</t>
  </si>
  <si>
    <t>Total - 51000 - - LANDED COST -</t>
  </si>
  <si>
    <t>Total - 50000 - - COST OF GOODS SOLD -</t>
  </si>
  <si>
    <t>60000 - - GENERAL ADMIN EXPENSES -</t>
  </si>
  <si>
    <t>60001 - Unclassified Expenses</t>
  </si>
  <si>
    <t>60100 - - PAYROLL COSTS -</t>
  </si>
  <si>
    <t>60110 - Wages and Salaries</t>
  </si>
  <si>
    <t>60120 - Salaries - Management</t>
  </si>
  <si>
    <t>60130 - Labor Insurance</t>
  </si>
  <si>
    <t>60140 - Employer Pension Expenses</t>
  </si>
  <si>
    <t>Total - 60100 - - PAYROLL COSTS -</t>
  </si>
  <si>
    <t>60500 - - EMPLOYMENT COSTS -</t>
  </si>
  <si>
    <t>60510 - Staff Welfare</t>
  </si>
  <si>
    <t>60520 - Employee Health Insurance</t>
  </si>
  <si>
    <t>60530 - Staff Recruitment</t>
  </si>
  <si>
    <t>60540 - Bike to Work</t>
  </si>
  <si>
    <t>Total - 60500 - - EMPLOYMENT COSTS -</t>
  </si>
  <si>
    <t>61000 - - RENT &amp; RATES -</t>
  </si>
  <si>
    <t>61010 - Rent</t>
  </si>
  <si>
    <t>61030 - Storage Fees</t>
  </si>
  <si>
    <t>Total - 61000 - - RENT &amp; RATES -</t>
  </si>
  <si>
    <t>61100 - - BUILDING COSTS -</t>
  </si>
  <si>
    <t>61110 - Light, Power, Heating</t>
  </si>
  <si>
    <t>61130 - Repairs &amp; Maintenance</t>
  </si>
  <si>
    <t>Total - 61100 - - BUILDING COSTS -</t>
  </si>
  <si>
    <t>61200 - - TRAVEL COSTS -</t>
  </si>
  <si>
    <t>61210 - General Travel - Taxis/Public Transport</t>
  </si>
  <si>
    <t>61220 - General Travel - Hotels</t>
  </si>
  <si>
    <t>61230 - General Travel - Flights</t>
  </si>
  <si>
    <t>61240 - General Travel - Subsistance</t>
  </si>
  <si>
    <t>61250 - General Travel - Mileage</t>
  </si>
  <si>
    <t>61260 - Car Rental</t>
  </si>
  <si>
    <t>61270 - Car Lease</t>
  </si>
  <si>
    <t>61280 - General Travel - Fuel</t>
  </si>
  <si>
    <t>61290 - Motor Vehicle Expenses</t>
  </si>
  <si>
    <t>Total - 61200 - - TRAVEL COSTS -</t>
  </si>
  <si>
    <t>61300 - - PROFESSIONAL FEES -</t>
  </si>
  <si>
    <t>61310 - Legal Expenses</t>
  </si>
  <si>
    <t>61315 - Trademark Expenses</t>
  </si>
  <si>
    <t>61320 - Consultancy Fees</t>
  </si>
  <si>
    <t>61330 - Accountancy Fees</t>
  </si>
  <si>
    <t>61340 - Consultant - Directors</t>
  </si>
  <si>
    <t>Total - 61300 - - PROFESSIONAL FEES -</t>
  </si>
  <si>
    <t>61400 - - OFFICE EXPENSES -</t>
  </si>
  <si>
    <t>61410 - Telephone &amp; Internet</t>
  </si>
  <si>
    <t>61420 - Printing &amp; Stationary</t>
  </si>
  <si>
    <t>61430 - Postage</t>
  </si>
  <si>
    <t>61440 - Software Expenses</t>
  </si>
  <si>
    <t>61450 - Office Courier</t>
  </si>
  <si>
    <t>Total - 61400 - - OFFICE EXPENSES -</t>
  </si>
  <si>
    <t>61500 - - GENERAL EXPENSES -</t>
  </si>
  <si>
    <t>61510 - Insurance</t>
  </si>
  <si>
    <t>61520 - Credit Insurance</t>
  </si>
  <si>
    <t>61525 - Provision for RR Incentive</t>
  </si>
  <si>
    <t>61530 - Subscriptions</t>
  </si>
  <si>
    <t>61535 - Meeting</t>
  </si>
  <si>
    <t>61540 - Licence Fee</t>
  </si>
  <si>
    <t>61545 - Commission Fees</t>
  </si>
  <si>
    <t>61550 - General Expenses</t>
  </si>
  <si>
    <t>61560 - Sundry Taxes</t>
  </si>
  <si>
    <t>61570 - Donations/Charity</t>
  </si>
  <si>
    <t>61585 - Loan Write Off</t>
  </si>
  <si>
    <t>61595 - General Write Off</t>
  </si>
  <si>
    <t>Total - 61500 - - GENERAL EXPENSES -</t>
  </si>
  <si>
    <t>61600 - - DEPRECIATION -</t>
  </si>
  <si>
    <t>61620 - Depreciation - Computer Equipment</t>
  </si>
  <si>
    <t>Total - 61600 - - DEPRECIATION -</t>
  </si>
  <si>
    <t>61700 - - RESEARCH &amp; DEVELOPMENT -</t>
  </si>
  <si>
    <t>61720 - Product Testing</t>
  </si>
  <si>
    <t>61730 - Packaging Design</t>
  </si>
  <si>
    <t>Total - 61700 - - RESEARCH &amp; DEVELOPMENT -</t>
  </si>
  <si>
    <t>62000 - - SELLING &amp; DISTRIBUTION COSTS -</t>
  </si>
  <si>
    <t>62010 - Warehousing Fees</t>
  </si>
  <si>
    <t>62020 - Logistic Fees</t>
  </si>
  <si>
    <t>62030 - Freight &amp; Courier</t>
  </si>
  <si>
    <t>62040 - Broker Fees</t>
  </si>
  <si>
    <t>62050 - Customs Fees</t>
  </si>
  <si>
    <t>62060 - MHW fees</t>
  </si>
  <si>
    <t>62070 - State Tax</t>
  </si>
  <si>
    <t>62080 - Sales Commission</t>
  </si>
  <si>
    <t>62090 - Bad Debt</t>
  </si>
  <si>
    <t>62100 - Duty</t>
  </si>
  <si>
    <t>62110 - VAT</t>
  </si>
  <si>
    <t>62120 - Sales Person AUS</t>
  </si>
  <si>
    <t>62130 - Sales Person SA</t>
  </si>
  <si>
    <t>62140 - Sales Person EUR</t>
  </si>
  <si>
    <t>62150 - Sales Person CAN</t>
  </si>
  <si>
    <t>62160 - Sales Person USA</t>
  </si>
  <si>
    <t>80020 - Un-Realised Currency Gains/Losses</t>
  </si>
  <si>
    <t>Total - 62160 - Sales Person USA</t>
  </si>
  <si>
    <t>Total - 62000 - - SELLING &amp; DISTRIBUTION COSTS -</t>
  </si>
  <si>
    <t>63000 - - BANK CHARGES -</t>
  </si>
  <si>
    <t>63010 - Bank Fees</t>
  </si>
  <si>
    <t>63020 - Bank Interest</t>
  </si>
  <si>
    <t>63030 - Finance Charges</t>
  </si>
  <si>
    <t>63050 - Realised Currency Gains/Losses</t>
  </si>
  <si>
    <t>Total - 63000 - - BANK CHARGES -</t>
  </si>
  <si>
    <t>Total - 60000 - - GENERAL ADMIN EXPENSES -</t>
  </si>
  <si>
    <t>65000 - - MARKETING -</t>
  </si>
  <si>
    <t>65020 - Promotional Events</t>
  </si>
  <si>
    <t>65030 - Marketing - Trade Shows</t>
  </si>
  <si>
    <t>65040 - Ambassador Fees</t>
  </si>
  <si>
    <t>65050 - Billbacks</t>
  </si>
  <si>
    <t>65060 - Sampling Costs</t>
  </si>
  <si>
    <t>65100 - Advertising</t>
  </si>
  <si>
    <t>65105 - E-commerce Discounts</t>
  </si>
  <si>
    <t>65110 - E-commerce Advertising</t>
  </si>
  <si>
    <t>65115 - E-commerce web hosting</t>
  </si>
  <si>
    <t>65120 - Social Media Costs</t>
  </si>
  <si>
    <t>65125 - Email Marketing</t>
  </si>
  <si>
    <t>65130 - Public Relations</t>
  </si>
  <si>
    <t>65135 - Agency Fees</t>
  </si>
  <si>
    <t>65140 - General Marketing</t>
  </si>
  <si>
    <t>65150 - Marketing Consultancy</t>
  </si>
  <si>
    <t>65200 - Entertainment</t>
  </si>
  <si>
    <t>65500 - -BRANDING -</t>
  </si>
  <si>
    <t>65510 - Branding &amp; Design Costs</t>
  </si>
  <si>
    <t>65530 - Label Development Costs</t>
  </si>
  <si>
    <t>Total - 65500 - -BRANDING -</t>
  </si>
  <si>
    <t>66000 - - AMP COSTS -</t>
  </si>
  <si>
    <t>66010 - AMP Accrual</t>
  </si>
  <si>
    <t>66020 - AMP Expenditure</t>
  </si>
  <si>
    <t>Total - 66000 - - AMP COSTS -</t>
  </si>
  <si>
    <t>Total - 65000 - - MARKETING -</t>
  </si>
  <si>
    <t>Other Income</t>
  </si>
  <si>
    <t>80000 - - OTHER INCOME -</t>
  </si>
  <si>
    <t>80010 - Interest Income</t>
  </si>
  <si>
    <t>80015 - Exchange Gain</t>
  </si>
  <si>
    <t>Total - 80000 - - OTHER INCOME -</t>
  </si>
  <si>
    <t>Total - Other Income</t>
  </si>
  <si>
    <t>63060 - Exchange Loss</t>
  </si>
  <si>
    <t>70000 - - TAX -</t>
  </si>
  <si>
    <t>70100 - Corporation Tax</t>
  </si>
  <si>
    <t>Total - 70000 - - TAX -</t>
  </si>
  <si>
    <t>Rounding Gain/Loss</t>
  </si>
  <si>
    <t>Realized Gain/Loss</t>
  </si>
  <si>
    <t>Cost Of Sales</t>
  </si>
  <si>
    <t>Item Fulfillment</t>
  </si>
  <si>
    <t>-</t>
  </si>
  <si>
    <t>IF00697</t>
  </si>
  <si>
    <t>IF00698</t>
  </si>
  <si>
    <t>IF00836</t>
  </si>
  <si>
    <t>IF01128</t>
  </si>
  <si>
    <t>IF01369</t>
  </si>
  <si>
    <t>IF01427</t>
  </si>
  <si>
    <t>IF01474</t>
  </si>
  <si>
    <t>Total - Cost Of Sales</t>
  </si>
  <si>
    <t>- Unassigned -</t>
  </si>
  <si>
    <t>Australiano</t>
  </si>
  <si>
    <t>Expense</t>
  </si>
  <si>
    <t>Total - Expense</t>
  </si>
  <si>
    <t>Other Income and Expenses</t>
  </si>
  <si>
    <t>Other Expense</t>
  </si>
  <si>
    <t>Total - Other Expense</t>
  </si>
  <si>
    <t>Net Other Income</t>
  </si>
  <si>
    <t>Region (GL)</t>
  </si>
  <si>
    <t>Brand</t>
  </si>
  <si>
    <t>United Kingdom</t>
  </si>
  <si>
    <t>Ireland</t>
  </si>
  <si>
    <t>China</t>
  </si>
  <si>
    <t>Germany</t>
  </si>
  <si>
    <t>Canada</t>
  </si>
  <si>
    <t>South Africa</t>
  </si>
  <si>
    <t>Africa</t>
  </si>
  <si>
    <t>Latam</t>
  </si>
  <si>
    <t>Nigeria</t>
  </si>
  <si>
    <t>Adjustment</t>
  </si>
  <si>
    <t>Goodwill Impairment</t>
  </si>
  <si>
    <t>APAC</t>
  </si>
  <si>
    <t>Americas</t>
  </si>
  <si>
    <t>EMEA</t>
  </si>
  <si>
    <t>Hong Kong</t>
  </si>
  <si>
    <t>Account</t>
  </si>
  <si>
    <t>InternalFundsTransfer</t>
  </si>
  <si>
    <t>51200 - Inbound Freight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</si>
</sst>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\(&quot;$&quot;#,##0.00\)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7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name val="Arial"/>
    </font>
    <font>
      <b/>
      <sz val="12"/>
      <name val="Arial"/>
    </font>
    <font>
      <b/>
      <sz val="14"/>
      <name val="Arial"/>
    </font>
    <font>
      <b/>
      <sz val="7"/>
      <name val="Arial"/>
    </font>
    <font>
      <b/>
      <sz val="8"/>
      <color indexed="8"/>
      <name val="Arial"/>
    </font>
    <font>
      <sz val="8"/>
      <color indexed="8"/>
      <name val="Arial"/>
    </font>
  </fonts>
  <fills count="4">
    <fill>
      <patternFill patternType="none"/>
    </fill>
    <fill>
      <patternFill patternType="gray125"/>
    </fill>
    <fill>
      <patternFill patternType="solid">
        <fgColor rgb="FFD0D0D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dotted">
        <color rgb="FFC0C0C0"/>
      </top>
      <bottom/>
      <diagonal/>
    </border>
    <border>
      <left/>
      <right/>
      <top style="dotted">
        <color rgb="FF96969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8" fillId="0" borderId="0"/>
  </cellStyleXfs>
  <cellXfs count="62">
    <xf numFmtId="0" fontId="0" fillId="0" borderId="0" xfId="0"/>
    <xf numFmtId="0" fontId="8" fillId="0" borderId="0" xfId="3"/>
    <xf numFmtId="0" fontId="11" fillId="2" borderId="0" xfId="3" applyFont="1" applyFill="1" applyAlignment="1">
      <alignment horizontal="left"/>
    </xf>
    <xf numFmtId="0" fontId="12" fillId="0" borderId="0" xfId="3" applyFont="1" applyAlignment="1">
      <alignment horizontal="left" vertical="center"/>
    </xf>
    <xf numFmtId="164" fontId="12" fillId="0" borderId="0" xfId="3" applyNumberFormat="1" applyFont="1" applyAlignment="1">
      <alignment horizontal="right" vertical="center"/>
    </xf>
    <xf numFmtId="0" fontId="12" fillId="0" borderId="0" xfId="3" applyFont="1" applyAlignment="1">
      <alignment horizontal="left" indent="1"/>
    </xf>
    <xf numFmtId="0" fontId="12" fillId="0" borderId="0" xfId="3" applyFont="1" applyAlignment="1">
      <alignment horizontal="left" indent="2"/>
    </xf>
    <xf numFmtId="0" fontId="12" fillId="0" borderId="0" xfId="3" applyFont="1" applyAlignment="1">
      <alignment horizontal="left" indent="3"/>
    </xf>
    <xf numFmtId="0" fontId="13" fillId="0" borderId="0" xfId="3" applyFont="1" applyAlignment="1">
      <alignment horizontal="left" indent="4"/>
    </xf>
    <xf numFmtId="0" fontId="13" fillId="0" borderId="0" xfId="3" applyFont="1" applyAlignment="1">
      <alignment horizontal="left" vertical="center"/>
    </xf>
    <xf numFmtId="14" fontId="13" fillId="0" borderId="0" xfId="3" applyNumberFormat="1" applyFont="1" applyAlignment="1">
      <alignment horizontal="left" vertical="center"/>
    </xf>
    <xf numFmtId="164" fontId="13" fillId="0" borderId="0" xfId="3" applyNumberFormat="1" applyFont="1" applyAlignment="1">
      <alignment horizontal="right" vertical="center"/>
    </xf>
    <xf numFmtId="0" fontId="12" fillId="0" borderId="1" xfId="3" applyFont="1" applyBorder="1" applyAlignment="1">
      <alignment horizontal="left" indent="3"/>
    </xf>
    <xf numFmtId="164" fontId="12" fillId="0" borderId="1" xfId="3" applyNumberFormat="1" applyFont="1" applyBorder="1" applyAlignment="1">
      <alignment horizontal="right" vertical="center"/>
    </xf>
    <xf numFmtId="0" fontId="12" fillId="0" borderId="1" xfId="3" applyFont="1" applyBorder="1" applyAlignment="1">
      <alignment horizontal="left" indent="2"/>
    </xf>
    <xf numFmtId="0" fontId="12" fillId="0" borderId="1" xfId="3" applyFont="1" applyBorder="1" applyAlignment="1">
      <alignment horizontal="left" indent="1"/>
    </xf>
    <xf numFmtId="0" fontId="12" fillId="0" borderId="2" xfId="3" applyFont="1" applyBorder="1" applyAlignment="1">
      <alignment horizontal="left" indent="1"/>
    </xf>
    <xf numFmtId="0" fontId="12" fillId="0" borderId="2" xfId="3" applyFont="1" applyBorder="1" applyAlignment="1">
      <alignment horizontal="left" vertical="center"/>
    </xf>
    <xf numFmtId="164" fontId="12" fillId="0" borderId="2" xfId="3" applyNumberFormat="1" applyFont="1" applyBorder="1" applyAlignment="1">
      <alignment horizontal="right" vertical="center"/>
    </xf>
    <xf numFmtId="0" fontId="1" fillId="0" borderId="0" xfId="1"/>
    <xf numFmtId="0" fontId="5" fillId="2" borderId="3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right"/>
    </xf>
    <xf numFmtId="0" fontId="6" fillId="0" borderId="0" xfId="1" applyFont="1" applyAlignment="1">
      <alignment horizontal="left" vertical="center"/>
    </xf>
    <xf numFmtId="164" fontId="6" fillId="0" borderId="0" xfId="1" applyNumberFormat="1" applyFont="1" applyAlignment="1">
      <alignment horizontal="right" vertical="center"/>
    </xf>
    <xf numFmtId="164" fontId="6" fillId="3" borderId="0" xfId="1" applyNumberFormat="1" applyFont="1" applyFill="1" applyAlignment="1">
      <alignment horizontal="right" vertical="center"/>
    </xf>
    <xf numFmtId="0" fontId="6" fillId="0" borderId="0" xfId="1" applyFont="1" applyAlignment="1">
      <alignment horizontal="left" indent="1"/>
    </xf>
    <xf numFmtId="0" fontId="6" fillId="0" borderId="0" xfId="1" applyFont="1" applyAlignment="1">
      <alignment horizontal="left" indent="2"/>
    </xf>
    <xf numFmtId="0" fontId="7" fillId="0" borderId="0" xfId="1" applyFont="1" applyAlignment="1">
      <alignment horizontal="left" indent="3"/>
    </xf>
    <xf numFmtId="164" fontId="7" fillId="0" borderId="0" xfId="1" applyNumberFormat="1" applyFont="1" applyAlignment="1">
      <alignment horizontal="right" vertical="center"/>
    </xf>
    <xf numFmtId="164" fontId="7" fillId="3" borderId="0" xfId="1" applyNumberFormat="1" applyFont="1" applyFill="1" applyAlignment="1">
      <alignment horizontal="right" vertical="center"/>
    </xf>
    <xf numFmtId="0" fontId="6" fillId="0" borderId="1" xfId="1" applyFont="1" applyBorder="1" applyAlignment="1">
      <alignment horizontal="left" indent="2"/>
    </xf>
    <xf numFmtId="164" fontId="6" fillId="0" borderId="1" xfId="1" applyNumberFormat="1" applyFont="1" applyBorder="1" applyAlignment="1">
      <alignment horizontal="right" vertical="center"/>
    </xf>
    <xf numFmtId="164" fontId="6" fillId="3" borderId="1" xfId="1" applyNumberFormat="1" applyFont="1" applyFill="1" applyBorder="1" applyAlignment="1">
      <alignment horizontal="right" vertical="center"/>
    </xf>
    <xf numFmtId="0" fontId="6" fillId="0" borderId="1" xfId="1" applyFont="1" applyBorder="1" applyAlignment="1">
      <alignment horizontal="left" indent="1"/>
    </xf>
    <xf numFmtId="0" fontId="6" fillId="0" borderId="0" xfId="1" applyFont="1" applyAlignment="1">
      <alignment horizontal="left" indent="3"/>
    </xf>
    <xf numFmtId="0" fontId="7" fillId="0" borderId="0" xfId="1" applyFont="1" applyAlignment="1">
      <alignment horizontal="left" indent="4"/>
    </xf>
    <xf numFmtId="0" fontId="6" fillId="0" borderId="0" xfId="1" applyFont="1" applyAlignment="1">
      <alignment horizontal="left" indent="4"/>
    </xf>
    <xf numFmtId="0" fontId="7" fillId="0" borderId="0" xfId="1" applyFont="1" applyAlignment="1">
      <alignment horizontal="left" indent="5"/>
    </xf>
    <xf numFmtId="0" fontId="6" fillId="0" borderId="1" xfId="1" applyFont="1" applyBorder="1" applyAlignment="1">
      <alignment horizontal="left" indent="4"/>
    </xf>
    <xf numFmtId="0" fontId="6" fillId="0" borderId="1" xfId="1" applyFont="1" applyBorder="1" applyAlignment="1">
      <alignment horizontal="left" indent="3"/>
    </xf>
    <xf numFmtId="0" fontId="6" fillId="0" borderId="2" xfId="1" applyFont="1" applyBorder="1" applyAlignment="1">
      <alignment horizontal="left" indent="1"/>
    </xf>
    <xf numFmtId="164" fontId="6" fillId="0" borderId="2" xfId="1" applyNumberFormat="1" applyFont="1" applyBorder="1" applyAlignment="1">
      <alignment horizontal="right" vertical="center"/>
    </xf>
    <xf numFmtId="164" fontId="6" fillId="3" borderId="2" xfId="1" applyNumberFormat="1" applyFont="1" applyFill="1" applyBorder="1" applyAlignment="1">
      <alignment horizontal="right" vertical="center"/>
    </xf>
    <xf numFmtId="0" fontId="6" fillId="0" borderId="2" xfId="1" applyFont="1" applyBorder="1" applyAlignment="1">
      <alignment horizontal="left" vertical="center"/>
    </xf>
    <xf numFmtId="0" fontId="7" fillId="0" borderId="0" xfId="1" applyFont="1" applyAlignment="1">
      <alignment horizontal="left" indent="2"/>
    </xf>
    <xf numFmtId="0" fontId="13" fillId="0" borderId="0" xfId="3" applyFont="1" applyAlignment="1">
      <alignment horizontal="left" indent="3"/>
    </xf>
    <xf numFmtId="0" fontId="12" fillId="0" borderId="0" xfId="3" applyFont="1" applyAlignment="1">
      <alignment horizontal="left" indent="4"/>
    </xf>
    <xf numFmtId="0" fontId="13" fillId="0" borderId="0" xfId="3" applyFont="1" applyAlignment="1">
      <alignment horizontal="left" indent="5"/>
    </xf>
    <xf numFmtId="0" fontId="12" fillId="0" borderId="1" xfId="3" applyFont="1" applyBorder="1" applyAlignment="1">
      <alignment horizontal="left" indent="4"/>
    </xf>
    <xf numFmtId="0" fontId="13" fillId="0" borderId="0" xfId="3" applyFont="1" applyAlignment="1">
      <alignment horizontal="left" indent="2"/>
    </xf>
    <xf numFmtId="164" fontId="13" fillId="3" borderId="0" xfId="3" applyNumberFormat="1" applyFont="1" applyFill="1" applyAlignment="1">
      <alignment horizontal="right" vertical="center"/>
    </xf>
    <xf numFmtId="0" fontId="5" fillId="2" borderId="3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right"/>
    </xf>
    <xf numFmtId="0" fontId="11" fillId="2" borderId="0" xfId="3" applyFont="1" applyFill="1" applyAlignment="1">
      <alignment horizontal="right"/>
    </xf>
    <xf numFmtId="0" fontId="5" fillId="2" borderId="3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right"/>
    </xf>
    <xf numFmtId="0" fontId="3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9" fillId="0" borderId="0" xfId="3" applyFont="1" applyAlignment="1">
      <alignment horizontal="center"/>
    </xf>
    <xf numFmtId="0" fontId="10" fillId="0" borderId="0" xfId="3" applyFont="1" applyAlignment="1">
      <alignment horizontal="center"/>
    </xf>
    <xf numFmtId="0" fontId="11" fillId="2" borderId="0" xfId="3" applyFont="1" applyFill="1" applyAlignment="1">
      <alignment horizontal="right"/>
    </xf>
    <xf numFmtId="0" fontId="11" fillId="2" borderId="0" xfId="3" applyFont="1" applyFill="1" applyAlignment="1">
      <alignment horizontal="center"/>
    </xf>
  </cellXfs>
  <cellStyles count="4">
    <cellStyle name="Normal" xfId="0" builtinId="0"/>
    <cellStyle name="Normal 2" xfId="1" xr:uid="{D36CAF30-5972-4F9D-A663-864779E4B316}"/>
    <cellStyle name="Normal 3" xfId="2" xr:uid="{09192BCA-96B9-4306-B18E-112D27CB900C}"/>
    <cellStyle name="Normal 4" xfId="3" xr:uid="{21238977-F30D-4C46-9F0A-D267C0A931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EA745-E7E9-4E70-B382-EDF7335A330A}">
  <sheetPr codeName="Sheet3"/>
  <dimension ref="A1:M181"/>
  <sheetViews>
    <sheetView workbookViewId="0">
      <selection activeCell="A162" sqref="A162:XFD162"/>
    </sheetView>
  </sheetViews>
  <sheetFormatPr defaultRowHeight="14.5" x14ac:dyDescent="0.35"/>
  <cols>
    <col min="1" max="1" width="41.1796875" bestFit="1" customWidth="1"/>
    <col min="2" max="2" width="9.81640625" bestFit="1" customWidth="1"/>
    <col min="3" max="3" width="22.26953125" bestFit="1" customWidth="1"/>
    <col min="4" max="4" width="10.54296875" bestFit="1" customWidth="1"/>
    <col min="5" max="5" width="19.6328125" bestFit="1" customWidth="1"/>
    <col min="6" max="6" width="14" bestFit="1" customWidth="1"/>
    <col min="7" max="7" width="9.81640625" bestFit="1" customWidth="1"/>
    <col min="8" max="8" width="17.81640625" bestFit="1" customWidth="1"/>
    <col min="9" max="9" width="15.36328125" bestFit="1" customWidth="1"/>
    <col min="10" max="10" width="9.81640625" customWidth="1"/>
    <col min="11" max="11" width="11" bestFit="1" customWidth="1"/>
    <col min="12" max="12" width="7.81640625" bestFit="1" customWidth="1"/>
    <col min="13" max="13" width="11" bestFit="1" customWidth="1"/>
  </cols>
  <sheetData>
    <row r="1" spans="1:13" s="19" customFormat="1" ht="15.5" x14ac:dyDescent="0.35">
      <c r="A1" s="56" t="s">
        <v>0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</row>
    <row r="2" spans="1:13" s="19" customFormat="1" ht="15.5" x14ac:dyDescent="0.35">
      <c r="A2" s="56" t="s">
        <v>1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</row>
    <row r="3" spans="1:13" s="19" customFormat="1" ht="18" x14ac:dyDescent="0.4">
      <c r="A3" s="57" t="s">
        <v>61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</row>
    <row r="4" spans="1:13" s="19" customFormat="1" ht="18" x14ac:dyDescent="0.4">
      <c r="A4" s="57" t="s">
        <v>2</v>
      </c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</row>
    <row r="5" spans="1:13" s="19" customFormat="1" ht="18" x14ac:dyDescent="0.4">
      <c r="A5" s="57" t="s">
        <v>3</v>
      </c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</row>
    <row r="6" spans="1:13" s="19" customFormat="1" ht="18" x14ac:dyDescent="0.4">
      <c r="A6" s="57" t="s">
        <v>3</v>
      </c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</row>
    <row r="7" spans="1:13" s="19" customFormat="1" ht="10" x14ac:dyDescent="0.2">
      <c r="A7" s="20" t="s">
        <v>62</v>
      </c>
      <c r="B7" s="54" t="s">
        <v>63</v>
      </c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</row>
    <row r="8" spans="1:13" s="19" customFormat="1" ht="10" x14ac:dyDescent="0.2">
      <c r="A8" s="20" t="s">
        <v>62</v>
      </c>
      <c r="B8" s="55" t="s">
        <v>11</v>
      </c>
      <c r="C8" s="52" t="s">
        <v>65</v>
      </c>
      <c r="D8" s="54" t="s">
        <v>0</v>
      </c>
      <c r="E8" s="54"/>
      <c r="F8" s="54"/>
      <c r="G8" s="54"/>
      <c r="H8" s="54"/>
      <c r="I8" s="54"/>
      <c r="J8" s="54"/>
      <c r="K8" s="54"/>
      <c r="L8" s="51"/>
      <c r="M8" s="52" t="s">
        <v>64</v>
      </c>
    </row>
    <row r="9" spans="1:13" s="19" customFormat="1" ht="10" x14ac:dyDescent="0.2">
      <c r="A9" s="20" t="s">
        <v>62</v>
      </c>
      <c r="B9" s="55"/>
      <c r="C9" s="55" t="s">
        <v>11</v>
      </c>
      <c r="D9" s="55" t="s">
        <v>11</v>
      </c>
      <c r="E9" s="52" t="s">
        <v>66</v>
      </c>
      <c r="F9" s="52" t="s">
        <v>67</v>
      </c>
      <c r="G9" s="52" t="s">
        <v>53</v>
      </c>
      <c r="H9" s="52" t="s">
        <v>68</v>
      </c>
      <c r="I9" s="52" t="s">
        <v>69</v>
      </c>
      <c r="J9" s="52"/>
      <c r="K9" s="52" t="s">
        <v>64</v>
      </c>
      <c r="L9" s="52"/>
      <c r="M9" s="55" t="s">
        <v>11</v>
      </c>
    </row>
    <row r="10" spans="1:13" s="19" customFormat="1" ht="10" x14ac:dyDescent="0.2">
      <c r="A10" s="20" t="s">
        <v>62</v>
      </c>
      <c r="B10" s="55"/>
      <c r="C10" s="55"/>
      <c r="D10" s="55"/>
      <c r="E10" s="52" t="s">
        <v>11</v>
      </c>
      <c r="F10" s="52" t="s">
        <v>11</v>
      </c>
      <c r="G10" s="52" t="s">
        <v>11</v>
      </c>
      <c r="H10" s="52" t="s">
        <v>11</v>
      </c>
      <c r="I10" s="52" t="s">
        <v>11</v>
      </c>
      <c r="J10" s="21" t="s">
        <v>251</v>
      </c>
      <c r="K10" s="52" t="s">
        <v>11</v>
      </c>
      <c r="L10" s="21" t="s">
        <v>251</v>
      </c>
      <c r="M10" s="55"/>
    </row>
    <row r="11" spans="1:13" s="19" customFormat="1" ht="10.5" x14ac:dyDescent="0.2">
      <c r="A11" s="22" t="s">
        <v>12</v>
      </c>
      <c r="B11" s="23"/>
      <c r="C11" s="23"/>
      <c r="D11" s="23"/>
      <c r="E11" s="23"/>
      <c r="F11" s="23"/>
      <c r="G11" s="23"/>
      <c r="H11" s="23"/>
      <c r="I11" s="23"/>
      <c r="J11" s="24"/>
      <c r="K11" s="23"/>
      <c r="L11" s="24"/>
      <c r="M11" s="23"/>
    </row>
    <row r="12" spans="1:13" s="19" customFormat="1" ht="10.5" x14ac:dyDescent="0.25">
      <c r="A12" s="25" t="s">
        <v>13</v>
      </c>
      <c r="B12" s="23"/>
      <c r="C12" s="23"/>
      <c r="D12" s="23"/>
      <c r="E12" s="23"/>
      <c r="F12" s="23"/>
      <c r="G12" s="23"/>
      <c r="H12" s="23"/>
      <c r="I12" s="23"/>
      <c r="J12" s="24"/>
      <c r="K12" s="23"/>
      <c r="L12" s="24"/>
      <c r="M12" s="23"/>
    </row>
    <row r="13" spans="1:13" s="19" customFormat="1" ht="10.5" x14ac:dyDescent="0.25">
      <c r="A13" s="26" t="s">
        <v>14</v>
      </c>
      <c r="B13" s="23"/>
      <c r="C13" s="23"/>
      <c r="D13" s="23"/>
      <c r="E13" s="23"/>
      <c r="F13" s="23"/>
      <c r="G13" s="23"/>
      <c r="H13" s="23"/>
      <c r="I13" s="23"/>
      <c r="J13" s="24"/>
      <c r="K13" s="23">
        <f t="shared" ref="K13:K76" si="0">SUM(D13:J13)</f>
        <v>0</v>
      </c>
      <c r="L13" s="24"/>
      <c r="M13" s="23">
        <f t="shared" ref="M13:M76" si="1">SUM(B13,K13,L13)+C13</f>
        <v>0</v>
      </c>
    </row>
    <row r="14" spans="1:13" s="19" customFormat="1" ht="10" x14ac:dyDescent="0.2">
      <c r="A14" s="27" t="s">
        <v>15</v>
      </c>
      <c r="B14" s="28">
        <v>0</v>
      </c>
      <c r="C14" s="28">
        <v>0</v>
      </c>
      <c r="D14" s="28">
        <v>6330634.4425999355</v>
      </c>
      <c r="E14" s="28">
        <v>0</v>
      </c>
      <c r="F14" s="28">
        <v>462541.11786111997</v>
      </c>
      <c r="G14" s="28">
        <v>0</v>
      </c>
      <c r="H14" s="28">
        <v>0</v>
      </c>
      <c r="I14" s="28">
        <v>347622.91367801721</v>
      </c>
      <c r="J14" s="29">
        <v>-727172.95771585836</v>
      </c>
      <c r="K14" s="28">
        <f t="shared" si="0"/>
        <v>6413625.5164232142</v>
      </c>
      <c r="L14" s="29">
        <v>0</v>
      </c>
      <c r="M14" s="28">
        <f t="shared" si="1"/>
        <v>6413625.5164232142</v>
      </c>
    </row>
    <row r="15" spans="1:13" s="19" customFormat="1" ht="10" x14ac:dyDescent="0.2">
      <c r="A15" s="27" t="s">
        <v>70</v>
      </c>
      <c r="B15" s="28">
        <v>0</v>
      </c>
      <c r="C15" s="28">
        <v>0</v>
      </c>
      <c r="D15" s="28">
        <v>313508.72881052166</v>
      </c>
      <c r="E15" s="28">
        <v>0</v>
      </c>
      <c r="F15" s="28">
        <v>0</v>
      </c>
      <c r="G15" s="28">
        <v>0</v>
      </c>
      <c r="H15" s="28">
        <v>0</v>
      </c>
      <c r="I15" s="28">
        <v>0</v>
      </c>
      <c r="J15" s="29"/>
      <c r="K15" s="28">
        <f t="shared" si="0"/>
        <v>313508.72881052166</v>
      </c>
      <c r="L15" s="29"/>
      <c r="M15" s="28">
        <f t="shared" si="1"/>
        <v>313508.72881052166</v>
      </c>
    </row>
    <row r="16" spans="1:13" s="19" customFormat="1" ht="10" x14ac:dyDescent="0.2">
      <c r="A16" s="27" t="s">
        <v>71</v>
      </c>
      <c r="B16" s="28">
        <v>0</v>
      </c>
      <c r="C16" s="28">
        <v>0</v>
      </c>
      <c r="D16" s="28">
        <v>-20975.228034747306</v>
      </c>
      <c r="E16" s="28">
        <v>0</v>
      </c>
      <c r="F16" s="28">
        <v>249.60661607869838</v>
      </c>
      <c r="G16" s="28">
        <v>0</v>
      </c>
      <c r="H16" s="28">
        <v>0</v>
      </c>
      <c r="I16" s="28">
        <v>0</v>
      </c>
      <c r="J16" s="29"/>
      <c r="K16" s="28">
        <f t="shared" si="0"/>
        <v>-20725.621418668608</v>
      </c>
      <c r="L16" s="29"/>
      <c r="M16" s="28">
        <f t="shared" si="1"/>
        <v>-20725.621418668608</v>
      </c>
    </row>
    <row r="17" spans="1:13" s="19" customFormat="1" ht="10" x14ac:dyDescent="0.2">
      <c r="A17" s="27" t="s">
        <v>72</v>
      </c>
      <c r="B17" s="28">
        <v>0</v>
      </c>
      <c r="C17" s="28">
        <v>0</v>
      </c>
      <c r="D17" s="28">
        <v>29664.850323166957</v>
      </c>
      <c r="E17" s="28">
        <v>0</v>
      </c>
      <c r="F17" s="28">
        <v>0</v>
      </c>
      <c r="G17" s="28">
        <v>0</v>
      </c>
      <c r="H17" s="28">
        <v>0</v>
      </c>
      <c r="I17" s="28">
        <v>0</v>
      </c>
      <c r="J17" s="29"/>
      <c r="K17" s="28">
        <f t="shared" si="0"/>
        <v>29664.850323166957</v>
      </c>
      <c r="L17" s="29"/>
      <c r="M17" s="28">
        <f t="shared" si="1"/>
        <v>29664.850323166957</v>
      </c>
    </row>
    <row r="18" spans="1:13" s="19" customFormat="1" ht="10.5" x14ac:dyDescent="0.25">
      <c r="A18" s="30" t="s">
        <v>56</v>
      </c>
      <c r="B18" s="31">
        <f t="shared" ref="B18:L18" si="2">SUM(B14:B17)</f>
        <v>0</v>
      </c>
      <c r="C18" s="31">
        <f t="shared" si="2"/>
        <v>0</v>
      </c>
      <c r="D18" s="31">
        <f t="shared" si="2"/>
        <v>6652832.7936988762</v>
      </c>
      <c r="E18" s="31">
        <f t="shared" si="2"/>
        <v>0</v>
      </c>
      <c r="F18" s="31">
        <f t="shared" si="2"/>
        <v>462790.72447719867</v>
      </c>
      <c r="G18" s="31">
        <f t="shared" si="2"/>
        <v>0</v>
      </c>
      <c r="H18" s="31">
        <f t="shared" si="2"/>
        <v>0</v>
      </c>
      <c r="I18" s="31">
        <f t="shared" si="2"/>
        <v>347622.91367801721</v>
      </c>
      <c r="J18" s="32">
        <f t="shared" si="2"/>
        <v>-727172.95771585836</v>
      </c>
      <c r="K18" s="31">
        <f t="shared" si="0"/>
        <v>6736073.4741382338</v>
      </c>
      <c r="L18" s="32">
        <f t="shared" si="2"/>
        <v>0</v>
      </c>
      <c r="M18" s="31">
        <f t="shared" si="1"/>
        <v>6736073.4741382338</v>
      </c>
    </row>
    <row r="19" spans="1:13" s="19" customFormat="1" ht="10.5" x14ac:dyDescent="0.25">
      <c r="A19" s="33" t="s">
        <v>57</v>
      </c>
      <c r="B19" s="31">
        <f t="shared" ref="B19:L19" si="3">SUM(B18)</f>
        <v>0</v>
      </c>
      <c r="C19" s="31">
        <f t="shared" si="3"/>
        <v>0</v>
      </c>
      <c r="D19" s="31">
        <f t="shared" si="3"/>
        <v>6652832.7936988762</v>
      </c>
      <c r="E19" s="31">
        <f t="shared" si="3"/>
        <v>0</v>
      </c>
      <c r="F19" s="31">
        <f t="shared" si="3"/>
        <v>462790.72447719867</v>
      </c>
      <c r="G19" s="31">
        <f t="shared" si="3"/>
        <v>0</v>
      </c>
      <c r="H19" s="31">
        <f t="shared" si="3"/>
        <v>0</v>
      </c>
      <c r="I19" s="31">
        <f t="shared" si="3"/>
        <v>347622.91367801721</v>
      </c>
      <c r="J19" s="32">
        <f t="shared" si="3"/>
        <v>-727172.95771585836</v>
      </c>
      <c r="K19" s="31">
        <f t="shared" si="0"/>
        <v>6736073.4741382338</v>
      </c>
      <c r="L19" s="32">
        <f t="shared" si="3"/>
        <v>0</v>
      </c>
      <c r="M19" s="31">
        <f t="shared" si="1"/>
        <v>6736073.4741382338</v>
      </c>
    </row>
    <row r="20" spans="1:13" s="19" customFormat="1" ht="10.5" x14ac:dyDescent="0.25">
      <c r="A20" s="25" t="s">
        <v>221</v>
      </c>
      <c r="B20" s="23"/>
      <c r="C20" s="23"/>
      <c r="D20" s="23"/>
      <c r="E20" s="23"/>
      <c r="F20" s="23"/>
      <c r="G20" s="23"/>
      <c r="H20" s="23"/>
      <c r="I20" s="23"/>
      <c r="J20" s="24"/>
      <c r="K20" s="23">
        <f t="shared" si="0"/>
        <v>0</v>
      </c>
      <c r="L20" s="24"/>
      <c r="M20" s="23">
        <f t="shared" si="1"/>
        <v>0</v>
      </c>
    </row>
    <row r="21" spans="1:13" s="19" customFormat="1" ht="10.5" x14ac:dyDescent="0.25">
      <c r="A21" s="26" t="s">
        <v>73</v>
      </c>
      <c r="B21" s="23"/>
      <c r="C21" s="23"/>
      <c r="D21" s="23"/>
      <c r="E21" s="23"/>
      <c r="F21" s="23"/>
      <c r="G21" s="23"/>
      <c r="H21" s="23"/>
      <c r="I21" s="23"/>
      <c r="J21" s="24"/>
      <c r="K21" s="23">
        <f t="shared" si="0"/>
        <v>0</v>
      </c>
      <c r="L21" s="24"/>
      <c r="M21" s="23">
        <f t="shared" si="1"/>
        <v>0</v>
      </c>
    </row>
    <row r="22" spans="1:13" s="19" customFormat="1" ht="10" x14ac:dyDescent="0.2">
      <c r="A22" s="27" t="s">
        <v>74</v>
      </c>
      <c r="B22" s="28">
        <v>0</v>
      </c>
      <c r="C22" s="28">
        <v>0</v>
      </c>
      <c r="D22" s="28">
        <v>1877345.0306132524</v>
      </c>
      <c r="E22" s="28">
        <v>0</v>
      </c>
      <c r="F22" s="28">
        <v>302902.62513716414</v>
      </c>
      <c r="G22" s="28">
        <v>0</v>
      </c>
      <c r="H22" s="28">
        <v>0</v>
      </c>
      <c r="I22" s="28">
        <v>0</v>
      </c>
      <c r="J22" s="29">
        <v>-262115.42283608465</v>
      </c>
      <c r="K22" s="28">
        <f t="shared" si="0"/>
        <v>1918132.2329143321</v>
      </c>
      <c r="L22" s="29">
        <v>0</v>
      </c>
      <c r="M22" s="28">
        <f t="shared" si="1"/>
        <v>1918132.2329143321</v>
      </c>
    </row>
    <row r="23" spans="1:13" s="19" customFormat="1" ht="10" x14ac:dyDescent="0.2">
      <c r="A23" s="27" t="s">
        <v>75</v>
      </c>
      <c r="B23" s="28">
        <v>0</v>
      </c>
      <c r="C23" s="28">
        <v>0</v>
      </c>
      <c r="D23" s="28">
        <v>43851.451245425349</v>
      </c>
      <c r="E23" s="28">
        <v>0</v>
      </c>
      <c r="F23" s="28">
        <v>5563.5989187491004</v>
      </c>
      <c r="G23" s="28">
        <v>0</v>
      </c>
      <c r="H23" s="28">
        <v>0</v>
      </c>
      <c r="I23" s="28">
        <v>0</v>
      </c>
      <c r="J23" s="29"/>
      <c r="K23" s="28">
        <f t="shared" si="0"/>
        <v>49415.050164174449</v>
      </c>
      <c r="L23" s="29"/>
      <c r="M23" s="28">
        <f t="shared" si="1"/>
        <v>49415.050164174449</v>
      </c>
    </row>
    <row r="24" spans="1:13" s="19" customFormat="1" ht="10" x14ac:dyDescent="0.2">
      <c r="A24" s="27" t="s">
        <v>76</v>
      </c>
      <c r="B24" s="28">
        <v>0</v>
      </c>
      <c r="C24" s="28">
        <v>0</v>
      </c>
      <c r="D24" s="28">
        <v>238602.52626299515</v>
      </c>
      <c r="E24" s="28">
        <v>0</v>
      </c>
      <c r="F24" s="28">
        <v>0</v>
      </c>
      <c r="G24" s="28">
        <v>0</v>
      </c>
      <c r="H24" s="28">
        <v>0</v>
      </c>
      <c r="I24" s="28">
        <v>0</v>
      </c>
      <c r="J24" s="29"/>
      <c r="K24" s="28">
        <f t="shared" si="0"/>
        <v>238602.52626299515</v>
      </c>
      <c r="L24" s="29"/>
      <c r="M24" s="28">
        <f t="shared" si="1"/>
        <v>238602.52626299515</v>
      </c>
    </row>
    <row r="25" spans="1:13" s="19" customFormat="1" ht="10" x14ac:dyDescent="0.2">
      <c r="A25" s="27" t="s">
        <v>77</v>
      </c>
      <c r="B25" s="28">
        <v>0</v>
      </c>
      <c r="C25" s="28">
        <v>0</v>
      </c>
      <c r="D25" s="28">
        <v>19279.382707593541</v>
      </c>
      <c r="E25" s="28">
        <v>0</v>
      </c>
      <c r="F25" s="28">
        <v>0</v>
      </c>
      <c r="G25" s="28">
        <v>0</v>
      </c>
      <c r="H25" s="28">
        <v>0</v>
      </c>
      <c r="I25" s="28">
        <v>0</v>
      </c>
      <c r="J25" s="29"/>
      <c r="K25" s="28">
        <f t="shared" si="0"/>
        <v>19279.382707593541</v>
      </c>
      <c r="L25" s="29"/>
      <c r="M25" s="28">
        <f t="shared" si="1"/>
        <v>19279.382707593541</v>
      </c>
    </row>
    <row r="26" spans="1:13" s="19" customFormat="1" ht="10" x14ac:dyDescent="0.2">
      <c r="A26" s="27" t="s">
        <v>78</v>
      </c>
      <c r="B26" s="28">
        <v>0</v>
      </c>
      <c r="C26" s="28">
        <v>0</v>
      </c>
      <c r="D26" s="28">
        <v>57206.853822918805</v>
      </c>
      <c r="E26" s="28">
        <v>0</v>
      </c>
      <c r="F26" s="28">
        <v>946.15933198097196</v>
      </c>
      <c r="G26" s="28">
        <v>0</v>
      </c>
      <c r="H26" s="28">
        <v>0</v>
      </c>
      <c r="I26" s="28">
        <v>0</v>
      </c>
      <c r="J26" s="29"/>
      <c r="K26" s="28">
        <f t="shared" si="0"/>
        <v>58153.013154899774</v>
      </c>
      <c r="L26" s="29"/>
      <c r="M26" s="28">
        <f t="shared" si="1"/>
        <v>58153.013154899774</v>
      </c>
    </row>
    <row r="27" spans="1:13" s="19" customFormat="1" ht="10.5" x14ac:dyDescent="0.25">
      <c r="A27" s="34" t="s">
        <v>79</v>
      </c>
      <c r="B27" s="23"/>
      <c r="C27" s="23"/>
      <c r="D27" s="23"/>
      <c r="E27" s="23"/>
      <c r="F27" s="23"/>
      <c r="G27" s="23"/>
      <c r="H27" s="23"/>
      <c r="I27" s="23"/>
      <c r="J27" s="24"/>
      <c r="K27" s="23">
        <f t="shared" si="0"/>
        <v>0</v>
      </c>
      <c r="L27" s="24"/>
      <c r="M27" s="23">
        <f t="shared" si="1"/>
        <v>0</v>
      </c>
    </row>
    <row r="28" spans="1:13" s="19" customFormat="1" ht="10" x14ac:dyDescent="0.2">
      <c r="A28" s="35" t="s">
        <v>80</v>
      </c>
      <c r="B28" s="28">
        <v>0</v>
      </c>
      <c r="C28" s="28">
        <v>0</v>
      </c>
      <c r="D28" s="28">
        <v>0</v>
      </c>
      <c r="E28" s="28">
        <v>0</v>
      </c>
      <c r="F28" s="28">
        <v>0</v>
      </c>
      <c r="G28" s="28">
        <v>8.7881204466089997</v>
      </c>
      <c r="H28" s="28">
        <v>0</v>
      </c>
      <c r="I28" s="28">
        <v>0</v>
      </c>
      <c r="J28" s="29"/>
      <c r="K28" s="28">
        <f t="shared" si="0"/>
        <v>8.7881204466089997</v>
      </c>
      <c r="L28" s="29"/>
      <c r="M28" s="28">
        <f t="shared" si="1"/>
        <v>8.7881204466089997</v>
      </c>
    </row>
    <row r="29" spans="1:13" s="19" customFormat="1" ht="10" x14ac:dyDescent="0.2">
      <c r="A29" s="35" t="s">
        <v>259</v>
      </c>
      <c r="B29" s="28">
        <v>0</v>
      </c>
      <c r="C29" s="28">
        <v>0</v>
      </c>
      <c r="D29" s="28">
        <v>0</v>
      </c>
      <c r="E29" s="28">
        <v>0</v>
      </c>
      <c r="F29" s="28">
        <v>0</v>
      </c>
      <c r="G29" s="28">
        <v>8.858619570339</v>
      </c>
      <c r="H29" s="28">
        <v>0</v>
      </c>
      <c r="I29" s="28">
        <v>0</v>
      </c>
      <c r="J29" s="29"/>
      <c r="K29" s="28">
        <f t="shared" si="0"/>
        <v>8.858619570339</v>
      </c>
      <c r="L29" s="29"/>
      <c r="M29" s="28">
        <f t="shared" si="1"/>
        <v>8.858619570339</v>
      </c>
    </row>
    <row r="30" spans="1:13" s="19" customFormat="1" ht="10" x14ac:dyDescent="0.2">
      <c r="A30" s="35" t="s">
        <v>81</v>
      </c>
      <c r="B30" s="28">
        <v>0</v>
      </c>
      <c r="C30" s="28">
        <v>0</v>
      </c>
      <c r="D30" s="28">
        <v>14539.15534933526</v>
      </c>
      <c r="E30" s="28">
        <v>0</v>
      </c>
      <c r="F30" s="28">
        <v>0</v>
      </c>
      <c r="G30" s="28">
        <v>127.4277464758305</v>
      </c>
      <c r="H30" s="28">
        <v>0</v>
      </c>
      <c r="I30" s="28">
        <v>0</v>
      </c>
      <c r="J30" s="29"/>
      <c r="K30" s="28">
        <f t="shared" si="0"/>
        <v>14666.583095811091</v>
      </c>
      <c r="L30" s="29"/>
      <c r="M30" s="28">
        <f t="shared" si="1"/>
        <v>14666.583095811091</v>
      </c>
    </row>
    <row r="31" spans="1:13" s="19" customFormat="1" ht="10.5" x14ac:dyDescent="0.25">
      <c r="A31" s="36" t="s">
        <v>82</v>
      </c>
      <c r="B31" s="23"/>
      <c r="C31" s="23"/>
      <c r="D31" s="23"/>
      <c r="E31" s="23"/>
      <c r="F31" s="23"/>
      <c r="G31" s="23"/>
      <c r="H31" s="23"/>
      <c r="I31" s="23"/>
      <c r="J31" s="24"/>
      <c r="K31" s="23">
        <f t="shared" si="0"/>
        <v>0</v>
      </c>
      <c r="L31" s="24"/>
      <c r="M31" s="23">
        <f t="shared" si="1"/>
        <v>0</v>
      </c>
    </row>
    <row r="32" spans="1:13" s="19" customFormat="1" ht="10" x14ac:dyDescent="0.2">
      <c r="A32" s="37" t="s">
        <v>83</v>
      </c>
      <c r="B32" s="28">
        <v>0</v>
      </c>
      <c r="C32" s="28">
        <v>0</v>
      </c>
      <c r="D32" s="28">
        <v>0</v>
      </c>
      <c r="E32" s="28">
        <v>0</v>
      </c>
      <c r="F32" s="28">
        <v>0</v>
      </c>
      <c r="G32" s="28">
        <v>68.547339483550203</v>
      </c>
      <c r="H32" s="28">
        <v>0</v>
      </c>
      <c r="I32" s="28">
        <v>0</v>
      </c>
      <c r="J32" s="29"/>
      <c r="K32" s="28">
        <f t="shared" si="0"/>
        <v>68.547339483550203</v>
      </c>
      <c r="L32" s="29"/>
      <c r="M32" s="28">
        <f t="shared" si="1"/>
        <v>68.547339483550203</v>
      </c>
    </row>
    <row r="33" spans="1:13" s="19" customFormat="1" ht="10" x14ac:dyDescent="0.2">
      <c r="A33" s="37" t="s">
        <v>84</v>
      </c>
      <c r="B33" s="28">
        <v>0</v>
      </c>
      <c r="C33" s="28">
        <v>0</v>
      </c>
      <c r="D33" s="28">
        <v>0</v>
      </c>
      <c r="E33" s="28">
        <v>0</v>
      </c>
      <c r="F33" s="28">
        <v>0</v>
      </c>
      <c r="G33" s="28">
        <v>18.4550529378789</v>
      </c>
      <c r="H33" s="28">
        <v>0</v>
      </c>
      <c r="I33" s="28">
        <v>0</v>
      </c>
      <c r="J33" s="29"/>
      <c r="K33" s="28">
        <f t="shared" si="0"/>
        <v>18.4550529378789</v>
      </c>
      <c r="L33" s="29"/>
      <c r="M33" s="28">
        <f t="shared" si="1"/>
        <v>18.4550529378789</v>
      </c>
    </row>
    <row r="34" spans="1:13" s="19" customFormat="1" ht="10.5" x14ac:dyDescent="0.25">
      <c r="A34" s="38" t="s">
        <v>85</v>
      </c>
      <c r="B34" s="31">
        <f t="shared" ref="B34:L34" si="4">SUM(B32:B33)</f>
        <v>0</v>
      </c>
      <c r="C34" s="31">
        <f t="shared" si="4"/>
        <v>0</v>
      </c>
      <c r="D34" s="31">
        <f t="shared" si="4"/>
        <v>0</v>
      </c>
      <c r="E34" s="31">
        <f t="shared" si="4"/>
        <v>0</v>
      </c>
      <c r="F34" s="31">
        <f t="shared" si="4"/>
        <v>0</v>
      </c>
      <c r="G34" s="31">
        <f t="shared" si="4"/>
        <v>87.002392421429107</v>
      </c>
      <c r="H34" s="31">
        <f t="shared" si="4"/>
        <v>0</v>
      </c>
      <c r="I34" s="31">
        <f t="shared" si="4"/>
        <v>0</v>
      </c>
      <c r="J34" s="32">
        <f t="shared" si="4"/>
        <v>0</v>
      </c>
      <c r="K34" s="31">
        <f t="shared" si="0"/>
        <v>87.002392421429107</v>
      </c>
      <c r="L34" s="32">
        <f t="shared" si="4"/>
        <v>0</v>
      </c>
      <c r="M34" s="31">
        <f t="shared" si="1"/>
        <v>87.002392421429107</v>
      </c>
    </row>
    <row r="35" spans="1:13" s="19" customFormat="1" ht="10.5" x14ac:dyDescent="0.25">
      <c r="A35" s="39" t="s">
        <v>86</v>
      </c>
      <c r="B35" s="31">
        <f t="shared" ref="B35:L35" si="5">SUM(B28:B30,B34)</f>
        <v>0</v>
      </c>
      <c r="C35" s="31">
        <f t="shared" si="5"/>
        <v>0</v>
      </c>
      <c r="D35" s="31">
        <f t="shared" si="5"/>
        <v>14539.15534933526</v>
      </c>
      <c r="E35" s="31">
        <f t="shared" si="5"/>
        <v>0</v>
      </c>
      <c r="F35" s="31">
        <f t="shared" si="5"/>
        <v>0</v>
      </c>
      <c r="G35" s="31">
        <f t="shared" si="5"/>
        <v>232.07687891420761</v>
      </c>
      <c r="H35" s="31">
        <f t="shared" si="5"/>
        <v>0</v>
      </c>
      <c r="I35" s="31">
        <f t="shared" si="5"/>
        <v>0</v>
      </c>
      <c r="J35" s="32">
        <f t="shared" si="5"/>
        <v>0</v>
      </c>
      <c r="K35" s="31">
        <f t="shared" si="0"/>
        <v>14771.232228249468</v>
      </c>
      <c r="L35" s="32">
        <f t="shared" si="5"/>
        <v>0</v>
      </c>
      <c r="M35" s="31">
        <f t="shared" si="1"/>
        <v>14771.232228249468</v>
      </c>
    </row>
    <row r="36" spans="1:13" s="19" customFormat="1" ht="10.5" x14ac:dyDescent="0.25">
      <c r="A36" s="30" t="s">
        <v>87</v>
      </c>
      <c r="B36" s="31">
        <f t="shared" ref="B36:L36" si="6">SUM(B22:B26,B35)</f>
        <v>0</v>
      </c>
      <c r="C36" s="31">
        <f t="shared" si="6"/>
        <v>0</v>
      </c>
      <c r="D36" s="31">
        <f t="shared" si="6"/>
        <v>2250824.4000015203</v>
      </c>
      <c r="E36" s="31">
        <f t="shared" si="6"/>
        <v>0</v>
      </c>
      <c r="F36" s="31">
        <f t="shared" si="6"/>
        <v>309412.3833878942</v>
      </c>
      <c r="G36" s="31">
        <f t="shared" si="6"/>
        <v>232.07687891420761</v>
      </c>
      <c r="H36" s="31">
        <f t="shared" si="6"/>
        <v>0</v>
      </c>
      <c r="I36" s="31">
        <f t="shared" si="6"/>
        <v>0</v>
      </c>
      <c r="J36" s="32">
        <f t="shared" si="6"/>
        <v>-262115.42283608465</v>
      </c>
      <c r="K36" s="31">
        <f t="shared" si="0"/>
        <v>2298353.437432244</v>
      </c>
      <c r="L36" s="32">
        <f t="shared" si="6"/>
        <v>0</v>
      </c>
      <c r="M36" s="31">
        <f t="shared" si="1"/>
        <v>2298353.437432244</v>
      </c>
    </row>
    <row r="37" spans="1:13" s="19" customFormat="1" ht="10.5" x14ac:dyDescent="0.25">
      <c r="A37" s="33" t="s">
        <v>231</v>
      </c>
      <c r="B37" s="31">
        <f t="shared" ref="B37:L37" si="7">SUM(B36)</f>
        <v>0</v>
      </c>
      <c r="C37" s="31">
        <f t="shared" si="7"/>
        <v>0</v>
      </c>
      <c r="D37" s="31">
        <f t="shared" si="7"/>
        <v>2250824.4000015203</v>
      </c>
      <c r="E37" s="31">
        <f t="shared" si="7"/>
        <v>0</v>
      </c>
      <c r="F37" s="31">
        <f t="shared" si="7"/>
        <v>309412.3833878942</v>
      </c>
      <c r="G37" s="31">
        <f t="shared" si="7"/>
        <v>232.07687891420761</v>
      </c>
      <c r="H37" s="31">
        <f t="shared" si="7"/>
        <v>0</v>
      </c>
      <c r="I37" s="31">
        <f t="shared" si="7"/>
        <v>0</v>
      </c>
      <c r="J37" s="32">
        <f t="shared" si="7"/>
        <v>-262115.42283608465</v>
      </c>
      <c r="K37" s="31">
        <f t="shared" si="0"/>
        <v>2298353.437432244</v>
      </c>
      <c r="L37" s="32">
        <f t="shared" si="7"/>
        <v>0</v>
      </c>
      <c r="M37" s="31">
        <f t="shared" si="1"/>
        <v>2298353.437432244</v>
      </c>
    </row>
    <row r="38" spans="1:13" s="19" customFormat="1" ht="10.5" x14ac:dyDescent="0.25">
      <c r="A38" s="40" t="s">
        <v>58</v>
      </c>
      <c r="B38" s="41">
        <f t="shared" ref="B38:L38" si="8">B19-B37</f>
        <v>0</v>
      </c>
      <c r="C38" s="41">
        <f t="shared" si="8"/>
        <v>0</v>
      </c>
      <c r="D38" s="41">
        <f t="shared" si="8"/>
        <v>4402008.3936973559</v>
      </c>
      <c r="E38" s="41">
        <f t="shared" si="8"/>
        <v>0</v>
      </c>
      <c r="F38" s="41">
        <f t="shared" si="8"/>
        <v>153378.34108930448</v>
      </c>
      <c r="G38" s="41">
        <f t="shared" si="8"/>
        <v>-232.07687891420761</v>
      </c>
      <c r="H38" s="41">
        <f t="shared" si="8"/>
        <v>0</v>
      </c>
      <c r="I38" s="41">
        <f t="shared" si="8"/>
        <v>347622.91367801721</v>
      </c>
      <c r="J38" s="42">
        <f t="shared" si="8"/>
        <v>-465057.53487977374</v>
      </c>
      <c r="K38" s="41">
        <f t="shared" si="0"/>
        <v>4437720.0367059894</v>
      </c>
      <c r="L38" s="42">
        <f t="shared" si="8"/>
        <v>0</v>
      </c>
      <c r="M38" s="41">
        <f t="shared" si="1"/>
        <v>4437720.0367059894</v>
      </c>
    </row>
    <row r="39" spans="1:13" s="19" customFormat="1" ht="10.5" x14ac:dyDescent="0.25">
      <c r="A39" s="25" t="s">
        <v>234</v>
      </c>
      <c r="B39" s="23"/>
      <c r="C39" s="23"/>
      <c r="D39" s="23"/>
      <c r="E39" s="23"/>
      <c r="F39" s="23"/>
      <c r="G39" s="23"/>
      <c r="H39" s="23"/>
      <c r="I39" s="23"/>
      <c r="J39" s="24"/>
      <c r="K39" s="23">
        <f t="shared" si="0"/>
        <v>0</v>
      </c>
      <c r="L39" s="24"/>
      <c r="M39" s="23">
        <f t="shared" si="1"/>
        <v>0</v>
      </c>
    </row>
    <row r="40" spans="1:13" s="19" customFormat="1" ht="10.5" x14ac:dyDescent="0.25">
      <c r="A40" s="26" t="s">
        <v>88</v>
      </c>
      <c r="B40" s="23"/>
      <c r="C40" s="23"/>
      <c r="D40" s="23"/>
      <c r="E40" s="23"/>
      <c r="F40" s="23"/>
      <c r="G40" s="23"/>
      <c r="H40" s="23"/>
      <c r="I40" s="23"/>
      <c r="J40" s="24"/>
      <c r="K40" s="23">
        <f t="shared" si="0"/>
        <v>0</v>
      </c>
      <c r="L40" s="24"/>
      <c r="M40" s="23">
        <f t="shared" si="1"/>
        <v>0</v>
      </c>
    </row>
    <row r="41" spans="1:13" s="19" customFormat="1" ht="10" x14ac:dyDescent="0.2">
      <c r="A41" s="27" t="s">
        <v>89</v>
      </c>
      <c r="B41" s="28">
        <v>0</v>
      </c>
      <c r="C41" s="28">
        <v>0</v>
      </c>
      <c r="D41" s="28">
        <v>2690.4585882132278</v>
      </c>
      <c r="E41" s="28">
        <v>-8.825307236859727</v>
      </c>
      <c r="F41" s="28">
        <v>31.942533747975371</v>
      </c>
      <c r="G41" s="28">
        <v>0</v>
      </c>
      <c r="H41" s="28">
        <v>0</v>
      </c>
      <c r="I41" s="28">
        <v>649.03805217454578</v>
      </c>
      <c r="J41" s="29"/>
      <c r="K41" s="28">
        <f t="shared" si="0"/>
        <v>3362.6138668988888</v>
      </c>
      <c r="L41" s="29"/>
      <c r="M41" s="28">
        <f t="shared" si="1"/>
        <v>3362.6138668988888</v>
      </c>
    </row>
    <row r="42" spans="1:13" s="19" customFormat="1" ht="10.5" x14ac:dyDescent="0.25">
      <c r="A42" s="34" t="s">
        <v>90</v>
      </c>
      <c r="B42" s="23"/>
      <c r="C42" s="23"/>
      <c r="D42" s="23"/>
      <c r="E42" s="23"/>
      <c r="F42" s="23"/>
      <c r="G42" s="23"/>
      <c r="H42" s="23"/>
      <c r="I42" s="23"/>
      <c r="J42" s="24"/>
      <c r="K42" s="23">
        <f t="shared" si="0"/>
        <v>0</v>
      </c>
      <c r="L42" s="24"/>
      <c r="M42" s="23">
        <f t="shared" si="1"/>
        <v>0</v>
      </c>
    </row>
    <row r="43" spans="1:13" s="19" customFormat="1" ht="10" x14ac:dyDescent="0.2">
      <c r="A43" s="35" t="s">
        <v>91</v>
      </c>
      <c r="B43" s="28">
        <v>0</v>
      </c>
      <c r="C43" s="28">
        <v>0</v>
      </c>
      <c r="D43" s="28">
        <v>326372.12229492766</v>
      </c>
      <c r="E43" s="28">
        <v>0</v>
      </c>
      <c r="F43" s="28">
        <v>0</v>
      </c>
      <c r="G43" s="28">
        <v>13174.834312806501</v>
      </c>
      <c r="H43" s="28">
        <v>0</v>
      </c>
      <c r="I43" s="28">
        <v>62333.568812028963</v>
      </c>
      <c r="J43" s="29"/>
      <c r="K43" s="28">
        <f t="shared" si="0"/>
        <v>401880.52541976311</v>
      </c>
      <c r="L43" s="29"/>
      <c r="M43" s="28">
        <f t="shared" si="1"/>
        <v>401880.52541976311</v>
      </c>
    </row>
    <row r="44" spans="1:13" s="19" customFormat="1" ht="10" x14ac:dyDescent="0.2">
      <c r="A44" s="35" t="s">
        <v>92</v>
      </c>
      <c r="B44" s="28">
        <v>0</v>
      </c>
      <c r="C44" s="28">
        <v>0</v>
      </c>
      <c r="D44" s="28">
        <v>869684.6960042658</v>
      </c>
      <c r="E44" s="28">
        <v>0</v>
      </c>
      <c r="F44" s="28">
        <v>0</v>
      </c>
      <c r="G44" s="28">
        <v>53560.601423302003</v>
      </c>
      <c r="H44" s="28">
        <v>0</v>
      </c>
      <c r="I44" s="28">
        <v>187000.97654848851</v>
      </c>
      <c r="J44" s="29"/>
      <c r="K44" s="28">
        <f t="shared" si="0"/>
        <v>1110246.2739760564</v>
      </c>
      <c r="L44" s="29"/>
      <c r="M44" s="28">
        <f t="shared" si="1"/>
        <v>1110246.2739760564</v>
      </c>
    </row>
    <row r="45" spans="1:13" s="19" customFormat="1" ht="10" x14ac:dyDescent="0.2">
      <c r="A45" s="35" t="s">
        <v>93</v>
      </c>
      <c r="B45" s="28">
        <v>0</v>
      </c>
      <c r="C45" s="28">
        <v>0</v>
      </c>
      <c r="D45" s="28">
        <v>109825.72561034645</v>
      </c>
      <c r="E45" s="28">
        <v>0</v>
      </c>
      <c r="F45" s="28">
        <v>0</v>
      </c>
      <c r="G45" s="28">
        <v>118.57350881525851</v>
      </c>
      <c r="H45" s="28">
        <v>0</v>
      </c>
      <c r="I45" s="28">
        <v>27052.757009345292</v>
      </c>
      <c r="J45" s="29"/>
      <c r="K45" s="28">
        <f t="shared" si="0"/>
        <v>136997.05612850699</v>
      </c>
      <c r="L45" s="29"/>
      <c r="M45" s="28">
        <f t="shared" si="1"/>
        <v>136997.05612850699</v>
      </c>
    </row>
    <row r="46" spans="1:13" s="19" customFormat="1" ht="10" x14ac:dyDescent="0.2">
      <c r="A46" s="35" t="s">
        <v>94</v>
      </c>
      <c r="B46" s="28">
        <v>0</v>
      </c>
      <c r="C46" s="28">
        <v>0</v>
      </c>
      <c r="D46" s="28">
        <v>28760.998489022742</v>
      </c>
      <c r="E46" s="28">
        <v>0</v>
      </c>
      <c r="F46" s="28">
        <v>0</v>
      </c>
      <c r="G46" s="28">
        <v>6552.0622209025732</v>
      </c>
      <c r="H46" s="28">
        <v>0</v>
      </c>
      <c r="I46" s="28">
        <v>4831.5017631427318</v>
      </c>
      <c r="J46" s="29"/>
      <c r="K46" s="28">
        <f t="shared" si="0"/>
        <v>40144.56247306805</v>
      </c>
      <c r="L46" s="29"/>
      <c r="M46" s="28">
        <f t="shared" si="1"/>
        <v>40144.56247306805</v>
      </c>
    </row>
    <row r="47" spans="1:13" s="19" customFormat="1" ht="10.5" x14ac:dyDescent="0.25">
      <c r="A47" s="39" t="s">
        <v>95</v>
      </c>
      <c r="B47" s="31">
        <f t="shared" ref="B47:L47" si="9">SUM(B43:B46)</f>
        <v>0</v>
      </c>
      <c r="C47" s="31">
        <f t="shared" si="9"/>
        <v>0</v>
      </c>
      <c r="D47" s="31">
        <f t="shared" si="9"/>
        <v>1334643.5423985627</v>
      </c>
      <c r="E47" s="31">
        <f t="shared" si="9"/>
        <v>0</v>
      </c>
      <c r="F47" s="31">
        <f t="shared" si="9"/>
        <v>0</v>
      </c>
      <c r="G47" s="31">
        <f t="shared" si="9"/>
        <v>73406.071465826331</v>
      </c>
      <c r="H47" s="31">
        <f t="shared" si="9"/>
        <v>0</v>
      </c>
      <c r="I47" s="31">
        <f t="shared" si="9"/>
        <v>281218.8041330055</v>
      </c>
      <c r="J47" s="32">
        <f t="shared" si="9"/>
        <v>0</v>
      </c>
      <c r="K47" s="31">
        <f t="shared" si="0"/>
        <v>1689268.4179973945</v>
      </c>
      <c r="L47" s="32">
        <f t="shared" si="9"/>
        <v>0</v>
      </c>
      <c r="M47" s="31">
        <f t="shared" si="1"/>
        <v>1689268.4179973945</v>
      </c>
    </row>
    <row r="48" spans="1:13" s="19" customFormat="1" ht="10.5" x14ac:dyDescent="0.25">
      <c r="A48" s="34" t="s">
        <v>96</v>
      </c>
      <c r="B48" s="23"/>
      <c r="C48" s="23"/>
      <c r="D48" s="23"/>
      <c r="E48" s="23"/>
      <c r="F48" s="23"/>
      <c r="G48" s="23"/>
      <c r="H48" s="23"/>
      <c r="I48" s="23"/>
      <c r="J48" s="24"/>
      <c r="K48" s="23">
        <f t="shared" si="0"/>
        <v>0</v>
      </c>
      <c r="L48" s="24"/>
      <c r="M48" s="23">
        <f t="shared" si="1"/>
        <v>0</v>
      </c>
    </row>
    <row r="49" spans="1:13" s="19" customFormat="1" ht="10" x14ac:dyDescent="0.2">
      <c r="A49" s="35" t="s">
        <v>97</v>
      </c>
      <c r="B49" s="28">
        <v>0</v>
      </c>
      <c r="C49" s="28">
        <v>0</v>
      </c>
      <c r="D49" s="28">
        <v>8713.2775933916928</v>
      </c>
      <c r="E49" s="28">
        <v>0</v>
      </c>
      <c r="F49" s="28">
        <v>0</v>
      </c>
      <c r="G49" s="28">
        <v>665.61224262616565</v>
      </c>
      <c r="H49" s="28">
        <v>0</v>
      </c>
      <c r="I49" s="28">
        <v>0</v>
      </c>
      <c r="J49" s="29"/>
      <c r="K49" s="28">
        <f t="shared" si="0"/>
        <v>9378.8898360178591</v>
      </c>
      <c r="L49" s="29"/>
      <c r="M49" s="28">
        <f t="shared" si="1"/>
        <v>9378.8898360178591</v>
      </c>
    </row>
    <row r="50" spans="1:13" s="19" customFormat="1" ht="10" x14ac:dyDescent="0.2">
      <c r="A50" s="35" t="s">
        <v>98</v>
      </c>
      <c r="B50" s="28">
        <v>0</v>
      </c>
      <c r="C50" s="28">
        <v>0</v>
      </c>
      <c r="D50" s="28">
        <v>0</v>
      </c>
      <c r="E50" s="28">
        <v>0</v>
      </c>
      <c r="F50" s="28">
        <v>0</v>
      </c>
      <c r="G50" s="28">
        <v>0</v>
      </c>
      <c r="H50" s="28">
        <v>0</v>
      </c>
      <c r="I50" s="28">
        <v>19358.85578515815</v>
      </c>
      <c r="J50" s="29"/>
      <c r="K50" s="28">
        <f t="shared" si="0"/>
        <v>19358.85578515815</v>
      </c>
      <c r="L50" s="29"/>
      <c r="M50" s="28">
        <f t="shared" si="1"/>
        <v>19358.85578515815</v>
      </c>
    </row>
    <row r="51" spans="1:13" s="19" customFormat="1" ht="10" x14ac:dyDescent="0.2">
      <c r="A51" s="35" t="s">
        <v>99</v>
      </c>
      <c r="B51" s="28">
        <v>0</v>
      </c>
      <c r="C51" s="28">
        <v>0</v>
      </c>
      <c r="D51" s="28">
        <v>21492.120991764608</v>
      </c>
      <c r="E51" s="28">
        <v>0</v>
      </c>
      <c r="F51" s="28">
        <v>0</v>
      </c>
      <c r="G51" s="28">
        <v>0</v>
      </c>
      <c r="H51" s="28">
        <v>0</v>
      </c>
      <c r="I51" s="28">
        <v>0</v>
      </c>
      <c r="J51" s="29"/>
      <c r="K51" s="28">
        <f t="shared" si="0"/>
        <v>21492.120991764608</v>
      </c>
      <c r="L51" s="29"/>
      <c r="M51" s="28">
        <f t="shared" si="1"/>
        <v>21492.120991764608</v>
      </c>
    </row>
    <row r="52" spans="1:13" s="19" customFormat="1" ht="10" x14ac:dyDescent="0.2">
      <c r="A52" s="35" t="s">
        <v>100</v>
      </c>
      <c r="B52" s="28">
        <v>0</v>
      </c>
      <c r="C52" s="28">
        <v>0</v>
      </c>
      <c r="D52" s="28">
        <v>-1082.8501568622787</v>
      </c>
      <c r="E52" s="28">
        <v>0</v>
      </c>
      <c r="F52" s="28">
        <v>0</v>
      </c>
      <c r="G52" s="28">
        <v>0</v>
      </c>
      <c r="H52" s="28">
        <v>0</v>
      </c>
      <c r="I52" s="28">
        <v>0</v>
      </c>
      <c r="J52" s="29"/>
      <c r="K52" s="28">
        <f t="shared" si="0"/>
        <v>-1082.8501568622787</v>
      </c>
      <c r="L52" s="29"/>
      <c r="M52" s="28">
        <f t="shared" si="1"/>
        <v>-1082.8501568622787</v>
      </c>
    </row>
    <row r="53" spans="1:13" s="19" customFormat="1" ht="10.5" x14ac:dyDescent="0.25">
      <c r="A53" s="39" t="s">
        <v>101</v>
      </c>
      <c r="B53" s="31">
        <f t="shared" ref="B53:L53" si="10">SUM(B49:B52)</f>
        <v>0</v>
      </c>
      <c r="C53" s="31">
        <f t="shared" si="10"/>
        <v>0</v>
      </c>
      <c r="D53" s="31">
        <f t="shared" si="10"/>
        <v>29122.548428294023</v>
      </c>
      <c r="E53" s="31">
        <f t="shared" si="10"/>
        <v>0</v>
      </c>
      <c r="F53" s="31">
        <f t="shared" si="10"/>
        <v>0</v>
      </c>
      <c r="G53" s="31">
        <f t="shared" si="10"/>
        <v>665.61224262616565</v>
      </c>
      <c r="H53" s="31">
        <f t="shared" si="10"/>
        <v>0</v>
      </c>
      <c r="I53" s="31">
        <f t="shared" si="10"/>
        <v>19358.85578515815</v>
      </c>
      <c r="J53" s="32">
        <f t="shared" si="10"/>
        <v>0</v>
      </c>
      <c r="K53" s="31">
        <f t="shared" si="0"/>
        <v>49147.016456078338</v>
      </c>
      <c r="L53" s="32">
        <f t="shared" si="10"/>
        <v>0</v>
      </c>
      <c r="M53" s="31">
        <f t="shared" si="1"/>
        <v>49147.016456078338</v>
      </c>
    </row>
    <row r="54" spans="1:13" s="19" customFormat="1" ht="10.5" x14ac:dyDescent="0.25">
      <c r="A54" s="34" t="s">
        <v>102</v>
      </c>
      <c r="B54" s="23"/>
      <c r="C54" s="23"/>
      <c r="D54" s="23"/>
      <c r="E54" s="23"/>
      <c r="F54" s="23"/>
      <c r="G54" s="23"/>
      <c r="H54" s="23"/>
      <c r="I54" s="23"/>
      <c r="J54" s="24"/>
      <c r="K54" s="23">
        <f t="shared" si="0"/>
        <v>0</v>
      </c>
      <c r="L54" s="24"/>
      <c r="M54" s="23">
        <f t="shared" si="1"/>
        <v>0</v>
      </c>
    </row>
    <row r="55" spans="1:13" s="19" customFormat="1" ht="10" x14ac:dyDescent="0.2">
      <c r="A55" s="35" t="s">
        <v>103</v>
      </c>
      <c r="B55" s="28">
        <v>0</v>
      </c>
      <c r="C55" s="28">
        <v>0</v>
      </c>
      <c r="D55" s="28">
        <v>59002.080265316123</v>
      </c>
      <c r="E55" s="28">
        <v>0</v>
      </c>
      <c r="F55" s="28">
        <v>0</v>
      </c>
      <c r="G55" s="28">
        <v>1956.5661784137039</v>
      </c>
      <c r="H55" s="28">
        <v>0</v>
      </c>
      <c r="I55" s="28">
        <v>44504.095374964512</v>
      </c>
      <c r="J55" s="29"/>
      <c r="K55" s="28">
        <f t="shared" si="0"/>
        <v>105462.74181869434</v>
      </c>
      <c r="L55" s="29"/>
      <c r="M55" s="28">
        <f t="shared" si="1"/>
        <v>105462.74181869434</v>
      </c>
    </row>
    <row r="56" spans="1:13" s="19" customFormat="1" ht="10" x14ac:dyDescent="0.2">
      <c r="A56" s="35" t="s">
        <v>104</v>
      </c>
      <c r="B56" s="28">
        <v>0</v>
      </c>
      <c r="C56" s="28">
        <v>0</v>
      </c>
      <c r="D56" s="28">
        <v>218640.93129316918</v>
      </c>
      <c r="E56" s="28">
        <v>0</v>
      </c>
      <c r="F56" s="28">
        <v>18689.252541921236</v>
      </c>
      <c r="G56" s="28">
        <v>697.86093955684225</v>
      </c>
      <c r="H56" s="28">
        <v>0</v>
      </c>
      <c r="I56" s="28">
        <v>31310.747575076897</v>
      </c>
      <c r="J56" s="29"/>
      <c r="K56" s="28">
        <f t="shared" si="0"/>
        <v>269338.79234972416</v>
      </c>
      <c r="L56" s="29"/>
      <c r="M56" s="28">
        <f t="shared" si="1"/>
        <v>269338.79234972416</v>
      </c>
    </row>
    <row r="57" spans="1:13" s="19" customFormat="1" ht="10.5" x14ac:dyDescent="0.25">
      <c r="A57" s="39" t="s">
        <v>105</v>
      </c>
      <c r="B57" s="31">
        <f t="shared" ref="B57:L57" si="11">SUM(B55:B56)</f>
        <v>0</v>
      </c>
      <c r="C57" s="31">
        <f t="shared" si="11"/>
        <v>0</v>
      </c>
      <c r="D57" s="31">
        <f t="shared" si="11"/>
        <v>277643.01155848533</v>
      </c>
      <c r="E57" s="31">
        <f t="shared" si="11"/>
        <v>0</v>
      </c>
      <c r="F57" s="31">
        <f t="shared" si="11"/>
        <v>18689.252541921236</v>
      </c>
      <c r="G57" s="31">
        <f t="shared" si="11"/>
        <v>2654.4271179705461</v>
      </c>
      <c r="H57" s="31">
        <f t="shared" si="11"/>
        <v>0</v>
      </c>
      <c r="I57" s="31">
        <f t="shared" si="11"/>
        <v>75814.842950041406</v>
      </c>
      <c r="J57" s="32">
        <f t="shared" si="11"/>
        <v>0</v>
      </c>
      <c r="K57" s="31">
        <f t="shared" si="0"/>
        <v>374801.5341684185</v>
      </c>
      <c r="L57" s="32">
        <f t="shared" si="11"/>
        <v>0</v>
      </c>
      <c r="M57" s="31">
        <f t="shared" si="1"/>
        <v>374801.5341684185</v>
      </c>
    </row>
    <row r="58" spans="1:13" s="19" customFormat="1" ht="10.5" x14ac:dyDescent="0.25">
      <c r="A58" s="34" t="s">
        <v>106</v>
      </c>
      <c r="B58" s="23"/>
      <c r="C58" s="23"/>
      <c r="D58" s="23"/>
      <c r="E58" s="23"/>
      <c r="F58" s="23"/>
      <c r="G58" s="23"/>
      <c r="H58" s="23"/>
      <c r="I58" s="23"/>
      <c r="J58" s="24"/>
      <c r="K58" s="23">
        <f t="shared" si="0"/>
        <v>0</v>
      </c>
      <c r="L58" s="24"/>
      <c r="M58" s="23">
        <f t="shared" si="1"/>
        <v>0</v>
      </c>
    </row>
    <row r="59" spans="1:13" s="19" customFormat="1" ht="10" x14ac:dyDescent="0.2">
      <c r="A59" s="35" t="s">
        <v>107</v>
      </c>
      <c r="B59" s="28">
        <v>0</v>
      </c>
      <c r="C59" s="28">
        <v>0</v>
      </c>
      <c r="D59" s="28">
        <v>3963.1436239735185</v>
      </c>
      <c r="E59" s="28">
        <v>0</v>
      </c>
      <c r="F59" s="28">
        <v>0</v>
      </c>
      <c r="G59" s="28">
        <v>0</v>
      </c>
      <c r="H59" s="28">
        <v>0</v>
      </c>
      <c r="I59" s="28">
        <v>0</v>
      </c>
      <c r="J59" s="29"/>
      <c r="K59" s="28">
        <f t="shared" si="0"/>
        <v>3963.1436239735185</v>
      </c>
      <c r="L59" s="29"/>
      <c r="M59" s="28">
        <f t="shared" si="1"/>
        <v>3963.1436239735185</v>
      </c>
    </row>
    <row r="60" spans="1:13" s="19" customFormat="1" ht="10" x14ac:dyDescent="0.2">
      <c r="A60" s="35" t="s">
        <v>108</v>
      </c>
      <c r="B60" s="28">
        <v>0</v>
      </c>
      <c r="C60" s="28">
        <v>0</v>
      </c>
      <c r="D60" s="28">
        <v>1311.7760848536568</v>
      </c>
      <c r="E60" s="28">
        <v>0</v>
      </c>
      <c r="F60" s="28">
        <v>0</v>
      </c>
      <c r="G60" s="28">
        <v>0</v>
      </c>
      <c r="H60" s="28">
        <v>0</v>
      </c>
      <c r="I60" s="28">
        <v>19.205683483946547</v>
      </c>
      <c r="J60" s="29"/>
      <c r="K60" s="28">
        <f t="shared" si="0"/>
        <v>1330.9817683376034</v>
      </c>
      <c r="L60" s="29"/>
      <c r="M60" s="28">
        <f t="shared" si="1"/>
        <v>1330.9817683376034</v>
      </c>
    </row>
    <row r="61" spans="1:13" s="19" customFormat="1" ht="10.5" x14ac:dyDescent="0.25">
      <c r="A61" s="39" t="s">
        <v>109</v>
      </c>
      <c r="B61" s="31">
        <f t="shared" ref="B61:L61" si="12">SUM(B59:B60)</f>
        <v>0</v>
      </c>
      <c r="C61" s="31">
        <f t="shared" si="12"/>
        <v>0</v>
      </c>
      <c r="D61" s="31">
        <f t="shared" si="12"/>
        <v>5274.9197088271758</v>
      </c>
      <c r="E61" s="31">
        <f t="shared" si="12"/>
        <v>0</v>
      </c>
      <c r="F61" s="31">
        <f t="shared" si="12"/>
        <v>0</v>
      </c>
      <c r="G61" s="31">
        <f t="shared" si="12"/>
        <v>0</v>
      </c>
      <c r="H61" s="31">
        <f t="shared" si="12"/>
        <v>0</v>
      </c>
      <c r="I61" s="31">
        <f t="shared" si="12"/>
        <v>19.205683483946547</v>
      </c>
      <c r="J61" s="32">
        <f t="shared" si="12"/>
        <v>0</v>
      </c>
      <c r="K61" s="31">
        <f t="shared" si="0"/>
        <v>5294.1253923111226</v>
      </c>
      <c r="L61" s="32">
        <f t="shared" si="12"/>
        <v>0</v>
      </c>
      <c r="M61" s="31">
        <f t="shared" si="1"/>
        <v>5294.1253923111226</v>
      </c>
    </row>
    <row r="62" spans="1:13" s="19" customFormat="1" ht="10.5" x14ac:dyDescent="0.25">
      <c r="A62" s="34" t="s">
        <v>110</v>
      </c>
      <c r="B62" s="23"/>
      <c r="C62" s="23"/>
      <c r="D62" s="23"/>
      <c r="E62" s="23"/>
      <c r="F62" s="23"/>
      <c r="G62" s="23"/>
      <c r="H62" s="23"/>
      <c r="I62" s="23"/>
      <c r="J62" s="24"/>
      <c r="K62" s="23">
        <f t="shared" si="0"/>
        <v>0</v>
      </c>
      <c r="L62" s="24"/>
      <c r="M62" s="23">
        <f t="shared" si="1"/>
        <v>0</v>
      </c>
    </row>
    <row r="63" spans="1:13" s="19" customFormat="1" ht="10" x14ac:dyDescent="0.2">
      <c r="A63" s="35" t="s">
        <v>111</v>
      </c>
      <c r="B63" s="28">
        <v>0</v>
      </c>
      <c r="C63" s="28">
        <v>0</v>
      </c>
      <c r="D63" s="28">
        <v>3158.6112544904563</v>
      </c>
      <c r="E63" s="28">
        <v>0</v>
      </c>
      <c r="F63" s="28">
        <v>1458.3878321070454</v>
      </c>
      <c r="G63" s="28">
        <v>4437.9962342501167</v>
      </c>
      <c r="H63" s="28">
        <v>0</v>
      </c>
      <c r="I63" s="28">
        <v>12648.306578323729</v>
      </c>
      <c r="J63" s="29"/>
      <c r="K63" s="28">
        <f t="shared" si="0"/>
        <v>21703.301899171347</v>
      </c>
      <c r="L63" s="29"/>
      <c r="M63" s="28">
        <f t="shared" si="1"/>
        <v>21703.301899171347</v>
      </c>
    </row>
    <row r="64" spans="1:13" s="19" customFormat="1" ht="10" x14ac:dyDescent="0.2">
      <c r="A64" s="35" t="s">
        <v>112</v>
      </c>
      <c r="B64" s="28">
        <v>0</v>
      </c>
      <c r="C64" s="28">
        <v>0</v>
      </c>
      <c r="D64" s="28">
        <v>8650.2284050155122</v>
      </c>
      <c r="E64" s="28">
        <v>0</v>
      </c>
      <c r="F64" s="28">
        <v>2102.3709210307829</v>
      </c>
      <c r="G64" s="28">
        <v>230.14859530443616</v>
      </c>
      <c r="H64" s="28">
        <v>0</v>
      </c>
      <c r="I64" s="28">
        <v>36481.672318168567</v>
      </c>
      <c r="J64" s="29"/>
      <c r="K64" s="28">
        <f t="shared" si="0"/>
        <v>47464.420239519299</v>
      </c>
      <c r="L64" s="29"/>
      <c r="M64" s="28">
        <f t="shared" si="1"/>
        <v>47464.420239519299</v>
      </c>
    </row>
    <row r="65" spans="1:13" s="19" customFormat="1" ht="10" x14ac:dyDescent="0.2">
      <c r="A65" s="35" t="s">
        <v>113</v>
      </c>
      <c r="B65" s="28">
        <v>0</v>
      </c>
      <c r="C65" s="28">
        <v>0</v>
      </c>
      <c r="D65" s="28">
        <v>3439.8100364817192</v>
      </c>
      <c r="E65" s="28">
        <v>0</v>
      </c>
      <c r="F65" s="28">
        <v>831.05641308793247</v>
      </c>
      <c r="G65" s="28">
        <v>4272.7533412534913</v>
      </c>
      <c r="H65" s="28">
        <v>0</v>
      </c>
      <c r="I65" s="28">
        <v>29644.666473314694</v>
      </c>
      <c r="J65" s="29"/>
      <c r="K65" s="28">
        <f t="shared" si="0"/>
        <v>38188.286264137838</v>
      </c>
      <c r="L65" s="29"/>
      <c r="M65" s="28">
        <f t="shared" si="1"/>
        <v>38188.286264137838</v>
      </c>
    </row>
    <row r="66" spans="1:13" s="19" customFormat="1" ht="10" x14ac:dyDescent="0.2">
      <c r="A66" s="35" t="s">
        <v>114</v>
      </c>
      <c r="B66" s="28">
        <v>0</v>
      </c>
      <c r="C66" s="28">
        <v>0</v>
      </c>
      <c r="D66" s="28">
        <v>-3736.2126506089371</v>
      </c>
      <c r="E66" s="28">
        <v>0</v>
      </c>
      <c r="F66" s="28">
        <v>2052.2456872125827</v>
      </c>
      <c r="G66" s="28">
        <v>0</v>
      </c>
      <c r="H66" s="28">
        <v>0</v>
      </c>
      <c r="I66" s="28">
        <v>-38248.127857391279</v>
      </c>
      <c r="J66" s="29"/>
      <c r="K66" s="28">
        <f t="shared" si="0"/>
        <v>-39932.094820787635</v>
      </c>
      <c r="L66" s="29"/>
      <c r="M66" s="28">
        <f t="shared" si="1"/>
        <v>-39932.094820787635</v>
      </c>
    </row>
    <row r="67" spans="1:13" s="19" customFormat="1" ht="10" x14ac:dyDescent="0.2">
      <c r="A67" s="35" t="s">
        <v>115</v>
      </c>
      <c r="B67" s="28">
        <v>0</v>
      </c>
      <c r="C67" s="28">
        <v>0</v>
      </c>
      <c r="D67" s="28">
        <v>24.538659146390458</v>
      </c>
      <c r="E67" s="28">
        <v>0</v>
      </c>
      <c r="F67" s="28">
        <v>0</v>
      </c>
      <c r="G67" s="28">
        <v>0</v>
      </c>
      <c r="H67" s="28">
        <v>0</v>
      </c>
      <c r="I67" s="28">
        <v>0</v>
      </c>
      <c r="J67" s="29"/>
      <c r="K67" s="28">
        <f t="shared" si="0"/>
        <v>24.538659146390458</v>
      </c>
      <c r="L67" s="29"/>
      <c r="M67" s="28">
        <f t="shared" si="1"/>
        <v>24.538659146390458</v>
      </c>
    </row>
    <row r="68" spans="1:13" s="19" customFormat="1" ht="10" x14ac:dyDescent="0.2">
      <c r="A68" s="35" t="s">
        <v>116</v>
      </c>
      <c r="B68" s="28">
        <v>0</v>
      </c>
      <c r="C68" s="28">
        <v>0</v>
      </c>
      <c r="D68" s="28">
        <v>0</v>
      </c>
      <c r="E68" s="28">
        <v>0</v>
      </c>
      <c r="F68" s="28">
        <v>157.26119906124055</v>
      </c>
      <c r="G68" s="28">
        <v>0</v>
      </c>
      <c r="H68" s="28">
        <v>0</v>
      </c>
      <c r="I68" s="28">
        <v>5034.6081758238661</v>
      </c>
      <c r="J68" s="29"/>
      <c r="K68" s="28">
        <f t="shared" si="0"/>
        <v>5191.8693748851065</v>
      </c>
      <c r="L68" s="29"/>
      <c r="M68" s="28">
        <f t="shared" si="1"/>
        <v>5191.8693748851065</v>
      </c>
    </row>
    <row r="69" spans="1:13" s="19" customFormat="1" ht="10" x14ac:dyDescent="0.2">
      <c r="A69" s="35" t="s">
        <v>117</v>
      </c>
      <c r="B69" s="28">
        <v>0</v>
      </c>
      <c r="C69" s="28">
        <v>0</v>
      </c>
      <c r="D69" s="28">
        <v>11808.534941339365</v>
      </c>
      <c r="E69" s="28">
        <v>0</v>
      </c>
      <c r="F69" s="28">
        <v>0</v>
      </c>
      <c r="G69" s="28">
        <v>0</v>
      </c>
      <c r="H69" s="28">
        <v>0</v>
      </c>
      <c r="I69" s="28">
        <v>0</v>
      </c>
      <c r="J69" s="29"/>
      <c r="K69" s="28">
        <f t="shared" si="0"/>
        <v>11808.534941339365</v>
      </c>
      <c r="L69" s="29"/>
      <c r="M69" s="28">
        <f t="shared" si="1"/>
        <v>11808.534941339365</v>
      </c>
    </row>
    <row r="70" spans="1:13" s="19" customFormat="1" ht="10" x14ac:dyDescent="0.2">
      <c r="A70" s="35" t="s">
        <v>118</v>
      </c>
      <c r="B70" s="28">
        <v>0</v>
      </c>
      <c r="C70" s="28">
        <v>0</v>
      </c>
      <c r="D70" s="28">
        <v>5301.1149446856207</v>
      </c>
      <c r="E70" s="28">
        <v>0</v>
      </c>
      <c r="F70" s="28">
        <v>0</v>
      </c>
      <c r="G70" s="28">
        <v>392.7129818149881</v>
      </c>
      <c r="H70" s="28">
        <v>0</v>
      </c>
      <c r="I70" s="28">
        <v>5421.9653869589038</v>
      </c>
      <c r="J70" s="29"/>
      <c r="K70" s="28">
        <f t="shared" si="0"/>
        <v>11115.793313459511</v>
      </c>
      <c r="L70" s="29"/>
      <c r="M70" s="28">
        <f t="shared" si="1"/>
        <v>11115.793313459511</v>
      </c>
    </row>
    <row r="71" spans="1:13" s="19" customFormat="1" ht="10" x14ac:dyDescent="0.2">
      <c r="A71" s="35" t="s">
        <v>119</v>
      </c>
      <c r="B71" s="28">
        <v>0</v>
      </c>
      <c r="C71" s="28">
        <v>0</v>
      </c>
      <c r="D71" s="28">
        <v>4120.0835755296894</v>
      </c>
      <c r="E71" s="28">
        <v>0</v>
      </c>
      <c r="F71" s="28">
        <v>352.11365754298077</v>
      </c>
      <c r="G71" s="28">
        <v>2418.8973011846729</v>
      </c>
      <c r="H71" s="28">
        <v>0</v>
      </c>
      <c r="I71" s="28">
        <v>6591.190026573161</v>
      </c>
      <c r="J71" s="29"/>
      <c r="K71" s="28">
        <f t="shared" si="0"/>
        <v>13482.284560830503</v>
      </c>
      <c r="L71" s="29"/>
      <c r="M71" s="28">
        <f t="shared" si="1"/>
        <v>13482.284560830503</v>
      </c>
    </row>
    <row r="72" spans="1:13" s="19" customFormat="1" ht="10.5" x14ac:dyDescent="0.25">
      <c r="A72" s="39" t="s">
        <v>120</v>
      </c>
      <c r="B72" s="31">
        <f t="shared" ref="B72:L72" si="13">SUM(B63:B71)</f>
        <v>0</v>
      </c>
      <c r="C72" s="31">
        <f t="shared" si="13"/>
        <v>0</v>
      </c>
      <c r="D72" s="31">
        <f t="shared" si="13"/>
        <v>32766.709166079814</v>
      </c>
      <c r="E72" s="31">
        <f t="shared" si="13"/>
        <v>0</v>
      </c>
      <c r="F72" s="31">
        <f t="shared" si="13"/>
        <v>6953.4357100425641</v>
      </c>
      <c r="G72" s="31">
        <f t="shared" si="13"/>
        <v>11752.508453807703</v>
      </c>
      <c r="H72" s="31">
        <f t="shared" si="13"/>
        <v>0</v>
      </c>
      <c r="I72" s="31">
        <f t="shared" si="13"/>
        <v>57574.28110177163</v>
      </c>
      <c r="J72" s="32">
        <f t="shared" si="13"/>
        <v>0</v>
      </c>
      <c r="K72" s="31">
        <f t="shared" si="0"/>
        <v>109046.93443170171</v>
      </c>
      <c r="L72" s="32">
        <f t="shared" si="13"/>
        <v>0</v>
      </c>
      <c r="M72" s="31">
        <f t="shared" si="1"/>
        <v>109046.93443170171</v>
      </c>
    </row>
    <row r="73" spans="1:13" s="19" customFormat="1" ht="10.5" x14ac:dyDescent="0.25">
      <c r="A73" s="34" t="s">
        <v>121</v>
      </c>
      <c r="B73" s="23"/>
      <c r="C73" s="23"/>
      <c r="D73" s="23"/>
      <c r="E73" s="23"/>
      <c r="F73" s="23"/>
      <c r="G73" s="23"/>
      <c r="H73" s="23"/>
      <c r="I73" s="23"/>
      <c r="J73" s="24"/>
      <c r="K73" s="23">
        <f t="shared" si="0"/>
        <v>0</v>
      </c>
      <c r="L73" s="24"/>
      <c r="M73" s="23">
        <f t="shared" si="1"/>
        <v>0</v>
      </c>
    </row>
    <row r="74" spans="1:13" s="19" customFormat="1" ht="10" x14ac:dyDescent="0.2">
      <c r="A74" s="35" t="s">
        <v>122</v>
      </c>
      <c r="B74" s="28">
        <v>201628</v>
      </c>
      <c r="C74" s="28">
        <v>0</v>
      </c>
      <c r="D74" s="28">
        <v>49948.76860168056</v>
      </c>
      <c r="E74" s="28">
        <v>0</v>
      </c>
      <c r="F74" s="28">
        <v>13396.017472408865</v>
      </c>
      <c r="G74" s="28">
        <v>888.70379234610402</v>
      </c>
      <c r="H74" s="28">
        <v>0</v>
      </c>
      <c r="I74" s="28">
        <v>5683.7052358790761</v>
      </c>
      <c r="J74" s="29"/>
      <c r="K74" s="28">
        <f t="shared" si="0"/>
        <v>69917.19510231461</v>
      </c>
      <c r="L74" s="29"/>
      <c r="M74" s="28">
        <f t="shared" si="1"/>
        <v>271545.19510231458</v>
      </c>
    </row>
    <row r="75" spans="1:13" s="19" customFormat="1" ht="10" x14ac:dyDescent="0.2">
      <c r="A75" s="35" t="s">
        <v>123</v>
      </c>
      <c r="B75" s="28">
        <v>0</v>
      </c>
      <c r="C75" s="28">
        <v>0</v>
      </c>
      <c r="D75" s="28">
        <v>65480.509738285255</v>
      </c>
      <c r="E75" s="28">
        <v>0</v>
      </c>
      <c r="F75" s="28">
        <v>0</v>
      </c>
      <c r="G75" s="28">
        <v>0</v>
      </c>
      <c r="H75" s="28">
        <v>0</v>
      </c>
      <c r="I75" s="28">
        <v>0</v>
      </c>
      <c r="J75" s="29"/>
      <c r="K75" s="28">
        <f t="shared" si="0"/>
        <v>65480.509738285255</v>
      </c>
      <c r="L75" s="29"/>
      <c r="M75" s="28">
        <f t="shared" si="1"/>
        <v>65480.509738285255</v>
      </c>
    </row>
    <row r="76" spans="1:13" s="19" customFormat="1" ht="10" x14ac:dyDescent="0.2">
      <c r="A76" s="35" t="s">
        <v>124</v>
      </c>
      <c r="B76" s="28">
        <v>209525</v>
      </c>
      <c r="C76" s="28">
        <v>0</v>
      </c>
      <c r="D76" s="28">
        <v>345295.77338330587</v>
      </c>
      <c r="E76" s="28">
        <v>0</v>
      </c>
      <c r="F76" s="28">
        <v>21109.568860684252</v>
      </c>
      <c r="G76" s="28">
        <v>0</v>
      </c>
      <c r="H76" s="28">
        <v>0</v>
      </c>
      <c r="I76" s="28">
        <v>-7965.0071207342962</v>
      </c>
      <c r="J76" s="29"/>
      <c r="K76" s="28">
        <f t="shared" si="0"/>
        <v>358440.33512325579</v>
      </c>
      <c r="L76" s="29"/>
      <c r="M76" s="28">
        <f t="shared" si="1"/>
        <v>567965.33512325585</v>
      </c>
    </row>
    <row r="77" spans="1:13" s="19" customFormat="1" ht="10" x14ac:dyDescent="0.2">
      <c r="A77" s="35" t="s">
        <v>125</v>
      </c>
      <c r="B77" s="28">
        <v>110700</v>
      </c>
      <c r="C77" s="28">
        <v>1567.70235</v>
      </c>
      <c r="D77" s="28">
        <v>59801.910735103898</v>
      </c>
      <c r="E77" s="28">
        <v>384.36475905163485</v>
      </c>
      <c r="F77" s="28">
        <v>17538.815901605954</v>
      </c>
      <c r="G77" s="28">
        <v>23093.627869424501</v>
      </c>
      <c r="H77" s="28">
        <v>0</v>
      </c>
      <c r="I77" s="28">
        <v>8202.1258767995641</v>
      </c>
      <c r="J77" s="29"/>
      <c r="K77" s="28">
        <f t="shared" ref="K77:K140" si="14">SUM(D77:J77)</f>
        <v>109020.84514198554</v>
      </c>
      <c r="L77" s="29"/>
      <c r="M77" s="28">
        <f t="shared" ref="M77:M140" si="15">SUM(B77,K77,L77)+C77</f>
        <v>221288.54749198555</v>
      </c>
    </row>
    <row r="78" spans="1:13" s="19" customFormat="1" ht="10" x14ac:dyDescent="0.2">
      <c r="A78" s="35" t="s">
        <v>126</v>
      </c>
      <c r="B78" s="28">
        <v>0</v>
      </c>
      <c r="C78" s="28">
        <v>0</v>
      </c>
      <c r="D78" s="28">
        <v>5882.0541661671559</v>
      </c>
      <c r="E78" s="28">
        <v>0</v>
      </c>
      <c r="F78" s="28">
        <v>0</v>
      </c>
      <c r="G78" s="28">
        <v>0</v>
      </c>
      <c r="H78" s="28">
        <v>0</v>
      </c>
      <c r="I78" s="28">
        <v>0</v>
      </c>
      <c r="J78" s="29"/>
      <c r="K78" s="28">
        <f t="shared" si="14"/>
        <v>5882.0541661671559</v>
      </c>
      <c r="L78" s="29"/>
      <c r="M78" s="28">
        <f t="shared" si="15"/>
        <v>5882.0541661671559</v>
      </c>
    </row>
    <row r="79" spans="1:13" s="19" customFormat="1" ht="10.5" x14ac:dyDescent="0.25">
      <c r="A79" s="39" t="s">
        <v>127</v>
      </c>
      <c r="B79" s="31">
        <f t="shared" ref="B79:L79" si="16">SUM(B74:B78)</f>
        <v>521853</v>
      </c>
      <c r="C79" s="31">
        <f t="shared" si="16"/>
        <v>1567.70235</v>
      </c>
      <c r="D79" s="31">
        <f t="shared" si="16"/>
        <v>526409.01662454277</v>
      </c>
      <c r="E79" s="31">
        <f t="shared" si="16"/>
        <v>384.36475905163485</v>
      </c>
      <c r="F79" s="31">
        <f t="shared" si="16"/>
        <v>52044.402234699068</v>
      </c>
      <c r="G79" s="31">
        <f t="shared" si="16"/>
        <v>23982.331661770604</v>
      </c>
      <c r="H79" s="31">
        <f t="shared" si="16"/>
        <v>0</v>
      </c>
      <c r="I79" s="31">
        <f t="shared" si="16"/>
        <v>5920.823991944344</v>
      </c>
      <c r="J79" s="32">
        <f t="shared" si="16"/>
        <v>0</v>
      </c>
      <c r="K79" s="31">
        <f t="shared" si="14"/>
        <v>608740.93927200837</v>
      </c>
      <c r="L79" s="32">
        <f t="shared" si="16"/>
        <v>0</v>
      </c>
      <c r="M79" s="31">
        <f t="shared" si="15"/>
        <v>1132161.6416220083</v>
      </c>
    </row>
    <row r="80" spans="1:13" s="19" customFormat="1" ht="10.5" x14ac:dyDescent="0.25">
      <c r="A80" s="34" t="s">
        <v>128</v>
      </c>
      <c r="B80" s="23"/>
      <c r="C80" s="23"/>
      <c r="D80" s="23"/>
      <c r="E80" s="23"/>
      <c r="F80" s="23"/>
      <c r="G80" s="23"/>
      <c r="H80" s="23"/>
      <c r="I80" s="23"/>
      <c r="J80" s="24"/>
      <c r="K80" s="23">
        <f t="shared" si="14"/>
        <v>0</v>
      </c>
      <c r="L80" s="24"/>
      <c r="M80" s="23">
        <f t="shared" si="15"/>
        <v>0</v>
      </c>
    </row>
    <row r="81" spans="1:13" s="19" customFormat="1" ht="10" x14ac:dyDescent="0.2">
      <c r="A81" s="35" t="s">
        <v>129</v>
      </c>
      <c r="B81" s="28">
        <v>0</v>
      </c>
      <c r="C81" s="28">
        <v>0</v>
      </c>
      <c r="D81" s="28">
        <v>-1742.4664064539966</v>
      </c>
      <c r="E81" s="28">
        <v>0</v>
      </c>
      <c r="F81" s="28">
        <v>0</v>
      </c>
      <c r="G81" s="28">
        <v>3015.7989282007838</v>
      </c>
      <c r="H81" s="28">
        <v>0</v>
      </c>
      <c r="I81" s="28">
        <v>22866.536433496854</v>
      </c>
      <c r="J81" s="29"/>
      <c r="K81" s="28">
        <f t="shared" si="14"/>
        <v>24139.868955243641</v>
      </c>
      <c r="L81" s="29"/>
      <c r="M81" s="28">
        <f t="shared" si="15"/>
        <v>24139.868955243641</v>
      </c>
    </row>
    <row r="82" spans="1:13" s="19" customFormat="1" ht="10" x14ac:dyDescent="0.2">
      <c r="A82" s="35" t="s">
        <v>130</v>
      </c>
      <c r="B82" s="28">
        <v>0</v>
      </c>
      <c r="C82" s="28">
        <v>0</v>
      </c>
      <c r="D82" s="28">
        <v>12540.991152577952</v>
      </c>
      <c r="E82" s="28">
        <v>0</v>
      </c>
      <c r="F82" s="28">
        <v>0</v>
      </c>
      <c r="G82" s="28">
        <v>3730.2161292845408</v>
      </c>
      <c r="H82" s="28">
        <v>0</v>
      </c>
      <c r="I82" s="28">
        <v>3884.2721603035588</v>
      </c>
      <c r="J82" s="29"/>
      <c r="K82" s="28">
        <f t="shared" si="14"/>
        <v>20155.479442166052</v>
      </c>
      <c r="L82" s="29"/>
      <c r="M82" s="28">
        <f t="shared" si="15"/>
        <v>20155.479442166052</v>
      </c>
    </row>
    <row r="83" spans="1:13" s="19" customFormat="1" ht="10" x14ac:dyDescent="0.2">
      <c r="A83" s="35" t="s">
        <v>131</v>
      </c>
      <c r="B83" s="28">
        <v>0</v>
      </c>
      <c r="C83" s="28">
        <v>0</v>
      </c>
      <c r="D83" s="28">
        <v>1500.1363853441339</v>
      </c>
      <c r="E83" s="28">
        <v>0</v>
      </c>
      <c r="F83" s="28">
        <v>829.22206451520594</v>
      </c>
      <c r="G83" s="28">
        <v>224.53303781793568</v>
      </c>
      <c r="H83" s="28">
        <v>0</v>
      </c>
      <c r="I83" s="28">
        <v>16675.401188333253</v>
      </c>
      <c r="J83" s="29"/>
      <c r="K83" s="28">
        <f t="shared" si="14"/>
        <v>19229.292676010529</v>
      </c>
      <c r="L83" s="29"/>
      <c r="M83" s="28">
        <f t="shared" si="15"/>
        <v>19229.292676010529</v>
      </c>
    </row>
    <row r="84" spans="1:13" s="19" customFormat="1" ht="10" x14ac:dyDescent="0.2">
      <c r="A84" s="35" t="s">
        <v>132</v>
      </c>
      <c r="B84" s="28">
        <v>6000</v>
      </c>
      <c r="C84" s="28">
        <v>0</v>
      </c>
      <c r="D84" s="28">
        <v>48826.191783731265</v>
      </c>
      <c r="E84" s="28">
        <v>0</v>
      </c>
      <c r="F84" s="28">
        <v>2343.5123304994131</v>
      </c>
      <c r="G84" s="28">
        <v>0</v>
      </c>
      <c r="H84" s="28">
        <v>0</v>
      </c>
      <c r="I84" s="28">
        <v>37464.99242498626</v>
      </c>
      <c r="J84" s="29"/>
      <c r="K84" s="28">
        <f t="shared" si="14"/>
        <v>88634.696539216937</v>
      </c>
      <c r="L84" s="29"/>
      <c r="M84" s="28">
        <f t="shared" si="15"/>
        <v>94634.696539216937</v>
      </c>
    </row>
    <row r="85" spans="1:13" s="19" customFormat="1" ht="10" x14ac:dyDescent="0.2">
      <c r="A85" s="35" t="s">
        <v>133</v>
      </c>
      <c r="B85" s="28">
        <v>0</v>
      </c>
      <c r="C85" s="28">
        <v>0</v>
      </c>
      <c r="D85" s="28">
        <v>0</v>
      </c>
      <c r="E85" s="28">
        <v>0</v>
      </c>
      <c r="F85" s="28">
        <v>0</v>
      </c>
      <c r="G85" s="28">
        <v>307.34012607511755</v>
      </c>
      <c r="H85" s="28">
        <v>0</v>
      </c>
      <c r="I85" s="28">
        <v>0</v>
      </c>
      <c r="J85" s="29"/>
      <c r="K85" s="28">
        <f t="shared" si="14"/>
        <v>307.34012607511755</v>
      </c>
      <c r="L85" s="29"/>
      <c r="M85" s="28">
        <f t="shared" si="15"/>
        <v>307.34012607511755</v>
      </c>
    </row>
    <row r="86" spans="1:13" s="19" customFormat="1" ht="10.5" x14ac:dyDescent="0.25">
      <c r="A86" s="39" t="s">
        <v>134</v>
      </c>
      <c r="B86" s="31">
        <f t="shared" ref="B86:L86" si="17">SUM(B81:B85)</f>
        <v>6000</v>
      </c>
      <c r="C86" s="31">
        <f t="shared" si="17"/>
        <v>0</v>
      </c>
      <c r="D86" s="31">
        <f t="shared" si="17"/>
        <v>61124.852915199357</v>
      </c>
      <c r="E86" s="31">
        <f t="shared" si="17"/>
        <v>0</v>
      </c>
      <c r="F86" s="31">
        <f t="shared" si="17"/>
        <v>3172.7343950146192</v>
      </c>
      <c r="G86" s="31">
        <f t="shared" si="17"/>
        <v>7277.8882213783791</v>
      </c>
      <c r="H86" s="31">
        <f t="shared" si="17"/>
        <v>0</v>
      </c>
      <c r="I86" s="31">
        <f t="shared" si="17"/>
        <v>80891.202207119932</v>
      </c>
      <c r="J86" s="32">
        <f t="shared" si="17"/>
        <v>0</v>
      </c>
      <c r="K86" s="31">
        <f t="shared" si="14"/>
        <v>152466.67773871229</v>
      </c>
      <c r="L86" s="32">
        <f t="shared" si="17"/>
        <v>0</v>
      </c>
      <c r="M86" s="31">
        <f t="shared" si="15"/>
        <v>158466.67773871229</v>
      </c>
    </row>
    <row r="87" spans="1:13" s="19" customFormat="1" ht="10.5" x14ac:dyDescent="0.25">
      <c r="A87" s="34" t="s">
        <v>135</v>
      </c>
      <c r="B87" s="23"/>
      <c r="C87" s="23"/>
      <c r="D87" s="23"/>
      <c r="E87" s="23"/>
      <c r="F87" s="23"/>
      <c r="G87" s="23"/>
      <c r="H87" s="23"/>
      <c r="I87" s="23"/>
      <c r="J87" s="24"/>
      <c r="K87" s="23">
        <f t="shared" si="14"/>
        <v>0</v>
      </c>
      <c r="L87" s="24"/>
      <c r="M87" s="23">
        <f t="shared" si="15"/>
        <v>0</v>
      </c>
    </row>
    <row r="88" spans="1:13" s="19" customFormat="1" ht="10" x14ac:dyDescent="0.2">
      <c r="A88" s="35" t="s">
        <v>136</v>
      </c>
      <c r="B88" s="28">
        <v>0</v>
      </c>
      <c r="C88" s="28">
        <v>0</v>
      </c>
      <c r="D88" s="28">
        <v>48575.069354727035</v>
      </c>
      <c r="E88" s="28">
        <v>0</v>
      </c>
      <c r="F88" s="28">
        <v>15.615782558721934</v>
      </c>
      <c r="G88" s="28">
        <v>0</v>
      </c>
      <c r="H88" s="28">
        <v>0</v>
      </c>
      <c r="I88" s="28">
        <v>3413.8482422252919</v>
      </c>
      <c r="J88" s="29"/>
      <c r="K88" s="28">
        <f t="shared" si="14"/>
        <v>52004.533379511049</v>
      </c>
      <c r="L88" s="29"/>
      <c r="M88" s="28">
        <f t="shared" si="15"/>
        <v>52004.533379511049</v>
      </c>
    </row>
    <row r="89" spans="1:13" s="19" customFormat="1" ht="10" x14ac:dyDescent="0.2">
      <c r="A89" s="35" t="s">
        <v>137</v>
      </c>
      <c r="B89" s="28">
        <v>0</v>
      </c>
      <c r="C89" s="28">
        <v>0</v>
      </c>
      <c r="D89" s="28">
        <v>23050.280330761991</v>
      </c>
      <c r="E89" s="28">
        <v>0</v>
      </c>
      <c r="F89" s="28">
        <v>0</v>
      </c>
      <c r="G89" s="28">
        <v>0</v>
      </c>
      <c r="H89" s="28">
        <v>0</v>
      </c>
      <c r="I89" s="28">
        <v>0</v>
      </c>
      <c r="J89" s="29"/>
      <c r="K89" s="28">
        <f t="shared" si="14"/>
        <v>23050.280330761991</v>
      </c>
      <c r="L89" s="29"/>
      <c r="M89" s="28">
        <f t="shared" si="15"/>
        <v>23050.280330761991</v>
      </c>
    </row>
    <row r="90" spans="1:13" s="19" customFormat="1" ht="10" x14ac:dyDescent="0.2">
      <c r="A90" s="35" t="s">
        <v>138</v>
      </c>
      <c r="B90" s="28">
        <v>108939.87</v>
      </c>
      <c r="C90" s="28">
        <v>0</v>
      </c>
      <c r="D90" s="28">
        <v>0</v>
      </c>
      <c r="E90" s="28">
        <v>0</v>
      </c>
      <c r="F90" s="28">
        <v>0</v>
      </c>
      <c r="G90" s="28">
        <v>0</v>
      </c>
      <c r="H90" s="28">
        <v>0</v>
      </c>
      <c r="I90" s="28">
        <v>0</v>
      </c>
      <c r="J90" s="29"/>
      <c r="K90" s="28">
        <f t="shared" si="14"/>
        <v>0</v>
      </c>
      <c r="L90" s="29"/>
      <c r="M90" s="28">
        <f t="shared" si="15"/>
        <v>108939.87</v>
      </c>
    </row>
    <row r="91" spans="1:13" s="19" customFormat="1" ht="10" x14ac:dyDescent="0.2">
      <c r="A91" s="35" t="s">
        <v>139</v>
      </c>
      <c r="B91" s="28">
        <v>0</v>
      </c>
      <c r="C91" s="28">
        <v>0</v>
      </c>
      <c r="D91" s="28">
        <v>7676.4573616155858</v>
      </c>
      <c r="E91" s="28">
        <v>0</v>
      </c>
      <c r="F91" s="28">
        <v>42916.90340565794</v>
      </c>
      <c r="G91" s="28">
        <v>512.59282016778934</v>
      </c>
      <c r="H91" s="28">
        <v>0</v>
      </c>
      <c r="I91" s="28">
        <v>3857.0582783568593</v>
      </c>
      <c r="J91" s="29"/>
      <c r="K91" s="28">
        <f t="shared" si="14"/>
        <v>54963.011865798173</v>
      </c>
      <c r="L91" s="29"/>
      <c r="M91" s="28">
        <f t="shared" si="15"/>
        <v>54963.011865798173</v>
      </c>
    </row>
    <row r="92" spans="1:13" s="19" customFormat="1" ht="10" x14ac:dyDescent="0.2">
      <c r="A92" s="35" t="s">
        <v>140</v>
      </c>
      <c r="B92" s="28">
        <v>0</v>
      </c>
      <c r="C92" s="28">
        <v>0</v>
      </c>
      <c r="D92" s="28">
        <v>0</v>
      </c>
      <c r="E92" s="28">
        <v>0</v>
      </c>
      <c r="F92" s="28">
        <v>0</v>
      </c>
      <c r="G92" s="28">
        <v>3136.3099648890652</v>
      </c>
      <c r="H92" s="28">
        <v>0</v>
      </c>
      <c r="I92" s="28">
        <v>0</v>
      </c>
      <c r="J92" s="29"/>
      <c r="K92" s="28">
        <f t="shared" si="14"/>
        <v>3136.3099648890652</v>
      </c>
      <c r="L92" s="29"/>
      <c r="M92" s="28">
        <f t="shared" si="15"/>
        <v>3136.3099648890652</v>
      </c>
    </row>
    <row r="93" spans="1:13" s="19" customFormat="1" ht="10" x14ac:dyDescent="0.2">
      <c r="A93" s="35" t="s">
        <v>141</v>
      </c>
      <c r="B93" s="28">
        <v>8250.84</v>
      </c>
      <c r="C93" s="28">
        <v>0</v>
      </c>
      <c r="D93" s="28">
        <v>0</v>
      </c>
      <c r="E93" s="28">
        <v>0</v>
      </c>
      <c r="F93" s="28">
        <v>0</v>
      </c>
      <c r="G93" s="28">
        <v>0</v>
      </c>
      <c r="H93" s="28">
        <v>0</v>
      </c>
      <c r="I93" s="28">
        <v>0</v>
      </c>
      <c r="J93" s="29"/>
      <c r="K93" s="28">
        <f t="shared" si="14"/>
        <v>0</v>
      </c>
      <c r="L93" s="29"/>
      <c r="M93" s="28">
        <f t="shared" si="15"/>
        <v>8250.84</v>
      </c>
    </row>
    <row r="94" spans="1:13" s="19" customFormat="1" ht="10" x14ac:dyDescent="0.2">
      <c r="A94" s="35" t="s">
        <v>142</v>
      </c>
      <c r="B94" s="28">
        <v>0</v>
      </c>
      <c r="C94" s="28">
        <v>0</v>
      </c>
      <c r="D94" s="28">
        <v>0</v>
      </c>
      <c r="E94" s="28">
        <v>0</v>
      </c>
      <c r="F94" s="28">
        <v>0</v>
      </c>
      <c r="G94" s="28">
        <v>150.50313669013195</v>
      </c>
      <c r="H94" s="28">
        <v>0</v>
      </c>
      <c r="I94" s="28">
        <v>0</v>
      </c>
      <c r="J94" s="29"/>
      <c r="K94" s="28">
        <f t="shared" si="14"/>
        <v>150.50313669013195</v>
      </c>
      <c r="L94" s="29"/>
      <c r="M94" s="28">
        <f t="shared" si="15"/>
        <v>150.50313669013195</v>
      </c>
    </row>
    <row r="95" spans="1:13" s="19" customFormat="1" ht="10" x14ac:dyDescent="0.2">
      <c r="A95" s="35" t="s">
        <v>143</v>
      </c>
      <c r="B95" s="28">
        <v>0</v>
      </c>
      <c r="C95" s="28">
        <v>0</v>
      </c>
      <c r="D95" s="28">
        <v>113848.85230521431</v>
      </c>
      <c r="E95" s="28">
        <v>28.064739968551105</v>
      </c>
      <c r="F95" s="28">
        <v>1983.1395329216286</v>
      </c>
      <c r="G95" s="28">
        <v>0</v>
      </c>
      <c r="H95" s="28">
        <v>0</v>
      </c>
      <c r="I95" s="28">
        <v>25600.136137427904</v>
      </c>
      <c r="J95" s="29"/>
      <c r="K95" s="28">
        <f t="shared" si="14"/>
        <v>141460.19271553241</v>
      </c>
      <c r="L95" s="29"/>
      <c r="M95" s="28">
        <f t="shared" si="15"/>
        <v>141460.19271553241</v>
      </c>
    </row>
    <row r="96" spans="1:13" s="19" customFormat="1" ht="10" x14ac:dyDescent="0.2">
      <c r="A96" s="35" t="s">
        <v>144</v>
      </c>
      <c r="B96" s="28">
        <v>0</v>
      </c>
      <c r="C96" s="28">
        <v>0</v>
      </c>
      <c r="D96" s="28">
        <v>0</v>
      </c>
      <c r="E96" s="28">
        <v>0</v>
      </c>
      <c r="F96" s="28">
        <v>0</v>
      </c>
      <c r="G96" s="28">
        <v>895.27046388546512</v>
      </c>
      <c r="H96" s="28">
        <v>0</v>
      </c>
      <c r="I96" s="28">
        <v>0</v>
      </c>
      <c r="J96" s="29"/>
      <c r="K96" s="28">
        <f t="shared" si="14"/>
        <v>895.27046388546512</v>
      </c>
      <c r="L96" s="29"/>
      <c r="M96" s="28">
        <f t="shared" si="15"/>
        <v>895.27046388546512</v>
      </c>
    </row>
    <row r="97" spans="1:13" s="19" customFormat="1" ht="10" x14ac:dyDescent="0.2">
      <c r="A97" s="35" t="s">
        <v>145</v>
      </c>
      <c r="B97" s="28">
        <v>0</v>
      </c>
      <c r="C97" s="28">
        <v>0</v>
      </c>
      <c r="D97" s="28">
        <v>0</v>
      </c>
      <c r="E97" s="28">
        <v>0</v>
      </c>
      <c r="F97" s="28">
        <v>409.64908586833201</v>
      </c>
      <c r="G97" s="28">
        <v>0</v>
      </c>
      <c r="H97" s="28">
        <v>0</v>
      </c>
      <c r="I97" s="28">
        <v>0</v>
      </c>
      <c r="J97" s="29"/>
      <c r="K97" s="28">
        <f t="shared" si="14"/>
        <v>409.64908586833201</v>
      </c>
      <c r="L97" s="29"/>
      <c r="M97" s="28">
        <f t="shared" si="15"/>
        <v>409.64908586833201</v>
      </c>
    </row>
    <row r="98" spans="1:13" s="19" customFormat="1" ht="10" x14ac:dyDescent="0.2">
      <c r="A98" s="35" t="s">
        <v>146</v>
      </c>
      <c r="B98" s="28">
        <v>0</v>
      </c>
      <c r="C98" s="28">
        <v>0</v>
      </c>
      <c r="D98" s="28">
        <v>0</v>
      </c>
      <c r="E98" s="28">
        <v>0</v>
      </c>
      <c r="F98" s="28">
        <v>0</v>
      </c>
      <c r="G98" s="28">
        <v>0</v>
      </c>
      <c r="H98" s="28">
        <v>0</v>
      </c>
      <c r="I98" s="28">
        <v>-209899.96029634742</v>
      </c>
      <c r="J98" s="29"/>
      <c r="K98" s="28">
        <f t="shared" si="14"/>
        <v>-209899.96029634742</v>
      </c>
      <c r="L98" s="29"/>
      <c r="M98" s="28">
        <f t="shared" si="15"/>
        <v>-209899.96029634742</v>
      </c>
    </row>
    <row r="99" spans="1:13" s="19" customFormat="1" ht="10" x14ac:dyDescent="0.2">
      <c r="A99" s="35" t="s">
        <v>147</v>
      </c>
      <c r="B99" s="28">
        <v>0</v>
      </c>
      <c r="C99" s="28">
        <v>0</v>
      </c>
      <c r="D99" s="28">
        <v>-316.58395696231429</v>
      </c>
      <c r="E99" s="28">
        <v>0</v>
      </c>
      <c r="F99" s="28">
        <v>-3048.9040064395817</v>
      </c>
      <c r="G99" s="28">
        <v>0</v>
      </c>
      <c r="H99" s="28">
        <v>0</v>
      </c>
      <c r="I99" s="28">
        <v>0</v>
      </c>
      <c r="J99" s="29"/>
      <c r="K99" s="28">
        <f t="shared" si="14"/>
        <v>-3365.4879634018962</v>
      </c>
      <c r="L99" s="29"/>
      <c r="M99" s="28">
        <f t="shared" si="15"/>
        <v>-3365.4879634018962</v>
      </c>
    </row>
    <row r="100" spans="1:13" s="19" customFormat="1" ht="10.5" x14ac:dyDescent="0.25">
      <c r="A100" s="39" t="s">
        <v>148</v>
      </c>
      <c r="B100" s="31">
        <f t="shared" ref="B100:L100" si="18">SUM(B88:B99)</f>
        <v>117190.70999999999</v>
      </c>
      <c r="C100" s="31">
        <f t="shared" si="18"/>
        <v>0</v>
      </c>
      <c r="D100" s="31">
        <f t="shared" si="18"/>
        <v>192834.0753953566</v>
      </c>
      <c r="E100" s="31">
        <f t="shared" si="18"/>
        <v>28.064739968551105</v>
      </c>
      <c r="F100" s="31">
        <f t="shared" si="18"/>
        <v>42276.403800567045</v>
      </c>
      <c r="G100" s="31">
        <f t="shared" si="18"/>
        <v>4694.6763856324515</v>
      </c>
      <c r="H100" s="31">
        <f t="shared" si="18"/>
        <v>0</v>
      </c>
      <c r="I100" s="31">
        <f t="shared" si="18"/>
        <v>-177028.91763833736</v>
      </c>
      <c r="J100" s="32">
        <f t="shared" si="18"/>
        <v>0</v>
      </c>
      <c r="K100" s="31">
        <f t="shared" si="14"/>
        <v>62804.30268318727</v>
      </c>
      <c r="L100" s="32">
        <f t="shared" si="18"/>
        <v>0</v>
      </c>
      <c r="M100" s="31">
        <f t="shared" si="15"/>
        <v>179995.01268318726</v>
      </c>
    </row>
    <row r="101" spans="1:13" s="19" customFormat="1" ht="10.5" x14ac:dyDescent="0.25">
      <c r="A101" s="34" t="s">
        <v>149</v>
      </c>
      <c r="B101" s="23"/>
      <c r="C101" s="23"/>
      <c r="D101" s="23"/>
      <c r="E101" s="23"/>
      <c r="F101" s="23"/>
      <c r="G101" s="23"/>
      <c r="H101" s="23"/>
      <c r="I101" s="23"/>
      <c r="J101" s="24"/>
      <c r="K101" s="23">
        <f t="shared" si="14"/>
        <v>0</v>
      </c>
      <c r="L101" s="24"/>
      <c r="M101" s="23">
        <f t="shared" si="15"/>
        <v>0</v>
      </c>
    </row>
    <row r="102" spans="1:13" s="19" customFormat="1" ht="10" x14ac:dyDescent="0.2">
      <c r="A102" s="35" t="s">
        <v>150</v>
      </c>
      <c r="B102" s="28">
        <v>0</v>
      </c>
      <c r="C102" s="28">
        <v>0</v>
      </c>
      <c r="D102" s="28">
        <v>0</v>
      </c>
      <c r="E102" s="28">
        <v>0</v>
      </c>
      <c r="F102" s="28">
        <v>0</v>
      </c>
      <c r="G102" s="28">
        <v>1265.1641838551714</v>
      </c>
      <c r="H102" s="28">
        <v>0</v>
      </c>
      <c r="I102" s="28">
        <v>0</v>
      </c>
      <c r="J102" s="29"/>
      <c r="K102" s="28">
        <f t="shared" si="14"/>
        <v>1265.1641838551714</v>
      </c>
      <c r="L102" s="29"/>
      <c r="M102" s="28">
        <f t="shared" si="15"/>
        <v>1265.1641838551714</v>
      </c>
    </row>
    <row r="103" spans="1:13" s="19" customFormat="1" ht="10.5" x14ac:dyDescent="0.25">
      <c r="A103" s="39" t="s">
        <v>151</v>
      </c>
      <c r="B103" s="31">
        <f t="shared" ref="B103:L103" si="19">SUM(B102)</f>
        <v>0</v>
      </c>
      <c r="C103" s="31">
        <f t="shared" si="19"/>
        <v>0</v>
      </c>
      <c r="D103" s="31">
        <f t="shared" si="19"/>
        <v>0</v>
      </c>
      <c r="E103" s="31">
        <f t="shared" si="19"/>
        <v>0</v>
      </c>
      <c r="F103" s="31">
        <f t="shared" si="19"/>
        <v>0</v>
      </c>
      <c r="G103" s="31">
        <f t="shared" si="19"/>
        <v>1265.1641838551714</v>
      </c>
      <c r="H103" s="31">
        <f t="shared" si="19"/>
        <v>0</v>
      </c>
      <c r="I103" s="31">
        <f t="shared" si="19"/>
        <v>0</v>
      </c>
      <c r="J103" s="32">
        <f t="shared" si="19"/>
        <v>0</v>
      </c>
      <c r="K103" s="31">
        <f t="shared" si="14"/>
        <v>1265.1641838551714</v>
      </c>
      <c r="L103" s="32">
        <f t="shared" si="19"/>
        <v>0</v>
      </c>
      <c r="M103" s="31">
        <f t="shared" si="15"/>
        <v>1265.1641838551714</v>
      </c>
    </row>
    <row r="104" spans="1:13" s="19" customFormat="1" ht="10.5" x14ac:dyDescent="0.25">
      <c r="A104" s="34" t="s">
        <v>152</v>
      </c>
      <c r="B104" s="23"/>
      <c r="C104" s="23"/>
      <c r="D104" s="23"/>
      <c r="E104" s="23"/>
      <c r="F104" s="23"/>
      <c r="G104" s="23"/>
      <c r="H104" s="23"/>
      <c r="I104" s="23"/>
      <c r="J104" s="24"/>
      <c r="K104" s="23">
        <f t="shared" si="14"/>
        <v>0</v>
      </c>
      <c r="L104" s="24"/>
      <c r="M104" s="23">
        <f t="shared" si="15"/>
        <v>0</v>
      </c>
    </row>
    <row r="105" spans="1:13" s="19" customFormat="1" ht="10" x14ac:dyDescent="0.2">
      <c r="A105" s="35" t="s">
        <v>153</v>
      </c>
      <c r="B105" s="28">
        <v>0</v>
      </c>
      <c r="C105" s="28">
        <v>0</v>
      </c>
      <c r="D105" s="28">
        <v>717.50465340322978</v>
      </c>
      <c r="E105" s="28">
        <v>0</v>
      </c>
      <c r="F105" s="28">
        <v>776.26196811565717</v>
      </c>
      <c r="G105" s="28">
        <v>0</v>
      </c>
      <c r="H105" s="28">
        <v>0</v>
      </c>
      <c r="I105" s="28">
        <v>0</v>
      </c>
      <c r="J105" s="29"/>
      <c r="K105" s="28">
        <f t="shared" si="14"/>
        <v>1493.766621518887</v>
      </c>
      <c r="L105" s="29"/>
      <c r="M105" s="28">
        <f t="shared" si="15"/>
        <v>1493.766621518887</v>
      </c>
    </row>
    <row r="106" spans="1:13" s="19" customFormat="1" ht="10" x14ac:dyDescent="0.2">
      <c r="A106" s="35" t="s">
        <v>154</v>
      </c>
      <c r="B106" s="28">
        <v>0</v>
      </c>
      <c r="C106" s="28">
        <v>0</v>
      </c>
      <c r="D106" s="28">
        <v>10197.019056020659</v>
      </c>
      <c r="E106" s="28">
        <v>0</v>
      </c>
      <c r="F106" s="28">
        <v>0</v>
      </c>
      <c r="G106" s="28">
        <v>0</v>
      </c>
      <c r="H106" s="28">
        <v>0</v>
      </c>
      <c r="I106" s="28">
        <v>0</v>
      </c>
      <c r="J106" s="29"/>
      <c r="K106" s="28">
        <f t="shared" si="14"/>
        <v>10197.019056020659</v>
      </c>
      <c r="L106" s="29"/>
      <c r="M106" s="28">
        <f t="shared" si="15"/>
        <v>10197.019056020659</v>
      </c>
    </row>
    <row r="107" spans="1:13" s="19" customFormat="1" ht="10.5" x14ac:dyDescent="0.25">
      <c r="A107" s="39" t="s">
        <v>155</v>
      </c>
      <c r="B107" s="31">
        <f t="shared" ref="B107:L107" si="20">SUM(B105:B106)</f>
        <v>0</v>
      </c>
      <c r="C107" s="31">
        <f t="shared" si="20"/>
        <v>0</v>
      </c>
      <c r="D107" s="31">
        <f t="shared" si="20"/>
        <v>10914.523709423889</v>
      </c>
      <c r="E107" s="31">
        <f t="shared" si="20"/>
        <v>0</v>
      </c>
      <c r="F107" s="31">
        <f t="shared" si="20"/>
        <v>776.26196811565717</v>
      </c>
      <c r="G107" s="31">
        <f t="shared" si="20"/>
        <v>0</v>
      </c>
      <c r="H107" s="31">
        <f t="shared" si="20"/>
        <v>0</v>
      </c>
      <c r="I107" s="31">
        <f t="shared" si="20"/>
        <v>0</v>
      </c>
      <c r="J107" s="32">
        <f t="shared" si="20"/>
        <v>0</v>
      </c>
      <c r="K107" s="31">
        <f t="shared" si="14"/>
        <v>11690.785677539547</v>
      </c>
      <c r="L107" s="32">
        <f t="shared" si="20"/>
        <v>0</v>
      </c>
      <c r="M107" s="31">
        <f t="shared" si="15"/>
        <v>11690.785677539547</v>
      </c>
    </row>
    <row r="108" spans="1:13" s="19" customFormat="1" ht="10.5" x14ac:dyDescent="0.25">
      <c r="A108" s="34" t="s">
        <v>156</v>
      </c>
      <c r="B108" s="23"/>
      <c r="C108" s="23"/>
      <c r="D108" s="23"/>
      <c r="E108" s="23"/>
      <c r="F108" s="23"/>
      <c r="G108" s="23"/>
      <c r="H108" s="23"/>
      <c r="I108" s="23"/>
      <c r="J108" s="24"/>
      <c r="K108" s="23">
        <f t="shared" si="14"/>
        <v>0</v>
      </c>
      <c r="L108" s="24"/>
      <c r="M108" s="23">
        <f t="shared" si="15"/>
        <v>0</v>
      </c>
    </row>
    <row r="109" spans="1:13" s="19" customFormat="1" ht="10" x14ac:dyDescent="0.2">
      <c r="A109" s="35" t="s">
        <v>157</v>
      </c>
      <c r="B109" s="28">
        <v>0</v>
      </c>
      <c r="C109" s="28">
        <v>0</v>
      </c>
      <c r="D109" s="28">
        <v>1395.2952893509225</v>
      </c>
      <c r="E109" s="28">
        <v>0</v>
      </c>
      <c r="F109" s="28">
        <v>0</v>
      </c>
      <c r="G109" s="28">
        <v>601.73025359208214</v>
      </c>
      <c r="H109" s="28">
        <v>0</v>
      </c>
      <c r="I109" s="28">
        <v>0</v>
      </c>
      <c r="J109" s="29"/>
      <c r="K109" s="28">
        <f t="shared" si="14"/>
        <v>1997.0255429430047</v>
      </c>
      <c r="L109" s="29"/>
      <c r="M109" s="28">
        <f t="shared" si="15"/>
        <v>1997.0255429430047</v>
      </c>
    </row>
    <row r="110" spans="1:13" s="19" customFormat="1" ht="10" x14ac:dyDescent="0.2">
      <c r="A110" s="35" t="s">
        <v>158</v>
      </c>
      <c r="B110" s="28">
        <v>0</v>
      </c>
      <c r="C110" s="28">
        <v>0</v>
      </c>
      <c r="D110" s="28">
        <v>1807.2386231341518</v>
      </c>
      <c r="E110" s="28">
        <v>0</v>
      </c>
      <c r="F110" s="28">
        <v>0</v>
      </c>
      <c r="G110" s="28">
        <v>0</v>
      </c>
      <c r="H110" s="28">
        <v>0</v>
      </c>
      <c r="I110" s="28">
        <v>0</v>
      </c>
      <c r="J110" s="29"/>
      <c r="K110" s="28">
        <f t="shared" si="14"/>
        <v>1807.2386231341518</v>
      </c>
      <c r="L110" s="29"/>
      <c r="M110" s="28">
        <f t="shared" si="15"/>
        <v>1807.2386231341518</v>
      </c>
    </row>
    <row r="111" spans="1:13" s="19" customFormat="1" ht="10" x14ac:dyDescent="0.2">
      <c r="A111" s="35" t="s">
        <v>159</v>
      </c>
      <c r="B111" s="28">
        <v>0</v>
      </c>
      <c r="C111" s="28">
        <v>0</v>
      </c>
      <c r="D111" s="28">
        <v>196574.29398136391</v>
      </c>
      <c r="E111" s="28">
        <v>8614.286298802841</v>
      </c>
      <c r="F111" s="28">
        <v>13467.438142619694</v>
      </c>
      <c r="G111" s="28">
        <v>74.960564995210504</v>
      </c>
      <c r="H111" s="28">
        <v>0</v>
      </c>
      <c r="I111" s="28">
        <v>729.44108974543974</v>
      </c>
      <c r="J111" s="29"/>
      <c r="K111" s="28">
        <f t="shared" si="14"/>
        <v>219460.42007752712</v>
      </c>
      <c r="L111" s="29"/>
      <c r="M111" s="28">
        <f t="shared" si="15"/>
        <v>219460.42007752712</v>
      </c>
    </row>
    <row r="112" spans="1:13" s="19" customFormat="1" ht="10" x14ac:dyDescent="0.2">
      <c r="A112" s="35" t="s">
        <v>160</v>
      </c>
      <c r="B112" s="28">
        <v>0</v>
      </c>
      <c r="C112" s="28">
        <v>0</v>
      </c>
      <c r="D112" s="28">
        <v>1299.8104569715181</v>
      </c>
      <c r="E112" s="28">
        <v>0</v>
      </c>
      <c r="F112" s="28">
        <v>0</v>
      </c>
      <c r="G112" s="28">
        <v>0</v>
      </c>
      <c r="H112" s="28">
        <v>0</v>
      </c>
      <c r="I112" s="28">
        <v>0</v>
      </c>
      <c r="J112" s="29"/>
      <c r="K112" s="28">
        <f t="shared" si="14"/>
        <v>1299.8104569715181</v>
      </c>
      <c r="L112" s="29"/>
      <c r="M112" s="28">
        <f t="shared" si="15"/>
        <v>1299.8104569715181</v>
      </c>
    </row>
    <row r="113" spans="1:13" s="19" customFormat="1" ht="10" x14ac:dyDescent="0.2">
      <c r="A113" s="35" t="s">
        <v>161</v>
      </c>
      <c r="B113" s="28">
        <v>0</v>
      </c>
      <c r="C113" s="28">
        <v>0</v>
      </c>
      <c r="D113" s="28">
        <v>5765.7339762754482</v>
      </c>
      <c r="E113" s="28">
        <v>0</v>
      </c>
      <c r="F113" s="28">
        <v>1131.230470467674</v>
      </c>
      <c r="G113" s="28">
        <v>0</v>
      </c>
      <c r="H113" s="28">
        <v>0</v>
      </c>
      <c r="I113" s="28">
        <v>0</v>
      </c>
      <c r="J113" s="29"/>
      <c r="K113" s="28">
        <f t="shared" si="14"/>
        <v>6896.9644467431226</v>
      </c>
      <c r="L113" s="29"/>
      <c r="M113" s="28">
        <f t="shared" si="15"/>
        <v>6896.9644467431226</v>
      </c>
    </row>
    <row r="114" spans="1:13" s="19" customFormat="1" ht="10" x14ac:dyDescent="0.2">
      <c r="A114" s="35" t="s">
        <v>162</v>
      </c>
      <c r="B114" s="28">
        <v>0</v>
      </c>
      <c r="C114" s="28">
        <v>0</v>
      </c>
      <c r="D114" s="28">
        <v>5265.3188669886276</v>
      </c>
      <c r="E114" s="28">
        <v>0</v>
      </c>
      <c r="F114" s="28">
        <v>0</v>
      </c>
      <c r="G114" s="28">
        <v>0</v>
      </c>
      <c r="H114" s="28">
        <v>0</v>
      </c>
      <c r="I114" s="28">
        <v>0</v>
      </c>
      <c r="J114" s="29"/>
      <c r="K114" s="28">
        <f t="shared" si="14"/>
        <v>5265.3188669886276</v>
      </c>
      <c r="L114" s="29"/>
      <c r="M114" s="28">
        <f t="shared" si="15"/>
        <v>5265.3188669886276</v>
      </c>
    </row>
    <row r="115" spans="1:13" s="19" customFormat="1" ht="10" x14ac:dyDescent="0.2">
      <c r="A115" s="35" t="s">
        <v>163</v>
      </c>
      <c r="B115" s="28">
        <v>1050</v>
      </c>
      <c r="C115" s="28">
        <v>0</v>
      </c>
      <c r="D115" s="28">
        <v>1174.1188030675601</v>
      </c>
      <c r="E115" s="28">
        <v>0</v>
      </c>
      <c r="F115" s="28">
        <v>0</v>
      </c>
      <c r="G115" s="28">
        <v>0</v>
      </c>
      <c r="H115" s="28">
        <v>0</v>
      </c>
      <c r="I115" s="28">
        <v>800.18084032933518</v>
      </c>
      <c r="J115" s="29"/>
      <c r="K115" s="28">
        <f t="shared" si="14"/>
        <v>1974.2996433968951</v>
      </c>
      <c r="L115" s="29"/>
      <c r="M115" s="28">
        <f t="shared" si="15"/>
        <v>3024.2996433968951</v>
      </c>
    </row>
    <row r="116" spans="1:13" s="19" customFormat="1" ht="10" x14ac:dyDescent="0.2">
      <c r="A116" s="35" t="s">
        <v>164</v>
      </c>
      <c r="B116" s="28">
        <v>0</v>
      </c>
      <c r="C116" s="28">
        <v>0</v>
      </c>
      <c r="D116" s="28">
        <v>674.20993539185156</v>
      </c>
      <c r="E116" s="28">
        <v>0</v>
      </c>
      <c r="F116" s="28">
        <v>0</v>
      </c>
      <c r="G116" s="28">
        <v>0</v>
      </c>
      <c r="H116" s="28">
        <v>0</v>
      </c>
      <c r="I116" s="28">
        <v>0</v>
      </c>
      <c r="J116" s="29"/>
      <c r="K116" s="28">
        <f t="shared" si="14"/>
        <v>674.20993539185156</v>
      </c>
      <c r="L116" s="29"/>
      <c r="M116" s="28">
        <f t="shared" si="15"/>
        <v>674.20993539185156</v>
      </c>
    </row>
    <row r="117" spans="1:13" s="19" customFormat="1" ht="10" x14ac:dyDescent="0.2">
      <c r="A117" s="35" t="s">
        <v>165</v>
      </c>
      <c r="B117" s="28">
        <v>0</v>
      </c>
      <c r="C117" s="28">
        <v>0</v>
      </c>
      <c r="D117" s="28">
        <v>9.1267447052198722</v>
      </c>
      <c r="E117" s="28">
        <v>0</v>
      </c>
      <c r="F117" s="28">
        <v>0</v>
      </c>
      <c r="G117" s="28">
        <v>0</v>
      </c>
      <c r="H117" s="28">
        <v>0</v>
      </c>
      <c r="I117" s="28">
        <v>0</v>
      </c>
      <c r="J117" s="29"/>
      <c r="K117" s="28">
        <f t="shared" si="14"/>
        <v>9.1267447052198722</v>
      </c>
      <c r="L117" s="29"/>
      <c r="M117" s="28">
        <f t="shared" si="15"/>
        <v>9.1267447052198722</v>
      </c>
    </row>
    <row r="118" spans="1:13" s="19" customFormat="1" ht="10" x14ac:dyDescent="0.2">
      <c r="A118" s="35" t="s">
        <v>166</v>
      </c>
      <c r="B118" s="28">
        <v>0</v>
      </c>
      <c r="C118" s="28">
        <v>0</v>
      </c>
      <c r="D118" s="28">
        <v>56883.488171537967</v>
      </c>
      <c r="E118" s="28">
        <v>0</v>
      </c>
      <c r="F118" s="28">
        <v>131.82288951147197</v>
      </c>
      <c r="G118" s="28">
        <v>0</v>
      </c>
      <c r="H118" s="28">
        <v>0</v>
      </c>
      <c r="I118" s="28">
        <v>0</v>
      </c>
      <c r="J118" s="29"/>
      <c r="K118" s="28">
        <f t="shared" si="14"/>
        <v>57015.31106104944</v>
      </c>
      <c r="L118" s="29"/>
      <c r="M118" s="28">
        <f t="shared" si="15"/>
        <v>57015.31106104944</v>
      </c>
    </row>
    <row r="119" spans="1:13" s="19" customFormat="1" ht="10" x14ac:dyDescent="0.2">
      <c r="A119" s="35" t="s">
        <v>167</v>
      </c>
      <c r="B119" s="28">
        <v>0</v>
      </c>
      <c r="C119" s="28">
        <v>0</v>
      </c>
      <c r="D119" s="28">
        <v>1395.7937033487149</v>
      </c>
      <c r="E119" s="28">
        <v>0</v>
      </c>
      <c r="F119" s="28">
        <v>0</v>
      </c>
      <c r="G119" s="28">
        <v>0</v>
      </c>
      <c r="H119" s="28">
        <v>0</v>
      </c>
      <c r="I119" s="28">
        <v>0</v>
      </c>
      <c r="J119" s="29"/>
      <c r="K119" s="28">
        <f t="shared" si="14"/>
        <v>1395.7937033487149</v>
      </c>
      <c r="L119" s="29"/>
      <c r="M119" s="28">
        <f t="shared" si="15"/>
        <v>1395.7937033487149</v>
      </c>
    </row>
    <row r="120" spans="1:13" s="19" customFormat="1" ht="10" x14ac:dyDescent="0.2">
      <c r="A120" s="35" t="s">
        <v>168</v>
      </c>
      <c r="B120" s="28">
        <v>0</v>
      </c>
      <c r="C120" s="28">
        <v>0</v>
      </c>
      <c r="D120" s="28">
        <v>29368.763501389742</v>
      </c>
      <c r="E120" s="28">
        <v>0</v>
      </c>
      <c r="F120" s="28">
        <v>0</v>
      </c>
      <c r="G120" s="28">
        <v>0</v>
      </c>
      <c r="H120" s="28">
        <v>0</v>
      </c>
      <c r="I120" s="28">
        <v>0</v>
      </c>
      <c r="J120" s="29"/>
      <c r="K120" s="28">
        <f t="shared" si="14"/>
        <v>29368.763501389742</v>
      </c>
      <c r="L120" s="29"/>
      <c r="M120" s="28">
        <f t="shared" si="15"/>
        <v>29368.763501389742</v>
      </c>
    </row>
    <row r="121" spans="1:13" s="19" customFormat="1" ht="10" x14ac:dyDescent="0.2">
      <c r="A121" s="35" t="s">
        <v>169</v>
      </c>
      <c r="B121" s="28">
        <v>0</v>
      </c>
      <c r="C121" s="28">
        <v>0</v>
      </c>
      <c r="D121" s="28">
        <v>11304.171676393587</v>
      </c>
      <c r="E121" s="28">
        <v>0</v>
      </c>
      <c r="F121" s="28">
        <v>0</v>
      </c>
      <c r="G121" s="28">
        <v>0</v>
      </c>
      <c r="H121" s="28">
        <v>0</v>
      </c>
      <c r="I121" s="28">
        <v>0</v>
      </c>
      <c r="J121" s="29"/>
      <c r="K121" s="28">
        <f t="shared" si="14"/>
        <v>11304.171676393587</v>
      </c>
      <c r="L121" s="29"/>
      <c r="M121" s="28">
        <f t="shared" si="15"/>
        <v>11304.171676393587</v>
      </c>
    </row>
    <row r="122" spans="1:13" s="19" customFormat="1" ht="10" x14ac:dyDescent="0.2">
      <c r="A122" s="35" t="s">
        <v>170</v>
      </c>
      <c r="B122" s="28">
        <v>0</v>
      </c>
      <c r="C122" s="28">
        <v>0</v>
      </c>
      <c r="D122" s="28">
        <v>62298.604235600578</v>
      </c>
      <c r="E122" s="28">
        <v>0</v>
      </c>
      <c r="F122" s="28">
        <v>0</v>
      </c>
      <c r="G122" s="28">
        <v>0</v>
      </c>
      <c r="H122" s="28">
        <v>0</v>
      </c>
      <c r="I122" s="28">
        <v>0</v>
      </c>
      <c r="J122" s="29"/>
      <c r="K122" s="28">
        <f t="shared" si="14"/>
        <v>62298.604235600578</v>
      </c>
      <c r="L122" s="29"/>
      <c r="M122" s="28">
        <f t="shared" si="15"/>
        <v>62298.604235600578</v>
      </c>
    </row>
    <row r="123" spans="1:13" s="19" customFormat="1" ht="10" x14ac:dyDescent="0.2">
      <c r="A123" s="35" t="s">
        <v>171</v>
      </c>
      <c r="B123" s="28">
        <v>0</v>
      </c>
      <c r="C123" s="28">
        <v>0</v>
      </c>
      <c r="D123" s="28">
        <v>21277.695801292739</v>
      </c>
      <c r="E123" s="28">
        <v>0</v>
      </c>
      <c r="F123" s="28">
        <v>0</v>
      </c>
      <c r="G123" s="28">
        <v>0</v>
      </c>
      <c r="H123" s="28">
        <v>0</v>
      </c>
      <c r="I123" s="28">
        <v>0</v>
      </c>
      <c r="J123" s="29"/>
      <c r="K123" s="28">
        <f t="shared" si="14"/>
        <v>21277.695801292739</v>
      </c>
      <c r="L123" s="29"/>
      <c r="M123" s="28">
        <f t="shared" si="15"/>
        <v>21277.695801292739</v>
      </c>
    </row>
    <row r="124" spans="1:13" s="19" customFormat="1" ht="10.5" x14ac:dyDescent="0.25">
      <c r="A124" s="36" t="s">
        <v>172</v>
      </c>
      <c r="B124" s="23"/>
      <c r="C124" s="23"/>
      <c r="D124" s="23"/>
      <c r="E124" s="23"/>
      <c r="F124" s="23"/>
      <c r="G124" s="23"/>
      <c r="H124" s="23"/>
      <c r="I124" s="23"/>
      <c r="J124" s="24"/>
      <c r="K124" s="23">
        <f t="shared" si="14"/>
        <v>0</v>
      </c>
      <c r="L124" s="24"/>
      <c r="M124" s="23">
        <f t="shared" si="15"/>
        <v>0</v>
      </c>
    </row>
    <row r="125" spans="1:13" s="19" customFormat="1" ht="10" x14ac:dyDescent="0.2">
      <c r="A125" s="37" t="s">
        <v>172</v>
      </c>
      <c r="B125" s="28">
        <v>0</v>
      </c>
      <c r="C125" s="28">
        <v>0</v>
      </c>
      <c r="D125" s="28">
        <v>0</v>
      </c>
      <c r="E125" s="28">
        <v>0</v>
      </c>
      <c r="F125" s="28">
        <v>0</v>
      </c>
      <c r="G125" s="28">
        <v>0</v>
      </c>
      <c r="H125" s="28">
        <v>0</v>
      </c>
      <c r="I125" s="28">
        <v>3572.4301161210869</v>
      </c>
      <c r="J125" s="29"/>
      <c r="K125" s="28">
        <f t="shared" si="14"/>
        <v>3572.4301161210869</v>
      </c>
      <c r="L125" s="29"/>
      <c r="M125" s="28">
        <f t="shared" si="15"/>
        <v>3572.4301161210869</v>
      </c>
    </row>
    <row r="126" spans="1:13" s="19" customFormat="1" ht="10" x14ac:dyDescent="0.2">
      <c r="A126" s="37" t="s">
        <v>173</v>
      </c>
      <c r="B126" s="28">
        <v>0</v>
      </c>
      <c r="C126" s="28">
        <v>0</v>
      </c>
      <c r="D126" s="28">
        <v>231.22128694350545</v>
      </c>
      <c r="E126" s="28">
        <v>0</v>
      </c>
      <c r="F126" s="28">
        <v>0</v>
      </c>
      <c r="G126" s="28">
        <v>0</v>
      </c>
      <c r="H126" s="28">
        <v>0</v>
      </c>
      <c r="I126" s="28">
        <v>0</v>
      </c>
      <c r="J126" s="29"/>
      <c r="K126" s="28">
        <f t="shared" si="14"/>
        <v>231.22128694350545</v>
      </c>
      <c r="L126" s="29"/>
      <c r="M126" s="28">
        <f t="shared" si="15"/>
        <v>231.22128694350545</v>
      </c>
    </row>
    <row r="127" spans="1:13" s="19" customFormat="1" ht="10.5" x14ac:dyDescent="0.25">
      <c r="A127" s="38" t="s">
        <v>174</v>
      </c>
      <c r="B127" s="31">
        <f t="shared" ref="B127:L127" si="21">SUM(B125:B126)</f>
        <v>0</v>
      </c>
      <c r="C127" s="31">
        <f t="shared" si="21"/>
        <v>0</v>
      </c>
      <c r="D127" s="31">
        <f t="shared" si="21"/>
        <v>231.22128694350545</v>
      </c>
      <c r="E127" s="31">
        <f t="shared" si="21"/>
        <v>0</v>
      </c>
      <c r="F127" s="31">
        <f t="shared" si="21"/>
        <v>0</v>
      </c>
      <c r="G127" s="31">
        <f t="shared" si="21"/>
        <v>0</v>
      </c>
      <c r="H127" s="31">
        <f t="shared" si="21"/>
        <v>0</v>
      </c>
      <c r="I127" s="31">
        <f t="shared" si="21"/>
        <v>3572.4301161210869</v>
      </c>
      <c r="J127" s="32">
        <f t="shared" si="21"/>
        <v>0</v>
      </c>
      <c r="K127" s="31">
        <f t="shared" si="14"/>
        <v>3803.6514030645922</v>
      </c>
      <c r="L127" s="32">
        <f t="shared" si="21"/>
        <v>0</v>
      </c>
      <c r="M127" s="31">
        <f t="shared" si="15"/>
        <v>3803.6514030645922</v>
      </c>
    </row>
    <row r="128" spans="1:13" s="19" customFormat="1" ht="10.5" x14ac:dyDescent="0.25">
      <c r="A128" s="39" t="s">
        <v>175</v>
      </c>
      <c r="B128" s="31">
        <f t="shared" ref="B128:L128" si="22">SUM(B109:B123,B127)</f>
        <v>1050</v>
      </c>
      <c r="C128" s="31">
        <f t="shared" si="22"/>
        <v>0</v>
      </c>
      <c r="D128" s="31">
        <f t="shared" si="22"/>
        <v>396724.88505375612</v>
      </c>
      <c r="E128" s="31">
        <f t="shared" si="22"/>
        <v>8614.286298802841</v>
      </c>
      <c r="F128" s="31">
        <f t="shared" si="22"/>
        <v>14730.491502598839</v>
      </c>
      <c r="G128" s="31">
        <f t="shared" si="22"/>
        <v>676.6908185872926</v>
      </c>
      <c r="H128" s="31">
        <f t="shared" si="22"/>
        <v>0</v>
      </c>
      <c r="I128" s="31">
        <f t="shared" si="22"/>
        <v>5102.0520461958622</v>
      </c>
      <c r="J128" s="32">
        <f t="shared" si="22"/>
        <v>0</v>
      </c>
      <c r="K128" s="31">
        <f t="shared" si="14"/>
        <v>425848.40571994096</v>
      </c>
      <c r="L128" s="32">
        <f t="shared" si="22"/>
        <v>0</v>
      </c>
      <c r="M128" s="31">
        <f t="shared" si="15"/>
        <v>426898.40571994096</v>
      </c>
    </row>
    <row r="129" spans="1:13" s="19" customFormat="1" ht="10.5" x14ac:dyDescent="0.25">
      <c r="A129" s="34" t="s">
        <v>176</v>
      </c>
      <c r="B129" s="23"/>
      <c r="C129" s="23"/>
      <c r="D129" s="23"/>
      <c r="E129" s="23"/>
      <c r="F129" s="23"/>
      <c r="G129" s="23"/>
      <c r="H129" s="23"/>
      <c r="I129" s="23"/>
      <c r="J129" s="24"/>
      <c r="K129" s="23">
        <f t="shared" si="14"/>
        <v>0</v>
      </c>
      <c r="L129" s="24"/>
      <c r="M129" s="23">
        <f t="shared" si="15"/>
        <v>0</v>
      </c>
    </row>
    <row r="130" spans="1:13" s="19" customFormat="1" ht="10" x14ac:dyDescent="0.2">
      <c r="A130" s="35" t="s">
        <v>177</v>
      </c>
      <c r="B130" s="28">
        <v>504.8</v>
      </c>
      <c r="C130" s="28">
        <v>0</v>
      </c>
      <c r="D130" s="28">
        <v>18488.940249936368</v>
      </c>
      <c r="E130" s="28">
        <v>926.30361763544772</v>
      </c>
      <c r="F130" s="28">
        <v>87.918686992047355</v>
      </c>
      <c r="G130" s="28">
        <v>164.23091835715826</v>
      </c>
      <c r="H130" s="28">
        <v>5.5918942619270391</v>
      </c>
      <c r="I130" s="28">
        <v>1039.0943656014174</v>
      </c>
      <c r="J130" s="29"/>
      <c r="K130" s="28">
        <f t="shared" si="14"/>
        <v>20712.079732784368</v>
      </c>
      <c r="L130" s="29"/>
      <c r="M130" s="28">
        <f t="shared" si="15"/>
        <v>21216.879732784368</v>
      </c>
    </row>
    <row r="131" spans="1:13" s="19" customFormat="1" ht="10" x14ac:dyDescent="0.2">
      <c r="A131" s="35" t="s">
        <v>178</v>
      </c>
      <c r="B131" s="28">
        <v>176277.28</v>
      </c>
      <c r="C131" s="28">
        <v>0</v>
      </c>
      <c r="D131" s="28">
        <v>349.42959767971388</v>
      </c>
      <c r="E131" s="28">
        <v>606.01581523767231</v>
      </c>
      <c r="F131" s="28">
        <v>0</v>
      </c>
      <c r="G131" s="28">
        <v>0</v>
      </c>
      <c r="H131" s="28">
        <v>0</v>
      </c>
      <c r="I131" s="28">
        <v>9070.4509070020304</v>
      </c>
      <c r="J131" s="29"/>
      <c r="K131" s="28">
        <f t="shared" si="14"/>
        <v>10025.896319919417</v>
      </c>
      <c r="L131" s="29"/>
      <c r="M131" s="28">
        <f t="shared" si="15"/>
        <v>186303.17631991941</v>
      </c>
    </row>
    <row r="132" spans="1:13" s="19" customFormat="1" ht="10" x14ac:dyDescent="0.2">
      <c r="A132" s="35" t="s">
        <v>179</v>
      </c>
      <c r="B132" s="28">
        <v>0</v>
      </c>
      <c r="C132" s="28">
        <v>0</v>
      </c>
      <c r="D132" s="28">
        <v>46955.902851135266</v>
      </c>
      <c r="E132" s="28">
        <v>0</v>
      </c>
      <c r="F132" s="28">
        <v>0</v>
      </c>
      <c r="G132" s="28">
        <v>0</v>
      </c>
      <c r="H132" s="28">
        <v>0</v>
      </c>
      <c r="I132" s="28">
        <v>0</v>
      </c>
      <c r="J132" s="29"/>
      <c r="K132" s="28">
        <f t="shared" si="14"/>
        <v>46955.902851135266</v>
      </c>
      <c r="L132" s="29"/>
      <c r="M132" s="28">
        <f t="shared" si="15"/>
        <v>46955.902851135266</v>
      </c>
    </row>
    <row r="133" spans="1:13" s="19" customFormat="1" ht="10" x14ac:dyDescent="0.2">
      <c r="A133" s="35" t="s">
        <v>180</v>
      </c>
      <c r="B133" s="28">
        <v>-1.57</v>
      </c>
      <c r="C133" s="28">
        <v>0</v>
      </c>
      <c r="D133" s="28">
        <v>237.76536389271075</v>
      </c>
      <c r="E133" s="28">
        <v>0</v>
      </c>
      <c r="F133" s="28">
        <v>0</v>
      </c>
      <c r="G133" s="28">
        <v>0</v>
      </c>
      <c r="H133" s="28">
        <v>0</v>
      </c>
      <c r="I133" s="28">
        <v>0</v>
      </c>
      <c r="J133" s="29"/>
      <c r="K133" s="28">
        <f t="shared" si="14"/>
        <v>237.76536389271075</v>
      </c>
      <c r="L133" s="29"/>
      <c r="M133" s="28">
        <f t="shared" si="15"/>
        <v>236.19536389271076</v>
      </c>
    </row>
    <row r="134" spans="1:13" s="19" customFormat="1" ht="10.5" x14ac:dyDescent="0.25">
      <c r="A134" s="39" t="s">
        <v>181</v>
      </c>
      <c r="B134" s="31">
        <f t="shared" ref="B134:L134" si="23">SUM(B130:B133)</f>
        <v>176780.50999999998</v>
      </c>
      <c r="C134" s="31">
        <f t="shared" si="23"/>
        <v>0</v>
      </c>
      <c r="D134" s="31">
        <f t="shared" si="23"/>
        <v>66032.03806264406</v>
      </c>
      <c r="E134" s="31">
        <f t="shared" si="23"/>
        <v>1532.3194328731201</v>
      </c>
      <c r="F134" s="31">
        <f t="shared" si="23"/>
        <v>87.918686992047355</v>
      </c>
      <c r="G134" s="31">
        <f t="shared" si="23"/>
        <v>164.23091835715826</v>
      </c>
      <c r="H134" s="31">
        <f t="shared" si="23"/>
        <v>5.5918942619270391</v>
      </c>
      <c r="I134" s="31">
        <f t="shared" si="23"/>
        <v>10109.545272603447</v>
      </c>
      <c r="J134" s="32">
        <f t="shared" si="23"/>
        <v>0</v>
      </c>
      <c r="K134" s="31">
        <f t="shared" si="14"/>
        <v>77931.644267731768</v>
      </c>
      <c r="L134" s="32">
        <f t="shared" si="23"/>
        <v>0</v>
      </c>
      <c r="M134" s="31">
        <f t="shared" si="15"/>
        <v>254712.15426773176</v>
      </c>
    </row>
    <row r="135" spans="1:13" s="19" customFormat="1" ht="10.5" x14ac:dyDescent="0.25">
      <c r="A135" s="30" t="s">
        <v>182</v>
      </c>
      <c r="B135" s="31">
        <f t="shared" ref="B135:L135" si="24">SUM(B41,B47,B53,B57,B61,B72,B79,B86,B100,B103,B107,B128,B134)</f>
        <v>822874.22</v>
      </c>
      <c r="C135" s="31">
        <f t="shared" si="24"/>
        <v>1567.70235</v>
      </c>
      <c r="D135" s="31">
        <f t="shared" si="24"/>
        <v>2936180.5816093851</v>
      </c>
      <c r="E135" s="31">
        <f t="shared" si="24"/>
        <v>10550.209923459288</v>
      </c>
      <c r="F135" s="31">
        <f t="shared" si="24"/>
        <v>138762.84337369906</v>
      </c>
      <c r="G135" s="31">
        <f t="shared" si="24"/>
        <v>126539.60146981181</v>
      </c>
      <c r="H135" s="31">
        <f t="shared" si="24"/>
        <v>5.5918942619270391</v>
      </c>
      <c r="I135" s="31">
        <f t="shared" si="24"/>
        <v>359629.73358516145</v>
      </c>
      <c r="J135" s="32">
        <f t="shared" si="24"/>
        <v>0</v>
      </c>
      <c r="K135" s="31">
        <f t="shared" si="14"/>
        <v>3571668.561855779</v>
      </c>
      <c r="L135" s="32">
        <f t="shared" si="24"/>
        <v>0</v>
      </c>
      <c r="M135" s="31">
        <f t="shared" si="15"/>
        <v>4396110.4842057787</v>
      </c>
    </row>
    <row r="136" spans="1:13" s="19" customFormat="1" ht="10.5" x14ac:dyDescent="0.25">
      <c r="A136" s="26" t="s">
        <v>183</v>
      </c>
      <c r="B136" s="23"/>
      <c r="C136" s="23"/>
      <c r="D136" s="23"/>
      <c r="E136" s="23"/>
      <c r="F136" s="23"/>
      <c r="G136" s="23"/>
      <c r="H136" s="23"/>
      <c r="I136" s="23"/>
      <c r="J136" s="24"/>
      <c r="K136" s="23">
        <f t="shared" si="14"/>
        <v>0</v>
      </c>
      <c r="L136" s="24"/>
      <c r="M136" s="23">
        <f t="shared" si="15"/>
        <v>0</v>
      </c>
    </row>
    <row r="137" spans="1:13" s="19" customFormat="1" ht="10" x14ac:dyDescent="0.2">
      <c r="A137" s="27" t="s">
        <v>184</v>
      </c>
      <c r="B137" s="28">
        <v>0</v>
      </c>
      <c r="C137" s="28">
        <v>0</v>
      </c>
      <c r="D137" s="28">
        <v>2419.4828851552084</v>
      </c>
      <c r="E137" s="28">
        <v>0</v>
      </c>
      <c r="F137" s="28">
        <v>167.0980816220619</v>
      </c>
      <c r="G137" s="28">
        <v>479.12823429190502</v>
      </c>
      <c r="H137" s="28">
        <v>0</v>
      </c>
      <c r="I137" s="28">
        <v>0</v>
      </c>
      <c r="J137" s="29"/>
      <c r="K137" s="28">
        <f t="shared" si="14"/>
        <v>3065.7092010691749</v>
      </c>
      <c r="L137" s="29"/>
      <c r="M137" s="28">
        <f t="shared" si="15"/>
        <v>3065.7092010691749</v>
      </c>
    </row>
    <row r="138" spans="1:13" s="19" customFormat="1" ht="10" x14ac:dyDescent="0.2">
      <c r="A138" s="27" t="s">
        <v>185</v>
      </c>
      <c r="B138" s="28">
        <v>0</v>
      </c>
      <c r="C138" s="28">
        <v>0</v>
      </c>
      <c r="D138" s="28">
        <v>10724.635884418285</v>
      </c>
      <c r="E138" s="28">
        <v>0</v>
      </c>
      <c r="F138" s="28">
        <v>408.47715354784714</v>
      </c>
      <c r="G138" s="28">
        <v>0</v>
      </c>
      <c r="H138" s="28">
        <v>0</v>
      </c>
      <c r="I138" s="28">
        <v>2498.2442010023351</v>
      </c>
      <c r="J138" s="29"/>
      <c r="K138" s="28">
        <f t="shared" si="14"/>
        <v>13631.357238968467</v>
      </c>
      <c r="L138" s="29"/>
      <c r="M138" s="28">
        <f t="shared" si="15"/>
        <v>13631.357238968467</v>
      </c>
    </row>
    <row r="139" spans="1:13" s="19" customFormat="1" ht="10" x14ac:dyDescent="0.2">
      <c r="A139" s="27" t="s">
        <v>186</v>
      </c>
      <c r="B139" s="28">
        <v>0</v>
      </c>
      <c r="C139" s="28">
        <v>0</v>
      </c>
      <c r="D139" s="28">
        <v>0</v>
      </c>
      <c r="E139" s="28">
        <v>0</v>
      </c>
      <c r="F139" s="28">
        <v>0</v>
      </c>
      <c r="G139" s="28">
        <v>0</v>
      </c>
      <c r="H139" s="28">
        <v>0</v>
      </c>
      <c r="I139" s="28">
        <v>9984.2583511894954</v>
      </c>
      <c r="J139" s="29"/>
      <c r="K139" s="28">
        <f t="shared" si="14"/>
        <v>9984.2583511894954</v>
      </c>
      <c r="L139" s="29"/>
      <c r="M139" s="28">
        <f t="shared" si="15"/>
        <v>9984.2583511894954</v>
      </c>
    </row>
    <row r="140" spans="1:13" s="19" customFormat="1" ht="10" x14ac:dyDescent="0.2">
      <c r="A140" s="27" t="s">
        <v>187</v>
      </c>
      <c r="B140" s="28">
        <v>0</v>
      </c>
      <c r="C140" s="28">
        <v>0</v>
      </c>
      <c r="D140" s="28">
        <v>29.837497590497808</v>
      </c>
      <c r="E140" s="28">
        <v>0</v>
      </c>
      <c r="F140" s="28">
        <v>0</v>
      </c>
      <c r="G140" s="28">
        <v>0</v>
      </c>
      <c r="H140" s="28">
        <v>0</v>
      </c>
      <c r="I140" s="28">
        <v>0</v>
      </c>
      <c r="J140" s="29"/>
      <c r="K140" s="28">
        <f t="shared" si="14"/>
        <v>29.837497590497808</v>
      </c>
      <c r="L140" s="29"/>
      <c r="M140" s="28">
        <f t="shared" si="15"/>
        <v>29.837497590497808</v>
      </c>
    </row>
    <row r="141" spans="1:13" s="19" customFormat="1" ht="10" x14ac:dyDescent="0.2">
      <c r="A141" s="27" t="s">
        <v>188</v>
      </c>
      <c r="B141" s="28">
        <v>0</v>
      </c>
      <c r="C141" s="28">
        <v>0</v>
      </c>
      <c r="D141" s="28">
        <v>768.03656101101512</v>
      </c>
      <c r="E141" s="28">
        <v>0</v>
      </c>
      <c r="F141" s="28">
        <v>3492.5525338649545</v>
      </c>
      <c r="G141" s="28">
        <v>4350.2742972340129</v>
      </c>
      <c r="H141" s="28">
        <v>0</v>
      </c>
      <c r="I141" s="28">
        <v>2620.273711510154</v>
      </c>
      <c r="J141" s="29"/>
      <c r="K141" s="28">
        <f t="shared" ref="K141:K181" si="25">SUM(D141:J141)</f>
        <v>11231.137103620136</v>
      </c>
      <c r="L141" s="29"/>
      <c r="M141" s="28">
        <f t="shared" ref="M141:M181" si="26">SUM(B141,K141,L141)+C141</f>
        <v>11231.137103620136</v>
      </c>
    </row>
    <row r="142" spans="1:13" s="19" customFormat="1" ht="10" x14ac:dyDescent="0.2">
      <c r="A142" s="27" t="s">
        <v>189</v>
      </c>
      <c r="B142" s="28">
        <v>0</v>
      </c>
      <c r="C142" s="28">
        <v>0</v>
      </c>
      <c r="D142" s="28">
        <v>14781.053237922573</v>
      </c>
      <c r="E142" s="28">
        <v>0</v>
      </c>
      <c r="F142" s="28">
        <v>1151.642368534239</v>
      </c>
      <c r="G142" s="28">
        <v>3696.3010857006302</v>
      </c>
      <c r="H142" s="28">
        <v>0</v>
      </c>
      <c r="I142" s="28">
        <v>1.696412692485</v>
      </c>
      <c r="J142" s="29"/>
      <c r="K142" s="28">
        <f t="shared" si="25"/>
        <v>19630.693104849932</v>
      </c>
      <c r="L142" s="29"/>
      <c r="M142" s="28">
        <f t="shared" si="26"/>
        <v>19630.693104849932</v>
      </c>
    </row>
    <row r="143" spans="1:13" s="19" customFormat="1" ht="10" x14ac:dyDescent="0.2">
      <c r="A143" s="27" t="s">
        <v>190</v>
      </c>
      <c r="B143" s="28">
        <v>0</v>
      </c>
      <c r="C143" s="28">
        <v>0</v>
      </c>
      <c r="D143" s="28">
        <v>565.00737575458118</v>
      </c>
      <c r="E143" s="28">
        <v>0</v>
      </c>
      <c r="F143" s="28">
        <v>0</v>
      </c>
      <c r="G143" s="28">
        <v>0</v>
      </c>
      <c r="H143" s="28">
        <v>0</v>
      </c>
      <c r="I143" s="28">
        <v>21958.559019573018</v>
      </c>
      <c r="J143" s="29"/>
      <c r="K143" s="28">
        <f t="shared" si="25"/>
        <v>22523.566395327598</v>
      </c>
      <c r="L143" s="29"/>
      <c r="M143" s="28">
        <f t="shared" si="26"/>
        <v>22523.566395327598</v>
      </c>
    </row>
    <row r="144" spans="1:13" s="19" customFormat="1" ht="10" x14ac:dyDescent="0.2">
      <c r="A144" s="27" t="s">
        <v>191</v>
      </c>
      <c r="B144" s="28">
        <v>0</v>
      </c>
      <c r="C144" s="28">
        <v>0</v>
      </c>
      <c r="D144" s="28">
        <v>81.51490258977492</v>
      </c>
      <c r="E144" s="28">
        <v>0</v>
      </c>
      <c r="F144" s="28">
        <v>0</v>
      </c>
      <c r="G144" s="28">
        <v>0</v>
      </c>
      <c r="H144" s="28">
        <v>0</v>
      </c>
      <c r="I144" s="28">
        <v>190949.64369512751</v>
      </c>
      <c r="J144" s="29"/>
      <c r="K144" s="28">
        <f t="shared" si="25"/>
        <v>191031.15859771729</v>
      </c>
      <c r="L144" s="29"/>
      <c r="M144" s="28">
        <f t="shared" si="26"/>
        <v>191031.15859771729</v>
      </c>
    </row>
    <row r="145" spans="1:13" s="19" customFormat="1" ht="10" x14ac:dyDescent="0.2">
      <c r="A145" s="27" t="s">
        <v>192</v>
      </c>
      <c r="B145" s="28">
        <v>0</v>
      </c>
      <c r="C145" s="28">
        <v>0</v>
      </c>
      <c r="D145" s="28">
        <v>1222.1769054649287</v>
      </c>
      <c r="E145" s="28">
        <v>0</v>
      </c>
      <c r="F145" s="28">
        <v>0</v>
      </c>
      <c r="G145" s="28">
        <v>0</v>
      </c>
      <c r="H145" s="28">
        <v>0</v>
      </c>
      <c r="I145" s="28">
        <v>391.26642767434964</v>
      </c>
      <c r="J145" s="29"/>
      <c r="K145" s="28">
        <f t="shared" si="25"/>
        <v>1613.4433331392784</v>
      </c>
      <c r="L145" s="29"/>
      <c r="M145" s="28">
        <f t="shared" si="26"/>
        <v>1613.4433331392784</v>
      </c>
    </row>
    <row r="146" spans="1:13" s="19" customFormat="1" ht="10" x14ac:dyDescent="0.2">
      <c r="A146" s="27" t="s">
        <v>193</v>
      </c>
      <c r="B146" s="28">
        <v>0</v>
      </c>
      <c r="C146" s="28">
        <v>0</v>
      </c>
      <c r="D146" s="28">
        <v>21977.88298626904</v>
      </c>
      <c r="E146" s="28">
        <v>0</v>
      </c>
      <c r="F146" s="28">
        <v>346.88958089479735</v>
      </c>
      <c r="G146" s="28">
        <v>860.56854541573296</v>
      </c>
      <c r="H146" s="28">
        <v>0</v>
      </c>
      <c r="I146" s="28">
        <v>80848.405327733286</v>
      </c>
      <c r="J146" s="29"/>
      <c r="K146" s="28">
        <f t="shared" si="25"/>
        <v>104033.74644031285</v>
      </c>
      <c r="L146" s="29"/>
      <c r="M146" s="28">
        <f t="shared" si="26"/>
        <v>104033.74644031285</v>
      </c>
    </row>
    <row r="147" spans="1:13" s="19" customFormat="1" ht="10" x14ac:dyDescent="0.2">
      <c r="A147" s="27" t="s">
        <v>194</v>
      </c>
      <c r="B147" s="28">
        <v>0</v>
      </c>
      <c r="C147" s="28">
        <v>0</v>
      </c>
      <c r="D147" s="28">
        <v>0</v>
      </c>
      <c r="E147" s="28">
        <v>0</v>
      </c>
      <c r="F147" s="28">
        <v>0</v>
      </c>
      <c r="G147" s="28">
        <v>0</v>
      </c>
      <c r="H147" s="28">
        <v>0</v>
      </c>
      <c r="I147" s="28">
        <v>2457.4198613853246</v>
      </c>
      <c r="J147" s="29"/>
      <c r="K147" s="28">
        <f t="shared" si="25"/>
        <v>2457.4198613853246</v>
      </c>
      <c r="L147" s="29"/>
      <c r="M147" s="28">
        <f t="shared" si="26"/>
        <v>2457.4198613853246</v>
      </c>
    </row>
    <row r="148" spans="1:13" s="19" customFormat="1" ht="10" x14ac:dyDescent="0.2">
      <c r="A148" s="27" t="s">
        <v>195</v>
      </c>
      <c r="B148" s="28">
        <v>0</v>
      </c>
      <c r="C148" s="28">
        <v>0</v>
      </c>
      <c r="D148" s="28">
        <v>96761.163444016522</v>
      </c>
      <c r="E148" s="28">
        <v>0</v>
      </c>
      <c r="F148" s="28">
        <v>34789.235941986044</v>
      </c>
      <c r="G148" s="28">
        <v>0</v>
      </c>
      <c r="H148" s="28">
        <v>0</v>
      </c>
      <c r="I148" s="28">
        <v>69884.020454526413</v>
      </c>
      <c r="J148" s="29"/>
      <c r="K148" s="28">
        <f t="shared" si="25"/>
        <v>201434.41984052898</v>
      </c>
      <c r="L148" s="29"/>
      <c r="M148" s="28">
        <f t="shared" si="26"/>
        <v>201434.41984052898</v>
      </c>
    </row>
    <row r="149" spans="1:13" s="19" customFormat="1" ht="10" x14ac:dyDescent="0.2">
      <c r="A149" s="27" t="s">
        <v>196</v>
      </c>
      <c r="B149" s="28">
        <v>0</v>
      </c>
      <c r="C149" s="28">
        <v>0</v>
      </c>
      <c r="D149" s="28">
        <v>0</v>
      </c>
      <c r="E149" s="28">
        <v>0</v>
      </c>
      <c r="F149" s="28">
        <v>0</v>
      </c>
      <c r="G149" s="28">
        <v>0</v>
      </c>
      <c r="H149" s="28">
        <v>0</v>
      </c>
      <c r="I149" s="28">
        <v>12008.346017201886</v>
      </c>
      <c r="J149" s="29"/>
      <c r="K149" s="28">
        <f t="shared" si="25"/>
        <v>12008.346017201886</v>
      </c>
      <c r="L149" s="29"/>
      <c r="M149" s="28">
        <f t="shared" si="26"/>
        <v>12008.346017201886</v>
      </c>
    </row>
    <row r="150" spans="1:13" s="19" customFormat="1" ht="10" x14ac:dyDescent="0.2">
      <c r="A150" s="27" t="s">
        <v>197</v>
      </c>
      <c r="B150" s="28">
        <v>0</v>
      </c>
      <c r="C150" s="28">
        <v>0</v>
      </c>
      <c r="D150" s="28">
        <v>696261.82563708525</v>
      </c>
      <c r="E150" s="28">
        <v>0</v>
      </c>
      <c r="F150" s="28">
        <v>10887.641909144544</v>
      </c>
      <c r="G150" s="28">
        <v>0</v>
      </c>
      <c r="H150" s="28">
        <v>0</v>
      </c>
      <c r="I150" s="28">
        <v>78346.694897813461</v>
      </c>
      <c r="J150" s="29">
        <v>-347622.91367801721</v>
      </c>
      <c r="K150" s="28">
        <f t="shared" si="25"/>
        <v>437873.24876602611</v>
      </c>
      <c r="L150" s="29"/>
      <c r="M150" s="28">
        <f t="shared" si="26"/>
        <v>437873.24876602611</v>
      </c>
    </row>
    <row r="151" spans="1:13" s="19" customFormat="1" ht="10" x14ac:dyDescent="0.2">
      <c r="A151" s="27" t="s">
        <v>198</v>
      </c>
      <c r="B151" s="28">
        <v>87895.16</v>
      </c>
      <c r="C151" s="28">
        <v>0</v>
      </c>
      <c r="D151" s="28">
        <v>149707.35320434588</v>
      </c>
      <c r="E151" s="28">
        <v>0</v>
      </c>
      <c r="F151" s="28">
        <v>9429.5341235613269</v>
      </c>
      <c r="G151" s="28">
        <v>0</v>
      </c>
      <c r="H151" s="28">
        <v>0</v>
      </c>
      <c r="I151" s="28">
        <v>11064.808600455281</v>
      </c>
      <c r="J151" s="29"/>
      <c r="K151" s="28">
        <f t="shared" si="25"/>
        <v>170201.69592836249</v>
      </c>
      <c r="L151" s="29"/>
      <c r="M151" s="28">
        <f t="shared" si="26"/>
        <v>258096.85592836249</v>
      </c>
    </row>
    <row r="152" spans="1:13" s="19" customFormat="1" ht="10" x14ac:dyDescent="0.2">
      <c r="A152" s="27" t="s">
        <v>199</v>
      </c>
      <c r="B152" s="28">
        <v>0</v>
      </c>
      <c r="C152" s="28">
        <v>0</v>
      </c>
      <c r="D152" s="28">
        <v>27908.509217147755</v>
      </c>
      <c r="E152" s="28">
        <v>0</v>
      </c>
      <c r="F152" s="28">
        <v>6566.2977281429821</v>
      </c>
      <c r="G152" s="28">
        <v>11788.298983846862</v>
      </c>
      <c r="H152" s="28">
        <v>0</v>
      </c>
      <c r="I152" s="28">
        <v>56463.70377067454</v>
      </c>
      <c r="J152" s="29"/>
      <c r="K152" s="28">
        <f t="shared" si="25"/>
        <v>102726.80969981215</v>
      </c>
      <c r="L152" s="29"/>
      <c r="M152" s="28">
        <f t="shared" si="26"/>
        <v>102726.80969981215</v>
      </c>
    </row>
    <row r="153" spans="1:13" s="19" customFormat="1" ht="10.5" x14ac:dyDescent="0.25">
      <c r="A153" s="34" t="s">
        <v>200</v>
      </c>
      <c r="B153" s="23"/>
      <c r="C153" s="23"/>
      <c r="D153" s="23"/>
      <c r="E153" s="23"/>
      <c r="F153" s="23"/>
      <c r="G153" s="23"/>
      <c r="H153" s="23"/>
      <c r="I153" s="23"/>
      <c r="J153" s="24"/>
      <c r="K153" s="23">
        <f t="shared" si="25"/>
        <v>0</v>
      </c>
      <c r="L153" s="24"/>
      <c r="M153" s="23">
        <f t="shared" si="26"/>
        <v>0</v>
      </c>
    </row>
    <row r="154" spans="1:13" s="19" customFormat="1" ht="10" x14ac:dyDescent="0.2">
      <c r="A154" s="35" t="s">
        <v>201</v>
      </c>
      <c r="B154" s="28">
        <v>0</v>
      </c>
      <c r="C154" s="28">
        <v>0</v>
      </c>
      <c r="D154" s="28">
        <v>108985.74634038717</v>
      </c>
      <c r="E154" s="28">
        <v>0</v>
      </c>
      <c r="F154" s="28">
        <v>0</v>
      </c>
      <c r="G154" s="28">
        <v>0</v>
      </c>
      <c r="H154" s="28">
        <v>0</v>
      </c>
      <c r="I154" s="28">
        <v>0</v>
      </c>
      <c r="J154" s="29"/>
      <c r="K154" s="28">
        <f t="shared" si="25"/>
        <v>108985.74634038717</v>
      </c>
      <c r="L154" s="29"/>
      <c r="M154" s="28">
        <f t="shared" si="26"/>
        <v>108985.74634038717</v>
      </c>
    </row>
    <row r="155" spans="1:13" s="19" customFormat="1" ht="10" x14ac:dyDescent="0.2">
      <c r="A155" s="35" t="s">
        <v>202</v>
      </c>
      <c r="B155" s="28">
        <v>0</v>
      </c>
      <c r="C155" s="28">
        <v>0</v>
      </c>
      <c r="D155" s="28">
        <v>0</v>
      </c>
      <c r="E155" s="28">
        <v>0</v>
      </c>
      <c r="F155" s="28">
        <v>30.815631614654119</v>
      </c>
      <c r="G155" s="28">
        <v>0</v>
      </c>
      <c r="H155" s="28">
        <v>0</v>
      </c>
      <c r="I155" s="28">
        <v>0</v>
      </c>
      <c r="J155" s="29"/>
      <c r="K155" s="28">
        <f t="shared" si="25"/>
        <v>30.815631614654119</v>
      </c>
      <c r="L155" s="29"/>
      <c r="M155" s="28">
        <f t="shared" si="26"/>
        <v>30.815631614654119</v>
      </c>
    </row>
    <row r="156" spans="1:13" s="19" customFormat="1" ht="10.5" x14ac:dyDescent="0.25">
      <c r="A156" s="39" t="s">
        <v>203</v>
      </c>
      <c r="B156" s="31">
        <f t="shared" ref="B156:L156" si="27">SUM(B154:B155)</f>
        <v>0</v>
      </c>
      <c r="C156" s="31">
        <f t="shared" si="27"/>
        <v>0</v>
      </c>
      <c r="D156" s="31">
        <f t="shared" si="27"/>
        <v>108985.74634038717</v>
      </c>
      <c r="E156" s="31">
        <f t="shared" si="27"/>
        <v>0</v>
      </c>
      <c r="F156" s="31">
        <f t="shared" si="27"/>
        <v>30.815631614654119</v>
      </c>
      <c r="G156" s="31">
        <f t="shared" si="27"/>
        <v>0</v>
      </c>
      <c r="H156" s="31">
        <f t="shared" si="27"/>
        <v>0</v>
      </c>
      <c r="I156" s="31">
        <f t="shared" si="27"/>
        <v>0</v>
      </c>
      <c r="J156" s="32">
        <f t="shared" si="27"/>
        <v>0</v>
      </c>
      <c r="K156" s="31">
        <f t="shared" si="25"/>
        <v>109016.56197200181</v>
      </c>
      <c r="L156" s="32">
        <f t="shared" si="27"/>
        <v>0</v>
      </c>
      <c r="M156" s="31">
        <f t="shared" si="26"/>
        <v>109016.56197200181</v>
      </c>
    </row>
    <row r="157" spans="1:13" s="19" customFormat="1" ht="10.5" x14ac:dyDescent="0.25">
      <c r="A157" s="34" t="s">
        <v>204</v>
      </c>
      <c r="B157" s="23"/>
      <c r="C157" s="23"/>
      <c r="D157" s="23"/>
      <c r="E157" s="23"/>
      <c r="F157" s="23"/>
      <c r="G157" s="23"/>
      <c r="H157" s="23"/>
      <c r="I157" s="23"/>
      <c r="J157" s="24"/>
      <c r="K157" s="23">
        <f t="shared" si="25"/>
        <v>0</v>
      </c>
      <c r="L157" s="24"/>
      <c r="M157" s="23">
        <f t="shared" si="26"/>
        <v>0</v>
      </c>
    </row>
    <row r="158" spans="1:13" s="19" customFormat="1" ht="10" x14ac:dyDescent="0.2">
      <c r="A158" s="35" t="s">
        <v>205</v>
      </c>
      <c r="B158" s="28">
        <v>0</v>
      </c>
      <c r="C158" s="28">
        <v>0</v>
      </c>
      <c r="D158" s="28">
        <v>559157.63096578349</v>
      </c>
      <c r="E158" s="28">
        <v>0</v>
      </c>
      <c r="F158" s="28">
        <v>0</v>
      </c>
      <c r="G158" s="28">
        <v>0</v>
      </c>
      <c r="H158" s="28">
        <v>0</v>
      </c>
      <c r="I158" s="28">
        <v>-9034.6877735282214</v>
      </c>
      <c r="J158" s="29"/>
      <c r="K158" s="28">
        <f t="shared" si="25"/>
        <v>550122.94319225522</v>
      </c>
      <c r="L158" s="29"/>
      <c r="M158" s="28">
        <f t="shared" si="26"/>
        <v>550122.94319225522</v>
      </c>
    </row>
    <row r="159" spans="1:13" s="19" customFormat="1" ht="10" x14ac:dyDescent="0.2">
      <c r="A159" s="35" t="s">
        <v>206</v>
      </c>
      <c r="B159" s="28">
        <v>0</v>
      </c>
      <c r="C159" s="28">
        <v>0</v>
      </c>
      <c r="D159" s="28">
        <v>218768.03546236403</v>
      </c>
      <c r="E159" s="28">
        <v>0</v>
      </c>
      <c r="F159" s="28">
        <v>1559.6075374272448</v>
      </c>
      <c r="G159" s="28">
        <v>0</v>
      </c>
      <c r="H159" s="28">
        <v>0</v>
      </c>
      <c r="I159" s="28">
        <v>73918.976850147941</v>
      </c>
      <c r="J159" s="29"/>
      <c r="K159" s="28">
        <f t="shared" si="25"/>
        <v>294246.61984993925</v>
      </c>
      <c r="L159" s="29"/>
      <c r="M159" s="28">
        <f t="shared" si="26"/>
        <v>294246.61984993925</v>
      </c>
    </row>
    <row r="160" spans="1:13" s="19" customFormat="1" ht="10.5" x14ac:dyDescent="0.25">
      <c r="A160" s="39" t="s">
        <v>207</v>
      </c>
      <c r="B160" s="31">
        <f t="shared" ref="B160:L160" si="28">SUM(B158:B159)</f>
        <v>0</v>
      </c>
      <c r="C160" s="31">
        <f t="shared" si="28"/>
        <v>0</v>
      </c>
      <c r="D160" s="31">
        <f t="shared" si="28"/>
        <v>777925.66642814758</v>
      </c>
      <c r="E160" s="31">
        <f t="shared" si="28"/>
        <v>0</v>
      </c>
      <c r="F160" s="31">
        <f t="shared" si="28"/>
        <v>1559.6075374272448</v>
      </c>
      <c r="G160" s="31">
        <f t="shared" si="28"/>
        <v>0</v>
      </c>
      <c r="H160" s="31">
        <f t="shared" si="28"/>
        <v>0</v>
      </c>
      <c r="I160" s="31">
        <f t="shared" si="28"/>
        <v>64884.289076619723</v>
      </c>
      <c r="J160" s="32">
        <f t="shared" si="28"/>
        <v>0</v>
      </c>
      <c r="K160" s="31">
        <f t="shared" si="25"/>
        <v>844369.56304219458</v>
      </c>
      <c r="L160" s="32">
        <f t="shared" si="28"/>
        <v>0</v>
      </c>
      <c r="M160" s="31">
        <f t="shared" si="26"/>
        <v>844369.56304219458</v>
      </c>
    </row>
    <row r="161" spans="1:13" s="19" customFormat="1" ht="10.5" x14ac:dyDescent="0.25">
      <c r="A161" s="30" t="s">
        <v>208</v>
      </c>
      <c r="B161" s="31">
        <f t="shared" ref="B161:L161" si="29">SUM(B137:B152,B156,B160)</f>
        <v>87895.16</v>
      </c>
      <c r="C161" s="31">
        <f t="shared" si="29"/>
        <v>0</v>
      </c>
      <c r="D161" s="31">
        <f t="shared" si="29"/>
        <v>1910119.8925073061</v>
      </c>
      <c r="E161" s="31">
        <f t="shared" si="29"/>
        <v>0</v>
      </c>
      <c r="F161" s="31">
        <f t="shared" si="29"/>
        <v>68829.792590340687</v>
      </c>
      <c r="G161" s="31">
        <f t="shared" si="29"/>
        <v>21174.571146489143</v>
      </c>
      <c r="H161" s="31">
        <f t="shared" si="29"/>
        <v>0</v>
      </c>
      <c r="I161" s="31">
        <f t="shared" si="29"/>
        <v>604361.62982517923</v>
      </c>
      <c r="J161" s="32">
        <f t="shared" si="29"/>
        <v>-347622.91367801721</v>
      </c>
      <c r="K161" s="31">
        <f t="shared" si="25"/>
        <v>2256862.972391298</v>
      </c>
      <c r="L161" s="32">
        <f t="shared" si="29"/>
        <v>0</v>
      </c>
      <c r="M161" s="31">
        <f t="shared" si="26"/>
        <v>2344758.1323912982</v>
      </c>
    </row>
    <row r="162" spans="1:13" s="19" customFormat="1" ht="10.5" x14ac:dyDescent="0.25">
      <c r="A162" s="30" t="s">
        <v>252</v>
      </c>
      <c r="B162" s="31"/>
      <c r="C162" s="31"/>
      <c r="D162" s="31"/>
      <c r="E162" s="31"/>
      <c r="F162" s="31"/>
      <c r="G162" s="31"/>
      <c r="H162" s="31"/>
      <c r="I162" s="31"/>
      <c r="J162" s="32"/>
      <c r="K162" s="31">
        <v>0</v>
      </c>
      <c r="L162" s="32">
        <v>0</v>
      </c>
      <c r="M162" s="31">
        <v>0</v>
      </c>
    </row>
    <row r="163" spans="1:13" s="19" customFormat="1" ht="10.5" x14ac:dyDescent="0.25">
      <c r="A163" s="33" t="s">
        <v>235</v>
      </c>
      <c r="B163" s="31">
        <f t="shared" ref="B163:L163" si="30">SUM(B135,B161)+ B162</f>
        <v>910769.38</v>
      </c>
      <c r="C163" s="31">
        <f t="shared" si="30"/>
        <v>1567.70235</v>
      </c>
      <c r="D163" s="31">
        <f t="shared" si="30"/>
        <v>4846300.4741166914</v>
      </c>
      <c r="E163" s="31">
        <f t="shared" si="30"/>
        <v>10550.209923459288</v>
      </c>
      <c r="F163" s="31">
        <f t="shared" si="30"/>
        <v>207592.63596403974</v>
      </c>
      <c r="G163" s="31">
        <f t="shared" si="30"/>
        <v>147714.17261630096</v>
      </c>
      <c r="H163" s="31">
        <f t="shared" si="30"/>
        <v>5.5918942619270391</v>
      </c>
      <c r="I163" s="31">
        <f t="shared" si="30"/>
        <v>963991.36341034062</v>
      </c>
      <c r="J163" s="32">
        <f t="shared" si="30"/>
        <v>-347622.91367801721</v>
      </c>
      <c r="K163" s="31">
        <f t="shared" si="25"/>
        <v>5828531.5342470761</v>
      </c>
      <c r="L163" s="32">
        <f t="shared" si="30"/>
        <v>0</v>
      </c>
      <c r="M163" s="31">
        <f t="shared" si="26"/>
        <v>6740868.6165970759</v>
      </c>
    </row>
    <row r="164" spans="1:13" s="19" customFormat="1" ht="10.5" x14ac:dyDescent="0.2">
      <c r="A164" s="43" t="s">
        <v>59</v>
      </c>
      <c r="B164" s="41">
        <f t="shared" ref="B164:L164" si="31">B38-B163</f>
        <v>-910769.38</v>
      </c>
      <c r="C164" s="41">
        <f t="shared" si="31"/>
        <v>-1567.70235</v>
      </c>
      <c r="D164" s="41">
        <f t="shared" si="31"/>
        <v>-444292.08041933551</v>
      </c>
      <c r="E164" s="41">
        <f t="shared" si="31"/>
        <v>-10550.209923459288</v>
      </c>
      <c r="F164" s="41">
        <f t="shared" si="31"/>
        <v>-54214.294874735264</v>
      </c>
      <c r="G164" s="41">
        <f t="shared" si="31"/>
        <v>-147946.24949521516</v>
      </c>
      <c r="H164" s="41">
        <f t="shared" si="31"/>
        <v>-5.5918942619270391</v>
      </c>
      <c r="I164" s="41">
        <f t="shared" si="31"/>
        <v>-616368.44973232341</v>
      </c>
      <c r="J164" s="42">
        <f t="shared" si="31"/>
        <v>-117434.62120175653</v>
      </c>
      <c r="K164" s="41">
        <f t="shared" si="25"/>
        <v>-1390811.4975410867</v>
      </c>
      <c r="L164" s="42">
        <f t="shared" si="31"/>
        <v>0</v>
      </c>
      <c r="M164" s="41">
        <f t="shared" si="26"/>
        <v>-2303148.5798910866</v>
      </c>
    </row>
    <row r="165" spans="1:13" s="19" customFormat="1" ht="10.5" x14ac:dyDescent="0.2">
      <c r="A165" s="22" t="s">
        <v>236</v>
      </c>
      <c r="B165" s="23"/>
      <c r="C165" s="23"/>
      <c r="D165" s="23"/>
      <c r="E165" s="23"/>
      <c r="F165" s="23"/>
      <c r="G165" s="23"/>
      <c r="H165" s="23"/>
      <c r="I165" s="23"/>
      <c r="J165" s="24"/>
      <c r="K165" s="23">
        <f t="shared" si="25"/>
        <v>0</v>
      </c>
      <c r="L165" s="24"/>
      <c r="M165" s="23">
        <f t="shared" si="26"/>
        <v>0</v>
      </c>
    </row>
    <row r="166" spans="1:13" s="19" customFormat="1" ht="10.5" x14ac:dyDescent="0.25">
      <c r="A166" s="25" t="s">
        <v>209</v>
      </c>
      <c r="B166" s="23"/>
      <c r="C166" s="23"/>
      <c r="D166" s="23"/>
      <c r="E166" s="23"/>
      <c r="F166" s="23"/>
      <c r="G166" s="23"/>
      <c r="H166" s="23"/>
      <c r="I166" s="23"/>
      <c r="J166" s="24"/>
      <c r="K166" s="23">
        <f t="shared" si="25"/>
        <v>0</v>
      </c>
      <c r="L166" s="24"/>
      <c r="M166" s="23">
        <f t="shared" si="26"/>
        <v>0</v>
      </c>
    </row>
    <row r="167" spans="1:13" s="19" customFormat="1" ht="10.5" x14ac:dyDescent="0.25">
      <c r="A167" s="26" t="s">
        <v>210</v>
      </c>
      <c r="B167" s="23"/>
      <c r="C167" s="23"/>
      <c r="D167" s="23"/>
      <c r="E167" s="23"/>
      <c r="F167" s="23"/>
      <c r="G167" s="23"/>
      <c r="H167" s="23"/>
      <c r="I167" s="23"/>
      <c r="J167" s="24"/>
      <c r="K167" s="23">
        <f t="shared" si="25"/>
        <v>0</v>
      </c>
      <c r="L167" s="24"/>
      <c r="M167" s="23">
        <f t="shared" si="26"/>
        <v>0</v>
      </c>
    </row>
    <row r="168" spans="1:13" s="19" customFormat="1" ht="10" x14ac:dyDescent="0.2">
      <c r="A168" s="27" t="s">
        <v>211</v>
      </c>
      <c r="B168" s="28">
        <v>30.29</v>
      </c>
      <c r="C168" s="28">
        <v>0</v>
      </c>
      <c r="D168" s="28">
        <v>0</v>
      </c>
      <c r="E168" s="28">
        <v>0</v>
      </c>
      <c r="F168" s="28">
        <v>0</v>
      </c>
      <c r="G168" s="28">
        <v>7.2241794890296002E-2</v>
      </c>
      <c r="H168" s="28">
        <v>0</v>
      </c>
      <c r="I168" s="28">
        <v>0</v>
      </c>
      <c r="J168" s="29"/>
      <c r="K168" s="28">
        <f t="shared" si="25"/>
        <v>7.2241794890296002E-2</v>
      </c>
      <c r="L168" s="29"/>
      <c r="M168" s="28">
        <f t="shared" si="26"/>
        <v>30.362241794890295</v>
      </c>
    </row>
    <row r="169" spans="1:13" s="19" customFormat="1" ht="10" x14ac:dyDescent="0.2">
      <c r="A169" s="27" t="s">
        <v>212</v>
      </c>
      <c r="B169" s="28">
        <v>0</v>
      </c>
      <c r="C169" s="28">
        <v>0</v>
      </c>
      <c r="D169" s="28">
        <v>0</v>
      </c>
      <c r="E169" s="28">
        <v>0</v>
      </c>
      <c r="F169" s="28">
        <v>0</v>
      </c>
      <c r="G169" s="28">
        <v>165.63898630593241</v>
      </c>
      <c r="H169" s="28">
        <v>0</v>
      </c>
      <c r="I169" s="28">
        <v>0</v>
      </c>
      <c r="J169" s="29"/>
      <c r="K169" s="28">
        <f t="shared" si="25"/>
        <v>165.63898630593241</v>
      </c>
      <c r="L169" s="29"/>
      <c r="M169" s="28">
        <f t="shared" si="26"/>
        <v>165.63898630593241</v>
      </c>
    </row>
    <row r="170" spans="1:13" s="19" customFormat="1" ht="10.5" x14ac:dyDescent="0.25">
      <c r="A170" s="30" t="s">
        <v>213</v>
      </c>
      <c r="B170" s="31">
        <f t="shared" ref="B170:L170" si="32">SUM(B168:B169)</f>
        <v>30.29</v>
      </c>
      <c r="C170" s="31">
        <f t="shared" si="32"/>
        <v>0</v>
      </c>
      <c r="D170" s="31">
        <f t="shared" si="32"/>
        <v>0</v>
      </c>
      <c r="E170" s="31">
        <f t="shared" si="32"/>
        <v>0</v>
      </c>
      <c r="F170" s="31">
        <f t="shared" si="32"/>
        <v>0</v>
      </c>
      <c r="G170" s="31">
        <f t="shared" si="32"/>
        <v>165.71122810082269</v>
      </c>
      <c r="H170" s="31">
        <f t="shared" si="32"/>
        <v>0</v>
      </c>
      <c r="I170" s="31">
        <f t="shared" si="32"/>
        <v>0</v>
      </c>
      <c r="J170" s="32">
        <f t="shared" si="32"/>
        <v>0</v>
      </c>
      <c r="K170" s="31">
        <f t="shared" si="25"/>
        <v>165.71122810082269</v>
      </c>
      <c r="L170" s="32">
        <f t="shared" si="32"/>
        <v>0</v>
      </c>
      <c r="M170" s="31">
        <f t="shared" si="26"/>
        <v>196.00122810082269</v>
      </c>
    </row>
    <row r="171" spans="1:13" s="19" customFormat="1" ht="10.5" x14ac:dyDescent="0.25">
      <c r="A171" s="33" t="s">
        <v>214</v>
      </c>
      <c r="B171" s="31">
        <f t="shared" ref="B171:L171" si="33">SUM(B170)</f>
        <v>30.29</v>
      </c>
      <c r="C171" s="31">
        <f t="shared" si="33"/>
        <v>0</v>
      </c>
      <c r="D171" s="31">
        <f t="shared" si="33"/>
        <v>0</v>
      </c>
      <c r="E171" s="31">
        <f t="shared" si="33"/>
        <v>0</v>
      </c>
      <c r="F171" s="31">
        <f t="shared" si="33"/>
        <v>0</v>
      </c>
      <c r="G171" s="31">
        <f t="shared" si="33"/>
        <v>165.71122810082269</v>
      </c>
      <c r="H171" s="31">
        <f t="shared" si="33"/>
        <v>0</v>
      </c>
      <c r="I171" s="31">
        <f t="shared" si="33"/>
        <v>0</v>
      </c>
      <c r="J171" s="32">
        <f t="shared" si="33"/>
        <v>0</v>
      </c>
      <c r="K171" s="31">
        <f t="shared" si="25"/>
        <v>165.71122810082269</v>
      </c>
      <c r="L171" s="32">
        <f t="shared" si="33"/>
        <v>0</v>
      </c>
      <c r="M171" s="31">
        <f t="shared" si="26"/>
        <v>196.00122810082269</v>
      </c>
    </row>
    <row r="172" spans="1:13" s="19" customFormat="1" ht="10.5" x14ac:dyDescent="0.25">
      <c r="A172" s="25" t="s">
        <v>237</v>
      </c>
      <c r="B172" s="23"/>
      <c r="C172" s="23"/>
      <c r="D172" s="23"/>
      <c r="E172" s="23"/>
      <c r="F172" s="23"/>
      <c r="G172" s="23"/>
      <c r="H172" s="23"/>
      <c r="I172" s="23"/>
      <c r="J172" s="24"/>
      <c r="K172" s="23">
        <f t="shared" si="25"/>
        <v>0</v>
      </c>
      <c r="L172" s="24"/>
      <c r="M172" s="23">
        <f t="shared" si="26"/>
        <v>0</v>
      </c>
    </row>
    <row r="173" spans="1:13" s="19" customFormat="1" ht="10" x14ac:dyDescent="0.2">
      <c r="A173" s="44" t="s">
        <v>215</v>
      </c>
      <c r="B173" s="28">
        <v>0</v>
      </c>
      <c r="C173" s="28">
        <v>0</v>
      </c>
      <c r="D173" s="28">
        <v>0</v>
      </c>
      <c r="E173" s="28">
        <v>0</v>
      </c>
      <c r="F173" s="28">
        <v>0</v>
      </c>
      <c r="G173" s="28">
        <v>1702.830456095872</v>
      </c>
      <c r="H173" s="28">
        <v>0</v>
      </c>
      <c r="I173" s="28">
        <v>0</v>
      </c>
      <c r="J173" s="29"/>
      <c r="K173" s="28">
        <f t="shared" si="25"/>
        <v>1702.830456095872</v>
      </c>
      <c r="L173" s="29"/>
      <c r="M173" s="28">
        <f t="shared" si="26"/>
        <v>1702.830456095872</v>
      </c>
    </row>
    <row r="174" spans="1:13" s="19" customFormat="1" ht="10.5" x14ac:dyDescent="0.25">
      <c r="A174" s="26" t="s">
        <v>216</v>
      </c>
      <c r="B174" s="23"/>
      <c r="C174" s="23"/>
      <c r="D174" s="23"/>
      <c r="E174" s="23"/>
      <c r="F174" s="23"/>
      <c r="G174" s="23"/>
      <c r="H174" s="23"/>
      <c r="I174" s="23"/>
      <c r="J174" s="24"/>
      <c r="K174" s="23">
        <f t="shared" si="25"/>
        <v>0</v>
      </c>
      <c r="L174" s="24"/>
      <c r="M174" s="23">
        <f t="shared" si="26"/>
        <v>0</v>
      </c>
    </row>
    <row r="175" spans="1:13" s="19" customFormat="1" ht="10" x14ac:dyDescent="0.2">
      <c r="A175" s="27" t="s">
        <v>217</v>
      </c>
      <c r="B175" s="28">
        <v>0</v>
      </c>
      <c r="C175" s="28">
        <v>0</v>
      </c>
      <c r="D175" s="28">
        <v>0</v>
      </c>
      <c r="E175" s="28">
        <v>0</v>
      </c>
      <c r="F175" s="28">
        <v>0</v>
      </c>
      <c r="G175" s="28">
        <v>405.95228578186862</v>
      </c>
      <c r="H175" s="28">
        <v>0</v>
      </c>
      <c r="I175" s="28">
        <v>0</v>
      </c>
      <c r="J175" s="29"/>
      <c r="K175" s="28">
        <f t="shared" si="25"/>
        <v>405.95228578186862</v>
      </c>
      <c r="L175" s="29"/>
      <c r="M175" s="28">
        <f t="shared" si="26"/>
        <v>405.95228578186862</v>
      </c>
    </row>
    <row r="176" spans="1:13" s="19" customFormat="1" ht="10.5" x14ac:dyDescent="0.25">
      <c r="A176" s="30" t="s">
        <v>218</v>
      </c>
      <c r="B176" s="31">
        <f t="shared" ref="B176:L176" si="34">SUM(B175)</f>
        <v>0</v>
      </c>
      <c r="C176" s="31">
        <f t="shared" si="34"/>
        <v>0</v>
      </c>
      <c r="D176" s="31">
        <f t="shared" si="34"/>
        <v>0</v>
      </c>
      <c r="E176" s="31">
        <f t="shared" si="34"/>
        <v>0</v>
      </c>
      <c r="F176" s="31">
        <f t="shared" si="34"/>
        <v>0</v>
      </c>
      <c r="G176" s="31">
        <f t="shared" si="34"/>
        <v>405.95228578186862</v>
      </c>
      <c r="H176" s="31">
        <f t="shared" si="34"/>
        <v>0</v>
      </c>
      <c r="I176" s="31">
        <f t="shared" si="34"/>
        <v>0</v>
      </c>
      <c r="J176" s="32">
        <f t="shared" si="34"/>
        <v>0</v>
      </c>
      <c r="K176" s="31">
        <f t="shared" si="25"/>
        <v>405.95228578186862</v>
      </c>
      <c r="L176" s="32">
        <f t="shared" si="34"/>
        <v>0</v>
      </c>
      <c r="M176" s="31">
        <f t="shared" si="26"/>
        <v>405.95228578186862</v>
      </c>
    </row>
    <row r="177" spans="1:13" s="19" customFormat="1" ht="10" x14ac:dyDescent="0.2">
      <c r="A177" s="44" t="s">
        <v>219</v>
      </c>
      <c r="B177" s="28">
        <v>-0.01</v>
      </c>
      <c r="C177" s="28">
        <v>0</v>
      </c>
      <c r="D177" s="28">
        <v>3.1494096152383229</v>
      </c>
      <c r="E177" s="28">
        <v>0</v>
      </c>
      <c r="F177" s="28">
        <v>2.3762830176017019E-2</v>
      </c>
      <c r="G177" s="28">
        <v>-1.3870329566200001E-4</v>
      </c>
      <c r="H177" s="28">
        <v>0</v>
      </c>
      <c r="I177" s="28">
        <v>0</v>
      </c>
      <c r="J177" s="29"/>
      <c r="K177" s="28">
        <f t="shared" si="25"/>
        <v>3.1730337421186778</v>
      </c>
      <c r="L177" s="29"/>
      <c r="M177" s="28">
        <f t="shared" si="26"/>
        <v>3.163033742118678</v>
      </c>
    </row>
    <row r="178" spans="1:13" s="19" customFormat="1" ht="10" x14ac:dyDescent="0.2">
      <c r="A178" s="44" t="s">
        <v>220</v>
      </c>
      <c r="B178" s="28">
        <v>279.01</v>
      </c>
      <c r="C178" s="28">
        <v>0</v>
      </c>
      <c r="D178" s="28">
        <v>26313.34686127778</v>
      </c>
      <c r="E178" s="28">
        <v>0</v>
      </c>
      <c r="F178" s="28">
        <v>-701.39738465745165</v>
      </c>
      <c r="G178" s="28">
        <v>0</v>
      </c>
      <c r="H178" s="28">
        <v>0</v>
      </c>
      <c r="I178" s="28">
        <v>0</v>
      </c>
      <c r="J178" s="29"/>
      <c r="K178" s="28">
        <f t="shared" si="25"/>
        <v>25611.949476620328</v>
      </c>
      <c r="L178" s="29"/>
      <c r="M178" s="28">
        <f t="shared" si="26"/>
        <v>25890.959476620326</v>
      </c>
    </row>
    <row r="179" spans="1:13" s="19" customFormat="1" ht="10.5" x14ac:dyDescent="0.25">
      <c r="A179" s="33" t="s">
        <v>238</v>
      </c>
      <c r="B179" s="31">
        <f t="shared" ref="B179:L179" si="35">SUM(B173,B176:B178)</f>
        <v>279</v>
      </c>
      <c r="C179" s="31">
        <f t="shared" si="35"/>
        <v>0</v>
      </c>
      <c r="D179" s="31">
        <f t="shared" si="35"/>
        <v>26316.496270893018</v>
      </c>
      <c r="E179" s="31">
        <f t="shared" si="35"/>
        <v>0</v>
      </c>
      <c r="F179" s="31">
        <f t="shared" si="35"/>
        <v>-701.37362182727566</v>
      </c>
      <c r="G179" s="31">
        <f t="shared" si="35"/>
        <v>2108.7826031744448</v>
      </c>
      <c r="H179" s="31">
        <f t="shared" si="35"/>
        <v>0</v>
      </c>
      <c r="I179" s="31">
        <f t="shared" si="35"/>
        <v>0</v>
      </c>
      <c r="J179" s="32">
        <f t="shared" si="35"/>
        <v>0</v>
      </c>
      <c r="K179" s="31">
        <f t="shared" si="25"/>
        <v>27723.905252240187</v>
      </c>
      <c r="L179" s="32">
        <f t="shared" si="35"/>
        <v>0</v>
      </c>
      <c r="M179" s="31">
        <f t="shared" si="26"/>
        <v>28002.905252240187</v>
      </c>
    </row>
    <row r="180" spans="1:13" s="19" customFormat="1" ht="10.5" x14ac:dyDescent="0.2">
      <c r="A180" s="43" t="s">
        <v>239</v>
      </c>
      <c r="B180" s="41">
        <f t="shared" ref="B180:L180" si="36">B171-B179</f>
        <v>-248.71</v>
      </c>
      <c r="C180" s="41">
        <f t="shared" si="36"/>
        <v>0</v>
      </c>
      <c r="D180" s="41">
        <f t="shared" si="36"/>
        <v>-26316.496270893018</v>
      </c>
      <c r="E180" s="41">
        <f t="shared" si="36"/>
        <v>0</v>
      </c>
      <c r="F180" s="41">
        <f t="shared" si="36"/>
        <v>701.37362182727566</v>
      </c>
      <c r="G180" s="41">
        <f t="shared" si="36"/>
        <v>-1943.0713750736222</v>
      </c>
      <c r="H180" s="41">
        <f t="shared" si="36"/>
        <v>0</v>
      </c>
      <c r="I180" s="41">
        <f t="shared" si="36"/>
        <v>0</v>
      </c>
      <c r="J180" s="42">
        <f t="shared" si="36"/>
        <v>0</v>
      </c>
      <c r="K180" s="41">
        <f t="shared" si="25"/>
        <v>-27558.194024139364</v>
      </c>
      <c r="L180" s="42">
        <f t="shared" si="36"/>
        <v>0</v>
      </c>
      <c r="M180" s="41">
        <f t="shared" si="26"/>
        <v>-27806.904024139363</v>
      </c>
    </row>
    <row r="181" spans="1:13" s="19" customFormat="1" ht="10.5" x14ac:dyDescent="0.2">
      <c r="A181" s="43" t="s">
        <v>60</v>
      </c>
      <c r="B181" s="41">
        <f t="shared" ref="B181:L181" si="37">B164+B180</f>
        <v>-911018.09</v>
      </c>
      <c r="C181" s="41">
        <f t="shared" si="37"/>
        <v>-1567.70235</v>
      </c>
      <c r="D181" s="41">
        <f t="shared" si="37"/>
        <v>-470608.57669022854</v>
      </c>
      <c r="E181" s="41">
        <f t="shared" si="37"/>
        <v>-10550.209923459288</v>
      </c>
      <c r="F181" s="41">
        <f t="shared" si="37"/>
        <v>-53512.921252907989</v>
      </c>
      <c r="G181" s="41">
        <f t="shared" si="37"/>
        <v>-149889.32087028879</v>
      </c>
      <c r="H181" s="41">
        <f t="shared" si="37"/>
        <v>-5.5918942619270391</v>
      </c>
      <c r="I181" s="41">
        <f t="shared" si="37"/>
        <v>-616368.44973232341</v>
      </c>
      <c r="J181" s="42">
        <f t="shared" si="37"/>
        <v>-117434.62120175653</v>
      </c>
      <c r="K181" s="41">
        <f t="shared" si="25"/>
        <v>-1418369.6915652263</v>
      </c>
      <c r="L181" s="42">
        <f t="shared" si="37"/>
        <v>0</v>
      </c>
      <c r="M181" s="41">
        <f t="shared" si="26"/>
        <v>-2330955.4839152261</v>
      </c>
    </row>
  </sheetData>
  <mergeCells count="12">
    <mergeCell ref="B7:M7"/>
    <mergeCell ref="B8:B10"/>
    <mergeCell ref="D8:K8"/>
    <mergeCell ref="C9:C10"/>
    <mergeCell ref="D9:D10"/>
    <mergeCell ref="M9:M10"/>
    <mergeCell ref="A1:M1"/>
    <mergeCell ref="A2:M2"/>
    <mergeCell ref="A3:M3"/>
    <mergeCell ref="A4:M4"/>
    <mergeCell ref="A5:M5"/>
    <mergeCell ref="A6:M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557C-E1FC-4E93-B000-67DF27F7DE56}">
  <sheetPr codeName="Sheet4"/>
  <dimension ref="A1:S178"/>
  <sheetViews>
    <sheetView tabSelected="1" workbookViewId="0">
      <selection sqref="A1:S1"/>
    </sheetView>
  </sheetViews>
  <sheetFormatPr defaultRowHeight="10" x14ac:dyDescent="0.2"/>
  <cols>
    <col min="1" max="1" width="41.1796875" style="1" bestFit="1" customWidth="1"/>
    <col min="2" max="2" width="15" style="1" bestFit="1" customWidth="1"/>
    <col min="3" max="3" width="8.1796875" style="1" bestFit="1" customWidth="1"/>
    <col min="4" max="4" width="8.54296875" style="1" bestFit="1" customWidth="1"/>
    <col min="5" max="5" width="10.54296875" style="1" bestFit="1" customWidth="1"/>
    <col min="6" max="6" width="9" style="1" bestFit="1" customWidth="1"/>
    <col min="7" max="7" width="9.36328125" style="1" bestFit="1" customWidth="1"/>
    <col min="8" max="8" width="8.54296875" style="1" bestFit="1" customWidth="1"/>
    <col min="9" max="9" width="7.7265625" style="1" bestFit="1" customWidth="1"/>
    <col min="10" max="10" width="8.81640625" style="1" bestFit="1" customWidth="1"/>
    <col min="11" max="11" width="8.54296875" style="1" bestFit="1" customWidth="1"/>
    <col min="12" max="12" width="11.08984375" style="1" bestFit="1" customWidth="1"/>
    <col min="13" max="13" width="6.54296875" style="1" bestFit="1" customWidth="1"/>
    <col min="14" max="14" width="8.54296875" style="1" bestFit="1" customWidth="1"/>
    <col min="15" max="15" width="9.36328125" style="1" bestFit="1" customWidth="1"/>
    <col min="16" max="17" width="8.54296875" style="1" bestFit="1" customWidth="1"/>
    <col min="18" max="18" width="9.81640625" style="1" bestFit="1" customWidth="1"/>
    <col min="19" max="19" width="11" style="1" bestFit="1" customWidth="1"/>
    <col min="20" max="16384" width="8.7265625" style="1"/>
  </cols>
  <sheetData>
    <row r="1" spans="1:19" ht="15.5" x14ac:dyDescent="0.35">
      <c r="A1" s="58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</row>
    <row r="2" spans="1:19" ht="15.5" x14ac:dyDescent="0.35">
      <c r="A2" s="58" t="s">
        <v>1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</row>
    <row r="3" spans="1:19" ht="18" x14ac:dyDescent="0.4">
      <c r="A3" s="59" t="s">
        <v>61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</row>
    <row r="4" spans="1:19" ht="18" x14ac:dyDescent="0.4">
      <c r="A4" s="59" t="s">
        <v>2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</row>
    <row r="5" spans="1:19" ht="18" x14ac:dyDescent="0.4">
      <c r="A5" s="59" t="s">
        <v>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</row>
    <row r="6" spans="1:19" ht="18" x14ac:dyDescent="0.4">
      <c r="A6" s="59" t="s">
        <v>3</v>
      </c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</row>
    <row r="7" spans="1:19" x14ac:dyDescent="0.2">
      <c r="A7" s="2" t="s">
        <v>4</v>
      </c>
      <c r="B7" s="53" t="s">
        <v>258</v>
      </c>
      <c r="C7" s="53" t="s">
        <v>233</v>
      </c>
      <c r="D7" s="53" t="s">
        <v>32</v>
      </c>
      <c r="E7" s="53" t="s">
        <v>18</v>
      </c>
      <c r="F7" s="53" t="s">
        <v>46</v>
      </c>
      <c r="G7" s="53" t="s">
        <v>23</v>
      </c>
      <c r="H7" s="53" t="s">
        <v>34</v>
      </c>
      <c r="I7" s="53" t="s">
        <v>33</v>
      </c>
      <c r="J7" s="53" t="s">
        <v>25</v>
      </c>
      <c r="K7" s="53" t="s">
        <v>26</v>
      </c>
      <c r="L7" s="53" t="s">
        <v>22</v>
      </c>
      <c r="M7" s="53" t="s">
        <v>43</v>
      </c>
      <c r="N7" s="53" t="s">
        <v>24</v>
      </c>
      <c r="O7" s="53" t="s">
        <v>41</v>
      </c>
      <c r="P7" s="53" t="s">
        <v>40</v>
      </c>
      <c r="Q7" s="53" t="s">
        <v>35</v>
      </c>
      <c r="R7" s="53" t="s">
        <v>20</v>
      </c>
      <c r="S7" s="53" t="s">
        <v>64</v>
      </c>
    </row>
    <row r="8" spans="1:19" x14ac:dyDescent="0.2">
      <c r="A8" s="2" t="s">
        <v>62</v>
      </c>
      <c r="B8" s="53" t="s">
        <v>11</v>
      </c>
      <c r="C8" s="53" t="s">
        <v>11</v>
      </c>
      <c r="D8" s="53" t="s">
        <v>11</v>
      </c>
      <c r="E8" s="53" t="s">
        <v>11</v>
      </c>
      <c r="F8" s="53" t="s">
        <v>11</v>
      </c>
      <c r="G8" s="53" t="s">
        <v>11</v>
      </c>
      <c r="H8" s="53" t="s">
        <v>11</v>
      </c>
      <c r="I8" s="53" t="s">
        <v>11</v>
      </c>
      <c r="J8" s="53" t="s">
        <v>11</v>
      </c>
      <c r="K8" s="53" t="s">
        <v>11</v>
      </c>
      <c r="L8" s="53" t="s">
        <v>11</v>
      </c>
      <c r="M8" s="53" t="s">
        <v>11</v>
      </c>
      <c r="N8" s="53" t="s">
        <v>11</v>
      </c>
      <c r="O8" s="53" t="s">
        <v>11</v>
      </c>
      <c r="P8" s="53" t="s">
        <v>11</v>
      </c>
      <c r="Q8" s="53" t="s">
        <v>11</v>
      </c>
      <c r="R8" s="53" t="s">
        <v>11</v>
      </c>
      <c r="S8" s="53" t="s">
        <v>11</v>
      </c>
    </row>
    <row r="9" spans="1:19" ht="10.5" x14ac:dyDescent="0.2">
      <c r="A9" s="3" t="s">
        <v>12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</row>
    <row r="10" spans="1:19" ht="10.5" x14ac:dyDescent="0.25">
      <c r="A10" s="5" t="s">
        <v>13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:19" ht="10.5" x14ac:dyDescent="0.25">
      <c r="A11" s="6" t="s">
        <v>14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1:19" x14ac:dyDescent="0.2">
      <c r="A12" s="45" t="s">
        <v>15</v>
      </c>
      <c r="B12" s="11">
        <v>310512.5179760051</v>
      </c>
      <c r="C12" s="11">
        <v>0</v>
      </c>
      <c r="D12" s="11">
        <v>15002.439916727559</v>
      </c>
      <c r="E12" s="11">
        <v>5202636.4597296678</v>
      </c>
      <c r="F12" s="11">
        <v>0</v>
      </c>
      <c r="G12" s="50">
        <f>PLperBrand!G12-InternalSalesPerBrand!E2</f>
        <v>295172.73310602043</v>
      </c>
      <c r="H12" s="11">
        <v>28296.563132267082</v>
      </c>
      <c r="I12" s="11">
        <v>1754.5622181529429</v>
      </c>
      <c r="J12" s="11">
        <v>28705.627529309026</v>
      </c>
      <c r="K12" s="11">
        <v>18087.52725616713</v>
      </c>
      <c r="L12" s="50">
        <f>PLperBrand!L12-InternalSalesPerBrand!D2</f>
        <v>314565.85747524217</v>
      </c>
      <c r="M12" s="11">
        <v>546.41180056284645</v>
      </c>
      <c r="N12" s="11">
        <v>32343.963156114423</v>
      </c>
      <c r="O12" s="11">
        <v>39502.277348403091</v>
      </c>
      <c r="P12" s="11">
        <v>54927.169166944492</v>
      </c>
      <c r="Q12" s="11">
        <v>11137.93273862469</v>
      </c>
      <c r="R12" s="50">
        <f>PLperBrand!R12-InternalSalesPerBrand!C2</f>
        <v>408056.38755102269</v>
      </c>
      <c r="S12" s="11">
        <f>SUM(B12:R12)</f>
        <v>6761248.4301012326</v>
      </c>
    </row>
    <row r="13" spans="1:19" x14ac:dyDescent="0.2">
      <c r="A13" s="45" t="s">
        <v>70</v>
      </c>
      <c r="B13" s="11">
        <v>-36033.837079265963</v>
      </c>
      <c r="C13" s="11">
        <v>0</v>
      </c>
      <c r="D13" s="11">
        <v>0</v>
      </c>
      <c r="E13" s="11">
        <v>160649.49380869514</v>
      </c>
      <c r="F13" s="11">
        <v>0</v>
      </c>
      <c r="G13" s="11">
        <v>1372.3016430865728</v>
      </c>
      <c r="H13" s="11">
        <v>0</v>
      </c>
      <c r="I13" s="11">
        <v>0</v>
      </c>
      <c r="J13" s="11">
        <v>0</v>
      </c>
      <c r="K13" s="11">
        <v>0</v>
      </c>
      <c r="L13" s="11">
        <v>184.3075255227827</v>
      </c>
      <c r="M13" s="11">
        <v>0</v>
      </c>
      <c r="N13" s="11">
        <v>0</v>
      </c>
      <c r="O13" s="11">
        <v>187336.46291248311</v>
      </c>
      <c r="P13" s="11">
        <v>0</v>
      </c>
      <c r="Q13" s="11">
        <v>0</v>
      </c>
      <c r="R13" s="11">
        <v>0</v>
      </c>
      <c r="S13" s="11">
        <f>SUM(B13:R13)</f>
        <v>313508.72881052166</v>
      </c>
    </row>
    <row r="14" spans="1:19" x14ac:dyDescent="0.2">
      <c r="A14" s="45" t="s">
        <v>71</v>
      </c>
      <c r="B14" s="11">
        <v>-20725.621418668608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f>SUM(B14:R14)</f>
        <v>-20725.621418668608</v>
      </c>
    </row>
    <row r="15" spans="1:19" x14ac:dyDescent="0.2">
      <c r="A15" s="45" t="s">
        <v>72</v>
      </c>
      <c r="B15" s="11">
        <v>29664.850323166957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f>SUM(B15:R15)</f>
        <v>29664.850323166957</v>
      </c>
    </row>
    <row r="16" spans="1:19" ht="10.5" x14ac:dyDescent="0.25">
      <c r="A16" s="14" t="s">
        <v>56</v>
      </c>
      <c r="B16" s="13">
        <f t="shared" ref="B16:S16" si="0">SUM(B12:B15)</f>
        <v>283417.90980123746</v>
      </c>
      <c r="C16" s="13">
        <f t="shared" si="0"/>
        <v>0</v>
      </c>
      <c r="D16" s="13">
        <f t="shared" si="0"/>
        <v>15002.439916727559</v>
      </c>
      <c r="E16" s="13">
        <f t="shared" si="0"/>
        <v>5363285.9535383629</v>
      </c>
      <c r="F16" s="13">
        <f t="shared" si="0"/>
        <v>0</v>
      </c>
      <c r="G16" s="13">
        <f t="shared" si="0"/>
        <v>296545.03474910703</v>
      </c>
      <c r="H16" s="13">
        <f t="shared" si="0"/>
        <v>28296.563132267082</v>
      </c>
      <c r="I16" s="13">
        <f t="shared" si="0"/>
        <v>1754.5622181529429</v>
      </c>
      <c r="J16" s="13">
        <f t="shared" si="0"/>
        <v>28705.627529309026</v>
      </c>
      <c r="K16" s="13">
        <f t="shared" si="0"/>
        <v>18087.52725616713</v>
      </c>
      <c r="L16" s="13">
        <f t="shared" si="0"/>
        <v>314750.16500076494</v>
      </c>
      <c r="M16" s="13">
        <f t="shared" si="0"/>
        <v>546.41180056284645</v>
      </c>
      <c r="N16" s="13">
        <f t="shared" si="0"/>
        <v>32343.963156114423</v>
      </c>
      <c r="O16" s="13">
        <f t="shared" si="0"/>
        <v>226838.7402608862</v>
      </c>
      <c r="P16" s="13">
        <f t="shared" si="0"/>
        <v>54927.169166944492</v>
      </c>
      <c r="Q16" s="13">
        <f t="shared" si="0"/>
        <v>11137.93273862469</v>
      </c>
      <c r="R16" s="13">
        <f t="shared" si="0"/>
        <v>408056.38755102269</v>
      </c>
      <c r="S16" s="13">
        <f t="shared" si="0"/>
        <v>7083696.3878162522</v>
      </c>
    </row>
    <row r="17" spans="1:19" ht="10.5" x14ac:dyDescent="0.25">
      <c r="A17" s="15" t="s">
        <v>57</v>
      </c>
      <c r="B17" s="13">
        <f t="shared" ref="B17:S17" si="1">SUM(B16)</f>
        <v>283417.90980123746</v>
      </c>
      <c r="C17" s="13">
        <f t="shared" si="1"/>
        <v>0</v>
      </c>
      <c r="D17" s="13">
        <f t="shared" si="1"/>
        <v>15002.439916727559</v>
      </c>
      <c r="E17" s="13">
        <f t="shared" si="1"/>
        <v>5363285.9535383629</v>
      </c>
      <c r="F17" s="13">
        <f t="shared" si="1"/>
        <v>0</v>
      </c>
      <c r="G17" s="13">
        <f t="shared" si="1"/>
        <v>296545.03474910703</v>
      </c>
      <c r="H17" s="13">
        <f t="shared" si="1"/>
        <v>28296.563132267082</v>
      </c>
      <c r="I17" s="13">
        <f t="shared" si="1"/>
        <v>1754.5622181529429</v>
      </c>
      <c r="J17" s="13">
        <f t="shared" si="1"/>
        <v>28705.627529309026</v>
      </c>
      <c r="K17" s="13">
        <f t="shared" si="1"/>
        <v>18087.52725616713</v>
      </c>
      <c r="L17" s="13">
        <f t="shared" si="1"/>
        <v>314750.16500076494</v>
      </c>
      <c r="M17" s="13">
        <f t="shared" si="1"/>
        <v>546.41180056284645</v>
      </c>
      <c r="N17" s="13">
        <f t="shared" si="1"/>
        <v>32343.963156114423</v>
      </c>
      <c r="O17" s="13">
        <f t="shared" si="1"/>
        <v>226838.7402608862</v>
      </c>
      <c r="P17" s="13">
        <f t="shared" si="1"/>
        <v>54927.169166944492</v>
      </c>
      <c r="Q17" s="13">
        <f t="shared" si="1"/>
        <v>11137.93273862469</v>
      </c>
      <c r="R17" s="13">
        <f t="shared" si="1"/>
        <v>408056.38755102269</v>
      </c>
      <c r="S17" s="13">
        <f t="shared" si="1"/>
        <v>7083696.3878162522</v>
      </c>
    </row>
    <row r="18" spans="1:19" ht="10.5" x14ac:dyDescent="0.25">
      <c r="A18" s="5" t="s">
        <v>221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19" ht="10.5" x14ac:dyDescent="0.25">
      <c r="A19" s="6" t="s">
        <v>73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1:19" x14ac:dyDescent="0.2">
      <c r="A20" s="45" t="s">
        <v>74</v>
      </c>
      <c r="B20" s="11">
        <v>98773.890192589373</v>
      </c>
      <c r="C20" s="11">
        <v>0</v>
      </c>
      <c r="D20" s="11">
        <v>11054.646875940618</v>
      </c>
      <c r="E20" s="11">
        <v>1280671.4539904946</v>
      </c>
      <c r="F20" s="11">
        <v>0</v>
      </c>
      <c r="G20" s="50">
        <f>PLperBrand!G20-InternalSalesPerBrand!E3</f>
        <v>144809.20885553811</v>
      </c>
      <c r="H20" s="11">
        <v>15505.579524117104</v>
      </c>
      <c r="I20" s="11">
        <v>1281.550467740796</v>
      </c>
      <c r="J20" s="11">
        <v>13335.735443709331</v>
      </c>
      <c r="K20" s="11">
        <v>13294.439992567599</v>
      </c>
      <c r="L20" s="50">
        <f>PLperBrand!L20-InternalSalesPerBrand!D3</f>
        <v>61396.235444791659</v>
      </c>
      <c r="M20" s="11">
        <v>352.19585803912287</v>
      </c>
      <c r="N20" s="11">
        <v>21090.956869445545</v>
      </c>
      <c r="O20" s="11">
        <v>18530.495315527711</v>
      </c>
      <c r="P20" s="11">
        <v>27813.223759827179</v>
      </c>
      <c r="Q20" s="11">
        <v>6522.9020121077483</v>
      </c>
      <c r="R20" s="50">
        <f>PLperBrand!R20-InternalSalesPerBrand!C3</f>
        <v>203699.71831189544</v>
      </c>
      <c r="S20" s="11">
        <f>SUM(B20:R20)</f>
        <v>1918132.2329143318</v>
      </c>
    </row>
    <row r="21" spans="1:19" x14ac:dyDescent="0.2">
      <c r="A21" s="45" t="s">
        <v>75</v>
      </c>
      <c r="B21" s="11">
        <v>49415.050164174449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f>SUM(B21:R21)</f>
        <v>49415.050164174449</v>
      </c>
    </row>
    <row r="22" spans="1:19" x14ac:dyDescent="0.2">
      <c r="A22" s="45" t="s">
        <v>76</v>
      </c>
      <c r="B22" s="11">
        <v>0</v>
      </c>
      <c r="C22" s="11">
        <v>0</v>
      </c>
      <c r="D22" s="11">
        <v>0</v>
      </c>
      <c r="E22" s="11">
        <v>104730.8704764287</v>
      </c>
      <c r="F22" s="11">
        <v>0</v>
      </c>
      <c r="G22" s="11">
        <v>1607.0641803673848</v>
      </c>
      <c r="H22" s="11">
        <v>0</v>
      </c>
      <c r="I22" s="11">
        <v>0</v>
      </c>
      <c r="J22" s="11">
        <v>0</v>
      </c>
      <c r="K22" s="11">
        <v>0</v>
      </c>
      <c r="L22" s="11">
        <v>391.79721097514135</v>
      </c>
      <c r="M22" s="11">
        <v>0</v>
      </c>
      <c r="N22" s="11">
        <v>0</v>
      </c>
      <c r="O22" s="11">
        <v>131872.79439522393</v>
      </c>
      <c r="P22" s="11">
        <v>0</v>
      </c>
      <c r="Q22" s="11">
        <v>0</v>
      </c>
      <c r="R22" s="11">
        <v>0</v>
      </c>
      <c r="S22" s="11">
        <f>SUM(B22:R22)</f>
        <v>238602.52626299515</v>
      </c>
    </row>
    <row r="23" spans="1:19" x14ac:dyDescent="0.2">
      <c r="A23" s="45" t="s">
        <v>77</v>
      </c>
      <c r="B23" s="11">
        <v>19279.382707593541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f>SUM(B23:R23)</f>
        <v>19279.382707593541</v>
      </c>
    </row>
    <row r="24" spans="1:19" x14ac:dyDescent="0.2">
      <c r="A24" s="45" t="s">
        <v>78</v>
      </c>
      <c r="B24" s="11">
        <v>58153.013154899774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f>SUM(B24:R24)</f>
        <v>58153.013154899774</v>
      </c>
    </row>
    <row r="25" spans="1:19" ht="10.5" x14ac:dyDescent="0.25">
      <c r="A25" s="7" t="s">
        <v>79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spans="1:19" x14ac:dyDescent="0.2">
      <c r="A26" s="8" t="s">
        <v>80</v>
      </c>
      <c r="B26" s="11">
        <v>8.7881204466089997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f>SUM(B26:R26)</f>
        <v>8.7881204466089997</v>
      </c>
    </row>
    <row r="27" spans="1:19" x14ac:dyDescent="0.2">
      <c r="A27" s="8" t="s">
        <v>259</v>
      </c>
      <c r="B27" s="11">
        <v>8.858619570339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f>SUM(B27:R27)</f>
        <v>8.858619570339</v>
      </c>
    </row>
    <row r="28" spans="1:19" x14ac:dyDescent="0.2">
      <c r="A28" s="8" t="s">
        <v>81</v>
      </c>
      <c r="B28" s="11">
        <v>14666.583095811091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f>SUM(B28:R28)</f>
        <v>14666.583095811091</v>
      </c>
    </row>
    <row r="29" spans="1:19" ht="10.5" x14ac:dyDescent="0.25">
      <c r="A29" s="46" t="s">
        <v>82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</row>
    <row r="30" spans="1:19" x14ac:dyDescent="0.2">
      <c r="A30" s="47" t="s">
        <v>83</v>
      </c>
      <c r="B30" s="11">
        <v>68.547339483550203</v>
      </c>
      <c r="C30" s="11">
        <v>0</v>
      </c>
      <c r="D30" s="11">
        <v>0</v>
      </c>
      <c r="E30" s="11">
        <v>0</v>
      </c>
      <c r="F30" s="11">
        <v>0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f>SUM(B30:R30)</f>
        <v>68.547339483550203</v>
      </c>
    </row>
    <row r="31" spans="1:19" x14ac:dyDescent="0.2">
      <c r="A31" s="47" t="s">
        <v>84</v>
      </c>
      <c r="B31" s="11">
        <v>18.4550529378789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f>SUM(B31:R31)</f>
        <v>18.4550529378789</v>
      </c>
    </row>
    <row r="32" spans="1:19" ht="10.5" x14ac:dyDescent="0.25">
      <c r="A32" s="48" t="s">
        <v>85</v>
      </c>
      <c r="B32" s="13">
        <f t="shared" ref="B32:S32" si="2">SUM(B30:B31)</f>
        <v>87.002392421429107</v>
      </c>
      <c r="C32" s="13">
        <f t="shared" si="2"/>
        <v>0</v>
      </c>
      <c r="D32" s="13">
        <f t="shared" si="2"/>
        <v>0</v>
      </c>
      <c r="E32" s="13">
        <f t="shared" si="2"/>
        <v>0</v>
      </c>
      <c r="F32" s="13">
        <f t="shared" si="2"/>
        <v>0</v>
      </c>
      <c r="G32" s="13">
        <f t="shared" si="2"/>
        <v>0</v>
      </c>
      <c r="H32" s="13">
        <f t="shared" si="2"/>
        <v>0</v>
      </c>
      <c r="I32" s="13">
        <f t="shared" si="2"/>
        <v>0</v>
      </c>
      <c r="J32" s="13">
        <f t="shared" si="2"/>
        <v>0</v>
      </c>
      <c r="K32" s="13">
        <f t="shared" si="2"/>
        <v>0</v>
      </c>
      <c r="L32" s="13">
        <f t="shared" si="2"/>
        <v>0</v>
      </c>
      <c r="M32" s="13">
        <f t="shared" si="2"/>
        <v>0</v>
      </c>
      <c r="N32" s="13">
        <f t="shared" si="2"/>
        <v>0</v>
      </c>
      <c r="O32" s="13">
        <f t="shared" si="2"/>
        <v>0</v>
      </c>
      <c r="P32" s="13">
        <f t="shared" si="2"/>
        <v>0</v>
      </c>
      <c r="Q32" s="13">
        <f t="shared" si="2"/>
        <v>0</v>
      </c>
      <c r="R32" s="13">
        <f t="shared" si="2"/>
        <v>0</v>
      </c>
      <c r="S32" s="13">
        <f t="shared" si="2"/>
        <v>87.002392421429107</v>
      </c>
    </row>
    <row r="33" spans="1:19" ht="10.5" x14ac:dyDescent="0.25">
      <c r="A33" s="12" t="s">
        <v>86</v>
      </c>
      <c r="B33" s="13">
        <f t="shared" ref="B33:S33" si="3">SUM(B26:B28,B32)</f>
        <v>14771.232228249468</v>
      </c>
      <c r="C33" s="13">
        <f t="shared" si="3"/>
        <v>0</v>
      </c>
      <c r="D33" s="13">
        <f t="shared" si="3"/>
        <v>0</v>
      </c>
      <c r="E33" s="13">
        <f t="shared" si="3"/>
        <v>0</v>
      </c>
      <c r="F33" s="13">
        <f t="shared" si="3"/>
        <v>0</v>
      </c>
      <c r="G33" s="13">
        <f t="shared" si="3"/>
        <v>0</v>
      </c>
      <c r="H33" s="13">
        <f t="shared" si="3"/>
        <v>0</v>
      </c>
      <c r="I33" s="13">
        <f t="shared" si="3"/>
        <v>0</v>
      </c>
      <c r="J33" s="13">
        <f t="shared" si="3"/>
        <v>0</v>
      </c>
      <c r="K33" s="13">
        <f t="shared" si="3"/>
        <v>0</v>
      </c>
      <c r="L33" s="13">
        <f t="shared" si="3"/>
        <v>0</v>
      </c>
      <c r="M33" s="13">
        <f t="shared" si="3"/>
        <v>0</v>
      </c>
      <c r="N33" s="13">
        <f t="shared" si="3"/>
        <v>0</v>
      </c>
      <c r="O33" s="13">
        <f t="shared" si="3"/>
        <v>0</v>
      </c>
      <c r="P33" s="13">
        <f t="shared" si="3"/>
        <v>0</v>
      </c>
      <c r="Q33" s="13">
        <f t="shared" si="3"/>
        <v>0</v>
      </c>
      <c r="R33" s="13">
        <f t="shared" si="3"/>
        <v>0</v>
      </c>
      <c r="S33" s="13">
        <f t="shared" si="3"/>
        <v>14771.232228249468</v>
      </c>
    </row>
    <row r="34" spans="1:19" ht="10.5" x14ac:dyDescent="0.25">
      <c r="A34" s="14" t="s">
        <v>87</v>
      </c>
      <c r="B34" s="13">
        <f t="shared" ref="B34:S34" si="4">SUM(B20:B24,B33)</f>
        <v>240392.56844750661</v>
      </c>
      <c r="C34" s="13">
        <f t="shared" si="4"/>
        <v>0</v>
      </c>
      <c r="D34" s="13">
        <f t="shared" si="4"/>
        <v>11054.646875940618</v>
      </c>
      <c r="E34" s="13">
        <f t="shared" si="4"/>
        <v>1385402.3244669233</v>
      </c>
      <c r="F34" s="13">
        <f t="shared" si="4"/>
        <v>0</v>
      </c>
      <c r="G34" s="13">
        <f t="shared" si="4"/>
        <v>146416.2730359055</v>
      </c>
      <c r="H34" s="13">
        <f t="shared" si="4"/>
        <v>15505.579524117104</v>
      </c>
      <c r="I34" s="13">
        <f t="shared" si="4"/>
        <v>1281.550467740796</v>
      </c>
      <c r="J34" s="13">
        <f t="shared" si="4"/>
        <v>13335.735443709331</v>
      </c>
      <c r="K34" s="13">
        <f t="shared" si="4"/>
        <v>13294.439992567599</v>
      </c>
      <c r="L34" s="13">
        <f t="shared" si="4"/>
        <v>61788.032655766801</v>
      </c>
      <c r="M34" s="13">
        <f t="shared" si="4"/>
        <v>352.19585803912287</v>
      </c>
      <c r="N34" s="13">
        <f t="shared" si="4"/>
        <v>21090.956869445545</v>
      </c>
      <c r="O34" s="13">
        <f t="shared" si="4"/>
        <v>150403.28971075165</v>
      </c>
      <c r="P34" s="13">
        <f t="shared" si="4"/>
        <v>27813.223759827179</v>
      </c>
      <c r="Q34" s="13">
        <f t="shared" si="4"/>
        <v>6522.9020121077483</v>
      </c>
      <c r="R34" s="13">
        <f t="shared" si="4"/>
        <v>203699.71831189544</v>
      </c>
      <c r="S34" s="13">
        <f t="shared" si="4"/>
        <v>2298353.437432244</v>
      </c>
    </row>
    <row r="35" spans="1:19" ht="10.5" x14ac:dyDescent="0.25">
      <c r="A35" s="15" t="s">
        <v>231</v>
      </c>
      <c r="B35" s="13">
        <f t="shared" ref="B35:S35" si="5">SUM(B34)</f>
        <v>240392.56844750661</v>
      </c>
      <c r="C35" s="13">
        <f t="shared" si="5"/>
        <v>0</v>
      </c>
      <c r="D35" s="13">
        <f t="shared" si="5"/>
        <v>11054.646875940618</v>
      </c>
      <c r="E35" s="13">
        <f t="shared" si="5"/>
        <v>1385402.3244669233</v>
      </c>
      <c r="F35" s="13">
        <f t="shared" si="5"/>
        <v>0</v>
      </c>
      <c r="G35" s="13">
        <f t="shared" si="5"/>
        <v>146416.2730359055</v>
      </c>
      <c r="H35" s="13">
        <f t="shared" si="5"/>
        <v>15505.579524117104</v>
      </c>
      <c r="I35" s="13">
        <f t="shared" si="5"/>
        <v>1281.550467740796</v>
      </c>
      <c r="J35" s="13">
        <f t="shared" si="5"/>
        <v>13335.735443709331</v>
      </c>
      <c r="K35" s="13">
        <f t="shared" si="5"/>
        <v>13294.439992567599</v>
      </c>
      <c r="L35" s="13">
        <f t="shared" si="5"/>
        <v>61788.032655766801</v>
      </c>
      <c r="M35" s="13">
        <f t="shared" si="5"/>
        <v>352.19585803912287</v>
      </c>
      <c r="N35" s="13">
        <f t="shared" si="5"/>
        <v>21090.956869445545</v>
      </c>
      <c r="O35" s="13">
        <f t="shared" si="5"/>
        <v>150403.28971075165</v>
      </c>
      <c r="P35" s="13">
        <f t="shared" si="5"/>
        <v>27813.223759827179</v>
      </c>
      <c r="Q35" s="13">
        <f t="shared" si="5"/>
        <v>6522.9020121077483</v>
      </c>
      <c r="R35" s="13">
        <f t="shared" si="5"/>
        <v>203699.71831189544</v>
      </c>
      <c r="S35" s="13">
        <f t="shared" si="5"/>
        <v>2298353.437432244</v>
      </c>
    </row>
    <row r="36" spans="1:19" ht="10.5" x14ac:dyDescent="0.25">
      <c r="A36" s="16" t="s">
        <v>58</v>
      </c>
      <c r="B36" s="18">
        <f t="shared" ref="B36:S36" si="6">B17-B35</f>
        <v>43025.341353730852</v>
      </c>
      <c r="C36" s="18">
        <f t="shared" si="6"/>
        <v>0</v>
      </c>
      <c r="D36" s="18">
        <f t="shared" si="6"/>
        <v>3947.7930407869408</v>
      </c>
      <c r="E36" s="18">
        <f t="shared" si="6"/>
        <v>3977883.6290714396</v>
      </c>
      <c r="F36" s="18">
        <f t="shared" si="6"/>
        <v>0</v>
      </c>
      <c r="G36" s="18">
        <f t="shared" si="6"/>
        <v>150128.76171320153</v>
      </c>
      <c r="H36" s="18">
        <f t="shared" si="6"/>
        <v>12790.983608149978</v>
      </c>
      <c r="I36" s="18">
        <f t="shared" si="6"/>
        <v>473.01175041214697</v>
      </c>
      <c r="J36" s="18">
        <f t="shared" si="6"/>
        <v>15369.892085599695</v>
      </c>
      <c r="K36" s="18">
        <f t="shared" si="6"/>
        <v>4793.0872635995311</v>
      </c>
      <c r="L36" s="18">
        <f t="shared" si="6"/>
        <v>252962.13234499813</v>
      </c>
      <c r="M36" s="18">
        <f t="shared" si="6"/>
        <v>194.21594252372358</v>
      </c>
      <c r="N36" s="18">
        <f t="shared" si="6"/>
        <v>11253.006286668879</v>
      </c>
      <c r="O36" s="18">
        <f t="shared" si="6"/>
        <v>76435.450550134556</v>
      </c>
      <c r="P36" s="18">
        <f t="shared" si="6"/>
        <v>27113.945407117313</v>
      </c>
      <c r="Q36" s="18">
        <f t="shared" si="6"/>
        <v>4615.0307265169413</v>
      </c>
      <c r="R36" s="18">
        <f t="shared" si="6"/>
        <v>204356.66923912725</v>
      </c>
      <c r="S36" s="18">
        <f t="shared" si="6"/>
        <v>4785342.9503840078</v>
      </c>
    </row>
    <row r="37" spans="1:19" ht="10.5" x14ac:dyDescent="0.25">
      <c r="A37" s="5" t="s">
        <v>234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</row>
    <row r="38" spans="1:19" ht="10.5" x14ac:dyDescent="0.25">
      <c r="A38" s="6" t="s">
        <v>88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</row>
    <row r="39" spans="1:19" x14ac:dyDescent="0.2">
      <c r="A39" s="45" t="s">
        <v>89</v>
      </c>
      <c r="B39" s="11">
        <v>979.7783263368334</v>
      </c>
      <c r="C39" s="11">
        <v>0</v>
      </c>
      <c r="D39" s="11">
        <v>0</v>
      </c>
      <c r="E39" s="11">
        <v>0</v>
      </c>
      <c r="F39" s="11">
        <v>0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2382.8355405620559</v>
      </c>
      <c r="P39" s="11">
        <v>0</v>
      </c>
      <c r="Q39" s="11">
        <v>0</v>
      </c>
      <c r="R39" s="11">
        <v>0</v>
      </c>
      <c r="S39" s="11">
        <f>SUM(B39:R39)</f>
        <v>3362.6138668988892</v>
      </c>
    </row>
    <row r="40" spans="1:19" ht="10.5" x14ac:dyDescent="0.25">
      <c r="A40" s="7" t="s">
        <v>90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</row>
    <row r="41" spans="1:19" x14ac:dyDescent="0.2">
      <c r="A41" s="8" t="s">
        <v>91</v>
      </c>
      <c r="B41" s="11">
        <v>401880.52541976311</v>
      </c>
      <c r="C41" s="11">
        <v>0</v>
      </c>
      <c r="D41" s="11">
        <v>0</v>
      </c>
      <c r="E41" s="11">
        <v>0</v>
      </c>
      <c r="F41" s="11">
        <v>0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1">
        <v>0</v>
      </c>
      <c r="S41" s="11">
        <f>SUM(B41:R41)</f>
        <v>401880.52541976311</v>
      </c>
    </row>
    <row r="42" spans="1:19" x14ac:dyDescent="0.2">
      <c r="A42" s="8" t="s">
        <v>92</v>
      </c>
      <c r="B42" s="11">
        <v>1110246.2739760564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f>SUM(B42:R42)</f>
        <v>1110246.2739760564</v>
      </c>
    </row>
    <row r="43" spans="1:19" x14ac:dyDescent="0.2">
      <c r="A43" s="8" t="s">
        <v>93</v>
      </c>
      <c r="B43" s="11">
        <v>136997.05612850701</v>
      </c>
      <c r="C43" s="11">
        <v>0</v>
      </c>
      <c r="D43" s="11">
        <v>0</v>
      </c>
      <c r="E43" s="11">
        <v>0</v>
      </c>
      <c r="F43" s="11">
        <v>0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f>SUM(B43:R43)</f>
        <v>136997.05612850701</v>
      </c>
    </row>
    <row r="44" spans="1:19" x14ac:dyDescent="0.2">
      <c r="A44" s="8" t="s">
        <v>94</v>
      </c>
      <c r="B44" s="11">
        <v>40144.56247306805</v>
      </c>
      <c r="C44" s="11">
        <v>0</v>
      </c>
      <c r="D44" s="11">
        <v>0</v>
      </c>
      <c r="E44" s="11">
        <v>0</v>
      </c>
      <c r="F44" s="11">
        <v>0</v>
      </c>
      <c r="G44" s="11">
        <v>0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0</v>
      </c>
      <c r="R44" s="11">
        <v>0</v>
      </c>
      <c r="S44" s="11">
        <f>SUM(B44:R44)</f>
        <v>40144.56247306805</v>
      </c>
    </row>
    <row r="45" spans="1:19" ht="10.5" x14ac:dyDescent="0.25">
      <c r="A45" s="12" t="s">
        <v>95</v>
      </c>
      <c r="B45" s="13">
        <f t="shared" ref="B45:S45" si="7">SUM(B41:B44)</f>
        <v>1689268.4179973945</v>
      </c>
      <c r="C45" s="13">
        <f t="shared" si="7"/>
        <v>0</v>
      </c>
      <c r="D45" s="13">
        <f t="shared" si="7"/>
        <v>0</v>
      </c>
      <c r="E45" s="13">
        <f t="shared" si="7"/>
        <v>0</v>
      </c>
      <c r="F45" s="13">
        <f t="shared" si="7"/>
        <v>0</v>
      </c>
      <c r="G45" s="13">
        <f t="shared" si="7"/>
        <v>0</v>
      </c>
      <c r="H45" s="13">
        <f t="shared" si="7"/>
        <v>0</v>
      </c>
      <c r="I45" s="13">
        <f t="shared" si="7"/>
        <v>0</v>
      </c>
      <c r="J45" s="13">
        <f t="shared" si="7"/>
        <v>0</v>
      </c>
      <c r="K45" s="13">
        <f t="shared" si="7"/>
        <v>0</v>
      </c>
      <c r="L45" s="13">
        <f t="shared" si="7"/>
        <v>0</v>
      </c>
      <c r="M45" s="13">
        <f t="shared" si="7"/>
        <v>0</v>
      </c>
      <c r="N45" s="13">
        <f t="shared" si="7"/>
        <v>0</v>
      </c>
      <c r="O45" s="13">
        <f t="shared" si="7"/>
        <v>0</v>
      </c>
      <c r="P45" s="13">
        <f t="shared" si="7"/>
        <v>0</v>
      </c>
      <c r="Q45" s="13">
        <f t="shared" si="7"/>
        <v>0</v>
      </c>
      <c r="R45" s="13">
        <f t="shared" si="7"/>
        <v>0</v>
      </c>
      <c r="S45" s="13">
        <f t="shared" si="7"/>
        <v>1689268.4179973945</v>
      </c>
    </row>
    <row r="46" spans="1:19" ht="10.5" x14ac:dyDescent="0.25">
      <c r="A46" s="7" t="s">
        <v>96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</row>
    <row r="47" spans="1:19" x14ac:dyDescent="0.2">
      <c r="A47" s="8" t="s">
        <v>97</v>
      </c>
      <c r="B47" s="11">
        <v>9378.8898360178591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f>SUM(B47:R47)</f>
        <v>9378.8898360178591</v>
      </c>
    </row>
    <row r="48" spans="1:19" x14ac:dyDescent="0.2">
      <c r="A48" s="8" t="s">
        <v>98</v>
      </c>
      <c r="B48" s="11">
        <v>19358.85578515815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f>SUM(B48:R48)</f>
        <v>19358.85578515815</v>
      </c>
    </row>
    <row r="49" spans="1:19" x14ac:dyDescent="0.2">
      <c r="A49" s="8" t="s">
        <v>99</v>
      </c>
      <c r="B49" s="11">
        <v>21492.120991764608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f>SUM(B49:R49)</f>
        <v>21492.120991764608</v>
      </c>
    </row>
    <row r="50" spans="1:19" x14ac:dyDescent="0.2">
      <c r="A50" s="8" t="s">
        <v>100</v>
      </c>
      <c r="B50" s="11">
        <v>-1082.8501568622787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1">
        <v>0</v>
      </c>
      <c r="S50" s="11">
        <f>SUM(B50:R50)</f>
        <v>-1082.8501568622787</v>
      </c>
    </row>
    <row r="51" spans="1:19" ht="10.5" x14ac:dyDescent="0.25">
      <c r="A51" s="12" t="s">
        <v>101</v>
      </c>
      <c r="B51" s="13">
        <f t="shared" ref="B51:S51" si="8">SUM(B47:B50)</f>
        <v>49147.016456078338</v>
      </c>
      <c r="C51" s="13">
        <f t="shared" si="8"/>
        <v>0</v>
      </c>
      <c r="D51" s="13">
        <f t="shared" si="8"/>
        <v>0</v>
      </c>
      <c r="E51" s="13">
        <f t="shared" si="8"/>
        <v>0</v>
      </c>
      <c r="F51" s="13">
        <f t="shared" si="8"/>
        <v>0</v>
      </c>
      <c r="G51" s="13">
        <f t="shared" si="8"/>
        <v>0</v>
      </c>
      <c r="H51" s="13">
        <f t="shared" si="8"/>
        <v>0</v>
      </c>
      <c r="I51" s="13">
        <f t="shared" si="8"/>
        <v>0</v>
      </c>
      <c r="J51" s="13">
        <f t="shared" si="8"/>
        <v>0</v>
      </c>
      <c r="K51" s="13">
        <f t="shared" si="8"/>
        <v>0</v>
      </c>
      <c r="L51" s="13">
        <f t="shared" si="8"/>
        <v>0</v>
      </c>
      <c r="M51" s="13">
        <f t="shared" si="8"/>
        <v>0</v>
      </c>
      <c r="N51" s="13">
        <f t="shared" si="8"/>
        <v>0</v>
      </c>
      <c r="O51" s="13">
        <f t="shared" si="8"/>
        <v>0</v>
      </c>
      <c r="P51" s="13">
        <f t="shared" si="8"/>
        <v>0</v>
      </c>
      <c r="Q51" s="13">
        <f t="shared" si="8"/>
        <v>0</v>
      </c>
      <c r="R51" s="13">
        <f t="shared" si="8"/>
        <v>0</v>
      </c>
      <c r="S51" s="13">
        <f t="shared" si="8"/>
        <v>49147.016456078338</v>
      </c>
    </row>
    <row r="52" spans="1:19" ht="10.5" x14ac:dyDescent="0.25">
      <c r="A52" s="7" t="s">
        <v>102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</row>
    <row r="53" spans="1:19" x14ac:dyDescent="0.2">
      <c r="A53" s="8" t="s">
        <v>103</v>
      </c>
      <c r="B53" s="11">
        <v>74421.416207032336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31041.32561166201</v>
      </c>
      <c r="P53" s="11">
        <v>0</v>
      </c>
      <c r="Q53" s="11">
        <v>0</v>
      </c>
      <c r="R53" s="11">
        <v>0</v>
      </c>
      <c r="S53" s="11">
        <f>SUM(B53:R53)</f>
        <v>105462.74181869434</v>
      </c>
    </row>
    <row r="54" spans="1:19" x14ac:dyDescent="0.2">
      <c r="A54" s="8" t="s">
        <v>104</v>
      </c>
      <c r="B54" s="11">
        <v>235677.86058557706</v>
      </c>
      <c r="C54" s="11">
        <v>0</v>
      </c>
      <c r="D54" s="11">
        <v>0</v>
      </c>
      <c r="E54" s="11">
        <v>15711.302987305964</v>
      </c>
      <c r="F54" s="11">
        <v>0</v>
      </c>
      <c r="G54" s="11">
        <v>0</v>
      </c>
      <c r="H54" s="11">
        <v>0</v>
      </c>
      <c r="I54" s="11">
        <v>0</v>
      </c>
      <c r="J54" s="11">
        <v>0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  <c r="P54" s="11">
        <v>0</v>
      </c>
      <c r="Q54" s="11">
        <v>0</v>
      </c>
      <c r="R54" s="11">
        <v>17949.628776841135</v>
      </c>
      <c r="S54" s="11">
        <f>SUM(B54:R54)</f>
        <v>269338.79234972416</v>
      </c>
    </row>
    <row r="55" spans="1:19" ht="10.5" x14ac:dyDescent="0.25">
      <c r="A55" s="12" t="s">
        <v>105</v>
      </c>
      <c r="B55" s="13">
        <f t="shared" ref="B55:S55" si="9">SUM(B53:B54)</f>
        <v>310099.27679260937</v>
      </c>
      <c r="C55" s="13">
        <f t="shared" si="9"/>
        <v>0</v>
      </c>
      <c r="D55" s="13">
        <f t="shared" si="9"/>
        <v>0</v>
      </c>
      <c r="E55" s="13">
        <f t="shared" si="9"/>
        <v>15711.302987305964</v>
      </c>
      <c r="F55" s="13">
        <f t="shared" si="9"/>
        <v>0</v>
      </c>
      <c r="G55" s="13">
        <f t="shared" si="9"/>
        <v>0</v>
      </c>
      <c r="H55" s="13">
        <f t="shared" si="9"/>
        <v>0</v>
      </c>
      <c r="I55" s="13">
        <f t="shared" si="9"/>
        <v>0</v>
      </c>
      <c r="J55" s="13">
        <f t="shared" si="9"/>
        <v>0</v>
      </c>
      <c r="K55" s="13">
        <f t="shared" si="9"/>
        <v>0</v>
      </c>
      <c r="L55" s="13">
        <f t="shared" si="9"/>
        <v>0</v>
      </c>
      <c r="M55" s="13">
        <f t="shared" si="9"/>
        <v>0</v>
      </c>
      <c r="N55" s="13">
        <f t="shared" si="9"/>
        <v>0</v>
      </c>
      <c r="O55" s="13">
        <f t="shared" si="9"/>
        <v>31041.32561166201</v>
      </c>
      <c r="P55" s="13">
        <f t="shared" si="9"/>
        <v>0</v>
      </c>
      <c r="Q55" s="13">
        <f t="shared" si="9"/>
        <v>0</v>
      </c>
      <c r="R55" s="13">
        <f t="shared" si="9"/>
        <v>17949.628776841135</v>
      </c>
      <c r="S55" s="13">
        <f t="shared" si="9"/>
        <v>374801.5341684185</v>
      </c>
    </row>
    <row r="56" spans="1:19" ht="10.5" x14ac:dyDescent="0.25">
      <c r="A56" s="7" t="s">
        <v>106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</row>
    <row r="57" spans="1:19" x14ac:dyDescent="0.2">
      <c r="A57" s="8" t="s">
        <v>107</v>
      </c>
      <c r="B57" s="11">
        <v>3963.1436239735185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f>SUM(B57:R57)</f>
        <v>3963.1436239735185</v>
      </c>
    </row>
    <row r="58" spans="1:19" x14ac:dyDescent="0.2">
      <c r="A58" s="8" t="s">
        <v>108</v>
      </c>
      <c r="B58" s="11">
        <v>1330.9817683376032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f>SUM(B58:R58)</f>
        <v>1330.9817683376032</v>
      </c>
    </row>
    <row r="59" spans="1:19" ht="10.5" x14ac:dyDescent="0.25">
      <c r="A59" s="12" t="s">
        <v>109</v>
      </c>
      <c r="B59" s="13">
        <f t="shared" ref="B59:S59" si="10">SUM(B57:B58)</f>
        <v>5294.1253923111217</v>
      </c>
      <c r="C59" s="13">
        <f t="shared" si="10"/>
        <v>0</v>
      </c>
      <c r="D59" s="13">
        <f t="shared" si="10"/>
        <v>0</v>
      </c>
      <c r="E59" s="13">
        <f t="shared" si="10"/>
        <v>0</v>
      </c>
      <c r="F59" s="13">
        <f t="shared" si="10"/>
        <v>0</v>
      </c>
      <c r="G59" s="13">
        <f t="shared" si="10"/>
        <v>0</v>
      </c>
      <c r="H59" s="13">
        <f t="shared" si="10"/>
        <v>0</v>
      </c>
      <c r="I59" s="13">
        <f t="shared" si="10"/>
        <v>0</v>
      </c>
      <c r="J59" s="13">
        <f t="shared" si="10"/>
        <v>0</v>
      </c>
      <c r="K59" s="13">
        <f t="shared" si="10"/>
        <v>0</v>
      </c>
      <c r="L59" s="13">
        <f t="shared" si="10"/>
        <v>0</v>
      </c>
      <c r="M59" s="13">
        <f t="shared" si="10"/>
        <v>0</v>
      </c>
      <c r="N59" s="13">
        <f t="shared" si="10"/>
        <v>0</v>
      </c>
      <c r="O59" s="13">
        <f t="shared" si="10"/>
        <v>0</v>
      </c>
      <c r="P59" s="13">
        <f t="shared" si="10"/>
        <v>0</v>
      </c>
      <c r="Q59" s="13">
        <f t="shared" si="10"/>
        <v>0</v>
      </c>
      <c r="R59" s="13">
        <f t="shared" si="10"/>
        <v>0</v>
      </c>
      <c r="S59" s="13">
        <f t="shared" si="10"/>
        <v>5294.1253923111217</v>
      </c>
    </row>
    <row r="60" spans="1:19" ht="10.5" x14ac:dyDescent="0.25">
      <c r="A60" s="7" t="s">
        <v>110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</row>
    <row r="61" spans="1:19" x14ac:dyDescent="0.2">
      <c r="A61" s="8" t="s">
        <v>111</v>
      </c>
      <c r="B61" s="11">
        <v>21425.32389402539</v>
      </c>
      <c r="C61" s="11">
        <v>0</v>
      </c>
      <c r="D61" s="11">
        <v>0</v>
      </c>
      <c r="E61" s="11">
        <v>0</v>
      </c>
      <c r="F61" s="11">
        <v>0</v>
      </c>
      <c r="G61" s="11">
        <v>8.9866807224167875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268.99132442353982</v>
      </c>
      <c r="S61" s="11">
        <f t="shared" ref="S61:S69" si="11">SUM(B61:R61)</f>
        <v>21703.301899171347</v>
      </c>
    </row>
    <row r="62" spans="1:19" x14ac:dyDescent="0.2">
      <c r="A62" s="8" t="s">
        <v>112</v>
      </c>
      <c r="B62" s="11">
        <v>46861.877873506761</v>
      </c>
      <c r="C62" s="11">
        <v>0</v>
      </c>
      <c r="D62" s="11">
        <v>0</v>
      </c>
      <c r="E62" s="11">
        <v>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602.54236601253558</v>
      </c>
      <c r="S62" s="11">
        <f t="shared" si="11"/>
        <v>47464.420239519299</v>
      </c>
    </row>
    <row r="63" spans="1:19" x14ac:dyDescent="0.2">
      <c r="A63" s="8" t="s">
        <v>113</v>
      </c>
      <c r="B63" s="11">
        <v>37616.596463235292</v>
      </c>
      <c r="C63" s="11">
        <v>0</v>
      </c>
      <c r="D63" s="11">
        <v>0</v>
      </c>
      <c r="E63" s="11">
        <v>0</v>
      </c>
      <c r="F63" s="11">
        <v>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571.68980090254456</v>
      </c>
      <c r="S63" s="11">
        <f t="shared" si="11"/>
        <v>38188.286264137838</v>
      </c>
    </row>
    <row r="64" spans="1:19" x14ac:dyDescent="0.2">
      <c r="A64" s="8" t="s">
        <v>114</v>
      </c>
      <c r="B64" s="11">
        <v>-41906.901579778365</v>
      </c>
      <c r="C64" s="11">
        <v>0</v>
      </c>
      <c r="D64" s="11">
        <v>0</v>
      </c>
      <c r="E64" s="11">
        <v>0</v>
      </c>
      <c r="F64" s="11">
        <v>0</v>
      </c>
      <c r="G64" s="11">
        <v>57.554697426678182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1917.2520615640515</v>
      </c>
      <c r="S64" s="11">
        <f t="shared" si="11"/>
        <v>-39932.094820787635</v>
      </c>
    </row>
    <row r="65" spans="1:19" x14ac:dyDescent="0.2">
      <c r="A65" s="8" t="s">
        <v>115</v>
      </c>
      <c r="B65" s="11">
        <v>0</v>
      </c>
      <c r="C65" s="11">
        <v>0</v>
      </c>
      <c r="D65" s="11">
        <v>0</v>
      </c>
      <c r="E65" s="11">
        <v>24.538659146390458</v>
      </c>
      <c r="F65" s="11">
        <v>0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1">
        <v>0</v>
      </c>
      <c r="S65" s="11">
        <f t="shared" si="11"/>
        <v>24.538659146390458</v>
      </c>
    </row>
    <row r="66" spans="1:19" x14ac:dyDescent="0.2">
      <c r="A66" s="8" t="s">
        <v>116</v>
      </c>
      <c r="B66" s="11">
        <v>4671.5263042366223</v>
      </c>
      <c r="C66" s="11">
        <v>0</v>
      </c>
      <c r="D66" s="11">
        <v>0</v>
      </c>
      <c r="E66" s="11">
        <v>0</v>
      </c>
      <c r="F66" s="11">
        <v>0</v>
      </c>
      <c r="G66" s="11">
        <v>363.0818715872436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157.26119906124055</v>
      </c>
      <c r="S66" s="11">
        <f t="shared" si="11"/>
        <v>5191.8693748851065</v>
      </c>
    </row>
    <row r="67" spans="1:19" x14ac:dyDescent="0.2">
      <c r="A67" s="8" t="s">
        <v>117</v>
      </c>
      <c r="B67" s="11">
        <v>11808.534941339365</v>
      </c>
      <c r="C67" s="11">
        <v>0</v>
      </c>
      <c r="D67" s="11">
        <v>0</v>
      </c>
      <c r="E67" s="11">
        <v>0</v>
      </c>
      <c r="F67" s="11">
        <v>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f t="shared" si="11"/>
        <v>11808.534941339365</v>
      </c>
    </row>
    <row r="68" spans="1:19" x14ac:dyDescent="0.2">
      <c r="A68" s="8" t="s">
        <v>118</v>
      </c>
      <c r="B68" s="11">
        <v>11115.793313459513</v>
      </c>
      <c r="C68" s="11">
        <v>0</v>
      </c>
      <c r="D68" s="11">
        <v>0</v>
      </c>
      <c r="E68" s="11">
        <v>0</v>
      </c>
      <c r="F68" s="11">
        <v>0</v>
      </c>
      <c r="G68" s="11">
        <v>0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f t="shared" si="11"/>
        <v>11115.793313459513</v>
      </c>
    </row>
    <row r="69" spans="1:19" x14ac:dyDescent="0.2">
      <c r="A69" s="8" t="s">
        <v>119</v>
      </c>
      <c r="B69" s="11">
        <v>13465.988707846145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16.295852984359204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f t="shared" si="11"/>
        <v>13482.284560830505</v>
      </c>
    </row>
    <row r="70" spans="1:19" ht="10.5" x14ac:dyDescent="0.25">
      <c r="A70" s="12" t="s">
        <v>120</v>
      </c>
      <c r="B70" s="13">
        <f t="shared" ref="B70:S70" si="12">SUM(B61:B69)</f>
        <v>105058.73991787074</v>
      </c>
      <c r="C70" s="13">
        <f t="shared" si="12"/>
        <v>0</v>
      </c>
      <c r="D70" s="13">
        <f t="shared" si="12"/>
        <v>0</v>
      </c>
      <c r="E70" s="13">
        <f t="shared" si="12"/>
        <v>24.538659146390458</v>
      </c>
      <c r="F70" s="13">
        <f t="shared" si="12"/>
        <v>0</v>
      </c>
      <c r="G70" s="13">
        <f t="shared" si="12"/>
        <v>429.62324973633855</v>
      </c>
      <c r="H70" s="13">
        <f t="shared" si="12"/>
        <v>0</v>
      </c>
      <c r="I70" s="13">
        <f t="shared" si="12"/>
        <v>0</v>
      </c>
      <c r="J70" s="13">
        <f t="shared" si="12"/>
        <v>0</v>
      </c>
      <c r="K70" s="13">
        <f t="shared" si="12"/>
        <v>0</v>
      </c>
      <c r="L70" s="13">
        <f t="shared" si="12"/>
        <v>16.295852984359204</v>
      </c>
      <c r="M70" s="13">
        <f t="shared" si="12"/>
        <v>0</v>
      </c>
      <c r="N70" s="13">
        <f t="shared" si="12"/>
        <v>0</v>
      </c>
      <c r="O70" s="13">
        <f t="shared" si="12"/>
        <v>0</v>
      </c>
      <c r="P70" s="13">
        <f t="shared" si="12"/>
        <v>0</v>
      </c>
      <c r="Q70" s="13">
        <f t="shared" si="12"/>
        <v>0</v>
      </c>
      <c r="R70" s="13">
        <f t="shared" si="12"/>
        <v>3517.736751963912</v>
      </c>
      <c r="S70" s="13">
        <f t="shared" si="12"/>
        <v>109046.93443170172</v>
      </c>
    </row>
    <row r="71" spans="1:19" ht="10.5" x14ac:dyDescent="0.25">
      <c r="A71" s="7" t="s">
        <v>121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</row>
    <row r="72" spans="1:19" x14ac:dyDescent="0.2">
      <c r="A72" s="8" t="s">
        <v>122</v>
      </c>
      <c r="B72" s="11">
        <v>267455.23944271565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4089.9556595989457</v>
      </c>
      <c r="S72" s="11">
        <f>SUM(B72:R72)</f>
        <v>271545.19510231458</v>
      </c>
    </row>
    <row r="73" spans="1:19" x14ac:dyDescent="0.2">
      <c r="A73" s="8" t="s">
        <v>123</v>
      </c>
      <c r="B73" s="11">
        <v>28237.303841548106</v>
      </c>
      <c r="C73" s="11">
        <v>2852.835671244758</v>
      </c>
      <c r="D73" s="11">
        <v>0</v>
      </c>
      <c r="E73" s="11">
        <v>17291.162306219183</v>
      </c>
      <c r="F73" s="11">
        <v>0</v>
      </c>
      <c r="G73" s="11">
        <v>8005.3194527498699</v>
      </c>
      <c r="H73" s="11">
        <v>1379.9901696368479</v>
      </c>
      <c r="I73" s="11">
        <v>0</v>
      </c>
      <c r="J73" s="11">
        <v>0</v>
      </c>
      <c r="K73" s="11">
        <v>0</v>
      </c>
      <c r="L73" s="11">
        <v>705.20018329597804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7008.6981135905125</v>
      </c>
      <c r="S73" s="11">
        <f>SUM(B73:R73)</f>
        <v>65480.509738285262</v>
      </c>
    </row>
    <row r="74" spans="1:19" x14ac:dyDescent="0.2">
      <c r="A74" s="8" t="s">
        <v>124</v>
      </c>
      <c r="B74" s="11">
        <v>544490.51406830852</v>
      </c>
      <c r="C74" s="11">
        <v>0</v>
      </c>
      <c r="D74" s="11">
        <v>0</v>
      </c>
      <c r="E74" s="11">
        <v>0</v>
      </c>
      <c r="F74" s="11">
        <v>0</v>
      </c>
      <c r="G74" s="11">
        <v>0</v>
      </c>
      <c r="H74" s="11">
        <v>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0</v>
      </c>
      <c r="R74" s="11">
        <v>23474.82105494737</v>
      </c>
      <c r="S74" s="11">
        <f>SUM(B74:R74)</f>
        <v>567965.33512325585</v>
      </c>
    </row>
    <row r="75" spans="1:19" x14ac:dyDescent="0.2">
      <c r="A75" s="8" t="s">
        <v>125</v>
      </c>
      <c r="B75" s="11">
        <v>221288.54749198555</v>
      </c>
      <c r="C75" s="11">
        <v>0</v>
      </c>
      <c r="D75" s="11">
        <v>0</v>
      </c>
      <c r="E75" s="11">
        <v>0</v>
      </c>
      <c r="F75" s="11">
        <v>0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f>SUM(B75:R75)</f>
        <v>221288.54749198555</v>
      </c>
    </row>
    <row r="76" spans="1:19" x14ac:dyDescent="0.2">
      <c r="A76" s="8" t="s">
        <v>126</v>
      </c>
      <c r="B76" s="11">
        <v>5882.0541661671559</v>
      </c>
      <c r="C76" s="11">
        <v>0</v>
      </c>
      <c r="D76" s="11">
        <v>0</v>
      </c>
      <c r="E76" s="11">
        <v>0</v>
      </c>
      <c r="F76" s="11">
        <v>0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f>SUM(B76:R76)</f>
        <v>5882.0541661671559</v>
      </c>
    </row>
    <row r="77" spans="1:19" ht="10.5" x14ac:dyDescent="0.25">
      <c r="A77" s="12" t="s">
        <v>127</v>
      </c>
      <c r="B77" s="13">
        <f t="shared" ref="B77:S77" si="13">SUM(B72:B76)</f>
        <v>1067353.6590107249</v>
      </c>
      <c r="C77" s="13">
        <f t="shared" si="13"/>
        <v>2852.835671244758</v>
      </c>
      <c r="D77" s="13">
        <f t="shared" si="13"/>
        <v>0</v>
      </c>
      <c r="E77" s="13">
        <f t="shared" si="13"/>
        <v>17291.162306219183</v>
      </c>
      <c r="F77" s="13">
        <f t="shared" si="13"/>
        <v>0</v>
      </c>
      <c r="G77" s="13">
        <f t="shared" si="13"/>
        <v>8005.3194527498699</v>
      </c>
      <c r="H77" s="13">
        <f t="shared" si="13"/>
        <v>1379.9901696368479</v>
      </c>
      <c r="I77" s="13">
        <f t="shared" si="13"/>
        <v>0</v>
      </c>
      <c r="J77" s="13">
        <f t="shared" si="13"/>
        <v>0</v>
      </c>
      <c r="K77" s="13">
        <f t="shared" si="13"/>
        <v>0</v>
      </c>
      <c r="L77" s="13">
        <f t="shared" si="13"/>
        <v>705.20018329597804</v>
      </c>
      <c r="M77" s="13">
        <f t="shared" si="13"/>
        <v>0</v>
      </c>
      <c r="N77" s="13">
        <f t="shared" si="13"/>
        <v>0</v>
      </c>
      <c r="O77" s="13">
        <f t="shared" si="13"/>
        <v>0</v>
      </c>
      <c r="P77" s="13">
        <f t="shared" si="13"/>
        <v>0</v>
      </c>
      <c r="Q77" s="13">
        <f t="shared" si="13"/>
        <v>0</v>
      </c>
      <c r="R77" s="13">
        <f t="shared" si="13"/>
        <v>34573.47482813683</v>
      </c>
      <c r="S77" s="13">
        <f t="shared" si="13"/>
        <v>1132161.6416220083</v>
      </c>
    </row>
    <row r="78" spans="1:19" ht="10.5" x14ac:dyDescent="0.25">
      <c r="A78" s="7" t="s">
        <v>128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</row>
    <row r="79" spans="1:19" x14ac:dyDescent="0.2">
      <c r="A79" s="8" t="s">
        <v>129</v>
      </c>
      <c r="B79" s="11">
        <v>22652.687232345292</v>
      </c>
      <c r="C79" s="11">
        <v>0</v>
      </c>
      <c r="D79" s="11">
        <v>0</v>
      </c>
      <c r="E79" s="11">
        <v>0</v>
      </c>
      <c r="F79" s="11">
        <v>0</v>
      </c>
      <c r="G79" s="11">
        <v>979.16876111292788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508.01296178542282</v>
      </c>
      <c r="S79" s="11">
        <f>SUM(B79:R79)</f>
        <v>24139.868955243641</v>
      </c>
    </row>
    <row r="80" spans="1:19" x14ac:dyDescent="0.2">
      <c r="A80" s="8" t="s">
        <v>130</v>
      </c>
      <c r="B80" s="11">
        <v>19485.513389833104</v>
      </c>
      <c r="C80" s="11">
        <v>0</v>
      </c>
      <c r="D80" s="11">
        <v>0</v>
      </c>
      <c r="E80" s="11">
        <v>0</v>
      </c>
      <c r="F80" s="11">
        <v>0</v>
      </c>
      <c r="G80" s="11">
        <v>195.05009076605563</v>
      </c>
      <c r="H80" s="11">
        <v>0</v>
      </c>
      <c r="I80" s="11">
        <v>0</v>
      </c>
      <c r="J80" s="11">
        <v>0</v>
      </c>
      <c r="K80" s="11">
        <v>0</v>
      </c>
      <c r="L80" s="11">
        <v>48.409098797614604</v>
      </c>
      <c r="M80" s="11">
        <v>0</v>
      </c>
      <c r="N80" s="11">
        <v>0</v>
      </c>
      <c r="O80" s="11">
        <v>0</v>
      </c>
      <c r="P80" s="11">
        <v>0</v>
      </c>
      <c r="Q80" s="11">
        <v>0</v>
      </c>
      <c r="R80" s="11">
        <v>426.50686276927763</v>
      </c>
      <c r="S80" s="11">
        <f>SUM(B80:R80)</f>
        <v>20155.479442166055</v>
      </c>
    </row>
    <row r="81" spans="1:19" x14ac:dyDescent="0.2">
      <c r="A81" s="8" t="s">
        <v>131</v>
      </c>
      <c r="B81" s="11">
        <v>18287.866536187543</v>
      </c>
      <c r="C81" s="11">
        <v>0</v>
      </c>
      <c r="D81" s="11">
        <v>0</v>
      </c>
      <c r="E81" s="11">
        <v>0</v>
      </c>
      <c r="F81" s="11">
        <v>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941.42613982298644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1">
        <v>0</v>
      </c>
      <c r="S81" s="11">
        <f>SUM(B81:R81)</f>
        <v>19229.292676010529</v>
      </c>
    </row>
    <row r="82" spans="1:19" x14ac:dyDescent="0.2">
      <c r="A82" s="8" t="s">
        <v>132</v>
      </c>
      <c r="B82" s="11">
        <v>91837.462273162062</v>
      </c>
      <c r="C82" s="11">
        <v>0</v>
      </c>
      <c r="D82" s="11">
        <v>0</v>
      </c>
      <c r="E82" s="11">
        <v>1209.8282505177981</v>
      </c>
      <c r="F82" s="11">
        <v>0</v>
      </c>
      <c r="G82" s="11">
        <v>0</v>
      </c>
      <c r="H82" s="11">
        <v>0</v>
      </c>
      <c r="I82" s="11">
        <v>0</v>
      </c>
      <c r="J82" s="11">
        <v>0</v>
      </c>
      <c r="K82" s="11">
        <v>0</v>
      </c>
      <c r="L82" s="11">
        <v>1196.8753231649669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390.5306923721119</v>
      </c>
      <c r="S82" s="11">
        <f>SUM(B82:R82)</f>
        <v>94634.696539216922</v>
      </c>
    </row>
    <row r="83" spans="1:19" x14ac:dyDescent="0.2">
      <c r="A83" s="8" t="s">
        <v>133</v>
      </c>
      <c r="B83" s="11">
        <v>307.34012607511755</v>
      </c>
      <c r="C83" s="11">
        <v>0</v>
      </c>
      <c r="D83" s="11">
        <v>0</v>
      </c>
      <c r="E83" s="11">
        <v>0</v>
      </c>
      <c r="F83" s="11">
        <v>0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f>SUM(B83:R83)</f>
        <v>307.34012607511755</v>
      </c>
    </row>
    <row r="84" spans="1:19" ht="10.5" x14ac:dyDescent="0.25">
      <c r="A84" s="12" t="s">
        <v>134</v>
      </c>
      <c r="B84" s="13">
        <f t="shared" ref="B84:S84" si="14">SUM(B79:B83)</f>
        <v>152570.86955760312</v>
      </c>
      <c r="C84" s="13">
        <f t="shared" si="14"/>
        <v>0</v>
      </c>
      <c r="D84" s="13">
        <f t="shared" si="14"/>
        <v>0</v>
      </c>
      <c r="E84" s="13">
        <f t="shared" si="14"/>
        <v>1209.8282505177981</v>
      </c>
      <c r="F84" s="13">
        <f t="shared" si="14"/>
        <v>0</v>
      </c>
      <c r="G84" s="13">
        <f t="shared" si="14"/>
        <v>1174.2188518789835</v>
      </c>
      <c r="H84" s="13">
        <f t="shared" si="14"/>
        <v>0</v>
      </c>
      <c r="I84" s="13">
        <f t="shared" si="14"/>
        <v>0</v>
      </c>
      <c r="J84" s="13">
        <f t="shared" si="14"/>
        <v>0</v>
      </c>
      <c r="K84" s="13">
        <f t="shared" si="14"/>
        <v>0</v>
      </c>
      <c r="L84" s="13">
        <f t="shared" si="14"/>
        <v>2186.7105617855677</v>
      </c>
      <c r="M84" s="13">
        <f t="shared" si="14"/>
        <v>0</v>
      </c>
      <c r="N84" s="13">
        <f t="shared" si="14"/>
        <v>0</v>
      </c>
      <c r="O84" s="13">
        <f t="shared" si="14"/>
        <v>0</v>
      </c>
      <c r="P84" s="13">
        <f t="shared" si="14"/>
        <v>0</v>
      </c>
      <c r="Q84" s="13">
        <f t="shared" si="14"/>
        <v>0</v>
      </c>
      <c r="R84" s="13">
        <f t="shared" si="14"/>
        <v>1325.0505169268124</v>
      </c>
      <c r="S84" s="13">
        <f t="shared" si="14"/>
        <v>158466.67773871226</v>
      </c>
    </row>
    <row r="85" spans="1:19" ht="10.5" x14ac:dyDescent="0.25">
      <c r="A85" s="7" t="s">
        <v>135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</row>
    <row r="86" spans="1:19" x14ac:dyDescent="0.2">
      <c r="A86" s="8" t="s">
        <v>136</v>
      </c>
      <c r="B86" s="11">
        <v>51988.917596952328</v>
      </c>
      <c r="C86" s="11">
        <v>0</v>
      </c>
      <c r="D86" s="11">
        <v>0</v>
      </c>
      <c r="E86" s="11">
        <v>0</v>
      </c>
      <c r="F86" s="11">
        <v>0</v>
      </c>
      <c r="G86" s="11">
        <v>0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1">
        <v>15.615782558721934</v>
      </c>
      <c r="S86" s="11">
        <f t="shared" ref="S86:S97" si="15">SUM(B86:R86)</f>
        <v>52004.533379511049</v>
      </c>
    </row>
    <row r="87" spans="1:19" x14ac:dyDescent="0.2">
      <c r="A87" s="8" t="s">
        <v>137</v>
      </c>
      <c r="B87" s="11">
        <v>23050.280330761991</v>
      </c>
      <c r="C87" s="11">
        <v>0</v>
      </c>
      <c r="D87" s="11">
        <v>0</v>
      </c>
      <c r="E87" s="11">
        <v>0</v>
      </c>
      <c r="F87" s="11">
        <v>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1">
        <v>0</v>
      </c>
      <c r="S87" s="11">
        <f t="shared" si="15"/>
        <v>23050.280330761991</v>
      </c>
    </row>
    <row r="88" spans="1:19" x14ac:dyDescent="0.2">
      <c r="A88" s="8" t="s">
        <v>138</v>
      </c>
      <c r="B88" s="11">
        <v>108939.87</v>
      </c>
      <c r="C88" s="11">
        <v>0</v>
      </c>
      <c r="D88" s="11">
        <v>0</v>
      </c>
      <c r="E88" s="11">
        <v>0</v>
      </c>
      <c r="F88" s="11">
        <v>0</v>
      </c>
      <c r="G88" s="11">
        <v>0</v>
      </c>
      <c r="H88" s="11">
        <v>0</v>
      </c>
      <c r="I88" s="11">
        <v>0</v>
      </c>
      <c r="J88" s="11">
        <v>0</v>
      </c>
      <c r="K88" s="11">
        <v>0</v>
      </c>
      <c r="L88" s="11">
        <v>0</v>
      </c>
      <c r="M88" s="11">
        <v>0</v>
      </c>
      <c r="N88" s="11">
        <v>0</v>
      </c>
      <c r="O88" s="11">
        <v>0</v>
      </c>
      <c r="P88" s="11">
        <v>0</v>
      </c>
      <c r="Q88" s="11">
        <v>0</v>
      </c>
      <c r="R88" s="11">
        <v>0</v>
      </c>
      <c r="S88" s="11">
        <f t="shared" si="15"/>
        <v>108939.87</v>
      </c>
    </row>
    <row r="89" spans="1:19" x14ac:dyDescent="0.2">
      <c r="A89" s="8" t="s">
        <v>139</v>
      </c>
      <c r="B89" s="11">
        <v>11631.305888288129</v>
      </c>
      <c r="C89" s="11">
        <v>0</v>
      </c>
      <c r="D89" s="11">
        <v>0</v>
      </c>
      <c r="E89" s="11">
        <v>0</v>
      </c>
      <c r="F89" s="11">
        <v>0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414.80257185210678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1">
        <v>42916.90340565794</v>
      </c>
      <c r="S89" s="11">
        <f t="shared" si="15"/>
        <v>54963.01186579818</v>
      </c>
    </row>
    <row r="90" spans="1:19" x14ac:dyDescent="0.2">
      <c r="A90" s="8" t="s">
        <v>140</v>
      </c>
      <c r="B90" s="11">
        <v>3136.3099648890652</v>
      </c>
      <c r="C90" s="11">
        <v>0</v>
      </c>
      <c r="D90" s="11">
        <v>0</v>
      </c>
      <c r="E90" s="11">
        <v>0</v>
      </c>
      <c r="F90" s="11">
        <v>0</v>
      </c>
      <c r="G90" s="11">
        <v>0</v>
      </c>
      <c r="H90" s="11">
        <v>0</v>
      </c>
      <c r="I90" s="11">
        <v>0</v>
      </c>
      <c r="J90" s="11">
        <v>0</v>
      </c>
      <c r="K90" s="11">
        <v>0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f t="shared" si="15"/>
        <v>3136.3099648890652</v>
      </c>
    </row>
    <row r="91" spans="1:19" x14ac:dyDescent="0.2">
      <c r="A91" s="8" t="s">
        <v>141</v>
      </c>
      <c r="B91" s="11">
        <v>685.5</v>
      </c>
      <c r="C91" s="11">
        <v>0</v>
      </c>
      <c r="D91" s="11">
        <v>0</v>
      </c>
      <c r="E91" s="11">
        <v>0</v>
      </c>
      <c r="F91" s="11">
        <v>0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1">
        <v>7565.34</v>
      </c>
      <c r="S91" s="11">
        <f t="shared" si="15"/>
        <v>8250.84</v>
      </c>
    </row>
    <row r="92" spans="1:19" x14ac:dyDescent="0.2">
      <c r="A92" s="8" t="s">
        <v>142</v>
      </c>
      <c r="B92" s="11">
        <v>150.50313669013195</v>
      </c>
      <c r="C92" s="11">
        <v>0</v>
      </c>
      <c r="D92" s="11">
        <v>0</v>
      </c>
      <c r="E92" s="11">
        <v>0</v>
      </c>
      <c r="F92" s="11">
        <v>0</v>
      </c>
      <c r="G92" s="11">
        <v>0</v>
      </c>
      <c r="H92" s="11">
        <v>0</v>
      </c>
      <c r="I92" s="11">
        <v>0</v>
      </c>
      <c r="J92" s="11">
        <v>0</v>
      </c>
      <c r="K92" s="11">
        <v>0</v>
      </c>
      <c r="L92" s="11">
        <v>0</v>
      </c>
      <c r="M92" s="11">
        <v>0</v>
      </c>
      <c r="N92" s="11">
        <v>0</v>
      </c>
      <c r="O92" s="11">
        <v>0</v>
      </c>
      <c r="P92" s="11">
        <v>0</v>
      </c>
      <c r="Q92" s="11">
        <v>0</v>
      </c>
      <c r="R92" s="11">
        <v>0</v>
      </c>
      <c r="S92" s="11">
        <f t="shared" si="15"/>
        <v>150.50313669013195</v>
      </c>
    </row>
    <row r="93" spans="1:19" x14ac:dyDescent="0.2">
      <c r="A93" s="8" t="s">
        <v>143</v>
      </c>
      <c r="B93" s="11">
        <v>138814.62885310326</v>
      </c>
      <c r="C93" s="11">
        <v>0</v>
      </c>
      <c r="D93" s="11">
        <v>0</v>
      </c>
      <c r="E93" s="11">
        <v>0</v>
      </c>
      <c r="F93" s="11">
        <v>0</v>
      </c>
      <c r="G93" s="11">
        <v>2541.5930715123104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1">
        <v>103.97079091683329</v>
      </c>
      <c r="S93" s="11">
        <f t="shared" si="15"/>
        <v>141460.19271553238</v>
      </c>
    </row>
    <row r="94" spans="1:19" x14ac:dyDescent="0.2">
      <c r="A94" s="8" t="s">
        <v>144</v>
      </c>
      <c r="B94" s="11">
        <v>895.27046388546512</v>
      </c>
      <c r="C94" s="11">
        <v>0</v>
      </c>
      <c r="D94" s="11">
        <v>0</v>
      </c>
      <c r="E94" s="11">
        <v>0</v>
      </c>
      <c r="F94" s="11">
        <v>0</v>
      </c>
      <c r="G94" s="11">
        <v>0</v>
      </c>
      <c r="H94" s="11">
        <v>0</v>
      </c>
      <c r="I94" s="11">
        <v>0</v>
      </c>
      <c r="J94" s="11">
        <v>0</v>
      </c>
      <c r="K94" s="11">
        <v>0</v>
      </c>
      <c r="L94" s="11">
        <v>0</v>
      </c>
      <c r="M94" s="11">
        <v>0</v>
      </c>
      <c r="N94" s="11">
        <v>0</v>
      </c>
      <c r="O94" s="11">
        <v>0</v>
      </c>
      <c r="P94" s="11">
        <v>0</v>
      </c>
      <c r="Q94" s="11">
        <v>0</v>
      </c>
      <c r="R94" s="11">
        <v>0</v>
      </c>
      <c r="S94" s="11">
        <f t="shared" si="15"/>
        <v>895.27046388546512</v>
      </c>
    </row>
    <row r="95" spans="1:19" x14ac:dyDescent="0.2">
      <c r="A95" s="8" t="s">
        <v>145</v>
      </c>
      <c r="B95" s="11">
        <v>330.92604123974434</v>
      </c>
      <c r="C95" s="11">
        <v>0</v>
      </c>
      <c r="D95" s="11">
        <v>0</v>
      </c>
      <c r="E95" s="11">
        <v>0</v>
      </c>
      <c r="F95" s="11">
        <v>0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1">
        <v>0</v>
      </c>
      <c r="R95" s="11">
        <v>78.723044628587672</v>
      </c>
      <c r="S95" s="11">
        <f t="shared" si="15"/>
        <v>409.64908586833201</v>
      </c>
    </row>
    <row r="96" spans="1:19" x14ac:dyDescent="0.2">
      <c r="A96" s="8" t="s">
        <v>146</v>
      </c>
      <c r="B96" s="11">
        <v>-209899.96029634742</v>
      </c>
      <c r="C96" s="11">
        <v>0</v>
      </c>
      <c r="D96" s="11">
        <v>0</v>
      </c>
      <c r="E96" s="11">
        <v>0</v>
      </c>
      <c r="F96" s="11">
        <v>0</v>
      </c>
      <c r="G96" s="11">
        <v>0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1">
        <v>0</v>
      </c>
      <c r="R96" s="11">
        <v>0</v>
      </c>
      <c r="S96" s="11">
        <f t="shared" si="15"/>
        <v>-209899.96029634742</v>
      </c>
    </row>
    <row r="97" spans="1:19" x14ac:dyDescent="0.2">
      <c r="A97" s="8" t="s">
        <v>147</v>
      </c>
      <c r="B97" s="11">
        <v>-3365.4879634018962</v>
      </c>
      <c r="C97" s="11">
        <v>0</v>
      </c>
      <c r="D97" s="11">
        <v>0</v>
      </c>
      <c r="E97" s="11">
        <v>0</v>
      </c>
      <c r="F97" s="11">
        <v>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f t="shared" si="15"/>
        <v>-3365.4879634018962</v>
      </c>
    </row>
    <row r="98" spans="1:19" ht="10.5" x14ac:dyDescent="0.25">
      <c r="A98" s="12" t="s">
        <v>148</v>
      </c>
      <c r="B98" s="13">
        <f t="shared" ref="B98:S98" si="16">SUM(B86:B97)</f>
        <v>126358.0640160608</v>
      </c>
      <c r="C98" s="13">
        <f t="shared" si="16"/>
        <v>0</v>
      </c>
      <c r="D98" s="13">
        <f t="shared" si="16"/>
        <v>0</v>
      </c>
      <c r="E98" s="13">
        <f t="shared" si="16"/>
        <v>0</v>
      </c>
      <c r="F98" s="13">
        <f t="shared" si="16"/>
        <v>0</v>
      </c>
      <c r="G98" s="13">
        <f t="shared" si="16"/>
        <v>2541.5930715123104</v>
      </c>
      <c r="H98" s="13">
        <f t="shared" si="16"/>
        <v>0</v>
      </c>
      <c r="I98" s="13">
        <f t="shared" si="16"/>
        <v>0</v>
      </c>
      <c r="J98" s="13">
        <f t="shared" si="16"/>
        <v>0</v>
      </c>
      <c r="K98" s="13">
        <f t="shared" si="16"/>
        <v>0</v>
      </c>
      <c r="L98" s="13">
        <f t="shared" si="16"/>
        <v>414.80257185210678</v>
      </c>
      <c r="M98" s="13">
        <f t="shared" si="16"/>
        <v>0</v>
      </c>
      <c r="N98" s="13">
        <f t="shared" si="16"/>
        <v>0</v>
      </c>
      <c r="O98" s="13">
        <f t="shared" si="16"/>
        <v>0</v>
      </c>
      <c r="P98" s="13">
        <f t="shared" si="16"/>
        <v>0</v>
      </c>
      <c r="Q98" s="13">
        <f t="shared" si="16"/>
        <v>0</v>
      </c>
      <c r="R98" s="13">
        <f t="shared" si="16"/>
        <v>50680.553023762091</v>
      </c>
      <c r="S98" s="13">
        <f t="shared" si="16"/>
        <v>179995.01268318729</v>
      </c>
    </row>
    <row r="99" spans="1:19" ht="10.5" x14ac:dyDescent="0.25">
      <c r="A99" s="7" t="s">
        <v>149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</row>
    <row r="100" spans="1:19" x14ac:dyDescent="0.2">
      <c r="A100" s="8" t="s">
        <v>150</v>
      </c>
      <c r="B100" s="11">
        <v>1265.1641838551714</v>
      </c>
      <c r="C100" s="11">
        <v>0</v>
      </c>
      <c r="D100" s="11">
        <v>0</v>
      </c>
      <c r="E100" s="11">
        <v>0</v>
      </c>
      <c r="F100" s="11">
        <v>0</v>
      </c>
      <c r="G100" s="11">
        <v>0</v>
      </c>
      <c r="H100" s="11">
        <v>0</v>
      </c>
      <c r="I100" s="11">
        <v>0</v>
      </c>
      <c r="J100" s="11">
        <v>0</v>
      </c>
      <c r="K100" s="11">
        <v>0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f>SUM(B100:R100)</f>
        <v>1265.1641838551714</v>
      </c>
    </row>
    <row r="101" spans="1:19" ht="10.5" x14ac:dyDescent="0.25">
      <c r="A101" s="12" t="s">
        <v>151</v>
      </c>
      <c r="B101" s="13">
        <f t="shared" ref="B101:S101" si="17">SUM(B100)</f>
        <v>1265.1641838551714</v>
      </c>
      <c r="C101" s="13">
        <f t="shared" si="17"/>
        <v>0</v>
      </c>
      <c r="D101" s="13">
        <f t="shared" si="17"/>
        <v>0</v>
      </c>
      <c r="E101" s="13">
        <f t="shared" si="17"/>
        <v>0</v>
      </c>
      <c r="F101" s="13">
        <f t="shared" si="17"/>
        <v>0</v>
      </c>
      <c r="G101" s="13">
        <f t="shared" si="17"/>
        <v>0</v>
      </c>
      <c r="H101" s="13">
        <f t="shared" si="17"/>
        <v>0</v>
      </c>
      <c r="I101" s="13">
        <f t="shared" si="17"/>
        <v>0</v>
      </c>
      <c r="J101" s="13">
        <f t="shared" si="17"/>
        <v>0</v>
      </c>
      <c r="K101" s="13">
        <f t="shared" si="17"/>
        <v>0</v>
      </c>
      <c r="L101" s="13">
        <f t="shared" si="17"/>
        <v>0</v>
      </c>
      <c r="M101" s="13">
        <f t="shared" si="17"/>
        <v>0</v>
      </c>
      <c r="N101" s="13">
        <f t="shared" si="17"/>
        <v>0</v>
      </c>
      <c r="O101" s="13">
        <f t="shared" si="17"/>
        <v>0</v>
      </c>
      <c r="P101" s="13">
        <f t="shared" si="17"/>
        <v>0</v>
      </c>
      <c r="Q101" s="13">
        <f t="shared" si="17"/>
        <v>0</v>
      </c>
      <c r="R101" s="13">
        <f t="shared" si="17"/>
        <v>0</v>
      </c>
      <c r="S101" s="13">
        <f t="shared" si="17"/>
        <v>1265.1641838551714</v>
      </c>
    </row>
    <row r="102" spans="1:19" ht="10.5" x14ac:dyDescent="0.25">
      <c r="A102" s="7" t="s">
        <v>152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</row>
    <row r="103" spans="1:19" x14ac:dyDescent="0.2">
      <c r="A103" s="8" t="s">
        <v>153</v>
      </c>
      <c r="B103" s="11">
        <v>1493.766621518887</v>
      </c>
      <c r="C103" s="11">
        <v>0</v>
      </c>
      <c r="D103" s="11">
        <v>0</v>
      </c>
      <c r="E103" s="11">
        <v>0</v>
      </c>
      <c r="F103" s="11">
        <v>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0</v>
      </c>
      <c r="R103" s="11">
        <v>0</v>
      </c>
      <c r="S103" s="11">
        <f>SUM(B103:R103)</f>
        <v>1493.766621518887</v>
      </c>
    </row>
    <row r="104" spans="1:19" x14ac:dyDescent="0.2">
      <c r="A104" s="8" t="s">
        <v>154</v>
      </c>
      <c r="B104" s="11">
        <v>4628.6758002243841</v>
      </c>
      <c r="C104" s="11">
        <v>0</v>
      </c>
      <c r="D104" s="11">
        <v>0</v>
      </c>
      <c r="E104" s="11">
        <v>0</v>
      </c>
      <c r="F104" s="11">
        <v>0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1">
        <v>0</v>
      </c>
      <c r="R104" s="11">
        <v>5568.3432557962751</v>
      </c>
      <c r="S104" s="11">
        <f>SUM(B104:R104)</f>
        <v>10197.019056020659</v>
      </c>
    </row>
    <row r="105" spans="1:19" ht="10.5" x14ac:dyDescent="0.25">
      <c r="A105" s="12" t="s">
        <v>155</v>
      </c>
      <c r="B105" s="13">
        <f t="shared" ref="B105:S105" si="18">SUM(B103:B104)</f>
        <v>6122.4424217432716</v>
      </c>
      <c r="C105" s="13">
        <f t="shared" si="18"/>
        <v>0</v>
      </c>
      <c r="D105" s="13">
        <f t="shared" si="18"/>
        <v>0</v>
      </c>
      <c r="E105" s="13">
        <f t="shared" si="18"/>
        <v>0</v>
      </c>
      <c r="F105" s="13">
        <f t="shared" si="18"/>
        <v>0</v>
      </c>
      <c r="G105" s="13">
        <f t="shared" si="18"/>
        <v>0</v>
      </c>
      <c r="H105" s="13">
        <f t="shared" si="18"/>
        <v>0</v>
      </c>
      <c r="I105" s="13">
        <f t="shared" si="18"/>
        <v>0</v>
      </c>
      <c r="J105" s="13">
        <f t="shared" si="18"/>
        <v>0</v>
      </c>
      <c r="K105" s="13">
        <f t="shared" si="18"/>
        <v>0</v>
      </c>
      <c r="L105" s="13">
        <f t="shared" si="18"/>
        <v>0</v>
      </c>
      <c r="M105" s="13">
        <f t="shared" si="18"/>
        <v>0</v>
      </c>
      <c r="N105" s="13">
        <f t="shared" si="18"/>
        <v>0</v>
      </c>
      <c r="O105" s="13">
        <f t="shared" si="18"/>
        <v>0</v>
      </c>
      <c r="P105" s="13">
        <f t="shared" si="18"/>
        <v>0</v>
      </c>
      <c r="Q105" s="13">
        <f t="shared" si="18"/>
        <v>0</v>
      </c>
      <c r="R105" s="13">
        <f t="shared" si="18"/>
        <v>5568.3432557962751</v>
      </c>
      <c r="S105" s="13">
        <f t="shared" si="18"/>
        <v>11690.785677539547</v>
      </c>
    </row>
    <row r="106" spans="1:19" ht="10.5" x14ac:dyDescent="0.25">
      <c r="A106" s="7" t="s">
        <v>156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</row>
    <row r="107" spans="1:19" x14ac:dyDescent="0.2">
      <c r="A107" s="8" t="s">
        <v>157</v>
      </c>
      <c r="B107" s="11">
        <v>1997.0255429430047</v>
      </c>
      <c r="C107" s="11">
        <v>0</v>
      </c>
      <c r="D107" s="11">
        <v>0</v>
      </c>
      <c r="E107" s="11">
        <v>0</v>
      </c>
      <c r="F107" s="11">
        <v>0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1">
        <v>0</v>
      </c>
      <c r="R107" s="11">
        <v>0</v>
      </c>
      <c r="S107" s="11">
        <f t="shared" ref="S107:S121" si="19">SUM(B107:R107)</f>
        <v>1997.0255429430047</v>
      </c>
    </row>
    <row r="108" spans="1:19" x14ac:dyDescent="0.2">
      <c r="A108" s="8" t="s">
        <v>158</v>
      </c>
      <c r="B108" s="11">
        <v>1807.2386231341518</v>
      </c>
      <c r="C108" s="11">
        <v>0</v>
      </c>
      <c r="D108" s="11">
        <v>0</v>
      </c>
      <c r="E108" s="11">
        <v>0</v>
      </c>
      <c r="F108" s="11">
        <v>0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1">
        <v>0</v>
      </c>
      <c r="R108" s="11">
        <v>0</v>
      </c>
      <c r="S108" s="11">
        <f t="shared" si="19"/>
        <v>1807.2386231341518</v>
      </c>
    </row>
    <row r="109" spans="1:19" x14ac:dyDescent="0.2">
      <c r="A109" s="8" t="s">
        <v>159</v>
      </c>
      <c r="B109" s="11">
        <v>187656.27437432547</v>
      </c>
      <c r="C109" s="11">
        <v>0</v>
      </c>
      <c r="D109" s="11">
        <v>0</v>
      </c>
      <c r="E109" s="11">
        <v>9139.157762722949</v>
      </c>
      <c r="F109" s="11">
        <v>0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1982.6285719462066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1">
        <v>20682.359368532489</v>
      </c>
      <c r="S109" s="11">
        <f t="shared" si="19"/>
        <v>219460.42007752712</v>
      </c>
    </row>
    <row r="110" spans="1:19" x14ac:dyDescent="0.2">
      <c r="A110" s="8" t="s">
        <v>160</v>
      </c>
      <c r="B110" s="11">
        <v>1299.8104569715181</v>
      </c>
      <c r="C110" s="11">
        <v>0</v>
      </c>
      <c r="D110" s="11">
        <v>0</v>
      </c>
      <c r="E110" s="11">
        <v>0</v>
      </c>
      <c r="F110" s="11">
        <v>0</v>
      </c>
      <c r="G110" s="11">
        <v>0</v>
      </c>
      <c r="H110" s="11">
        <v>0</v>
      </c>
      <c r="I110" s="11">
        <v>0</v>
      </c>
      <c r="J110" s="11">
        <v>0</v>
      </c>
      <c r="K110" s="11">
        <v>0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f t="shared" si="19"/>
        <v>1299.8104569715181</v>
      </c>
    </row>
    <row r="111" spans="1:19" x14ac:dyDescent="0.2">
      <c r="A111" s="8" t="s">
        <v>161</v>
      </c>
      <c r="B111" s="11">
        <v>5991.0454977400832</v>
      </c>
      <c r="C111" s="11">
        <v>0</v>
      </c>
      <c r="D111" s="11">
        <v>0</v>
      </c>
      <c r="E111" s="11">
        <v>0</v>
      </c>
      <c r="F111" s="11">
        <v>0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1">
        <v>0</v>
      </c>
      <c r="R111" s="11">
        <v>905.91894900303964</v>
      </c>
      <c r="S111" s="11">
        <f t="shared" si="19"/>
        <v>6896.9644467431226</v>
      </c>
    </row>
    <row r="112" spans="1:19" x14ac:dyDescent="0.2">
      <c r="A112" s="8" t="s">
        <v>162</v>
      </c>
      <c r="B112" s="11">
        <v>5265.3188669886276</v>
      </c>
      <c r="C112" s="11">
        <v>0</v>
      </c>
      <c r="D112" s="11">
        <v>0</v>
      </c>
      <c r="E112" s="11">
        <v>0</v>
      </c>
      <c r="F112" s="11">
        <v>0</v>
      </c>
      <c r="G112" s="11">
        <v>0</v>
      </c>
      <c r="H112" s="11">
        <v>0</v>
      </c>
      <c r="I112" s="11">
        <v>0</v>
      </c>
      <c r="J112" s="11">
        <v>0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0</v>
      </c>
      <c r="Q112" s="11">
        <v>0</v>
      </c>
      <c r="R112" s="11">
        <v>0</v>
      </c>
      <c r="S112" s="11">
        <f t="shared" si="19"/>
        <v>5265.3188669886276</v>
      </c>
    </row>
    <row r="113" spans="1:19" x14ac:dyDescent="0.2">
      <c r="A113" s="8" t="s">
        <v>163</v>
      </c>
      <c r="B113" s="11">
        <v>3024.2996433968951</v>
      </c>
      <c r="C113" s="11">
        <v>0</v>
      </c>
      <c r="D113" s="11">
        <v>0</v>
      </c>
      <c r="E113" s="11">
        <v>0</v>
      </c>
      <c r="F113" s="11">
        <v>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f t="shared" si="19"/>
        <v>3024.2996433968951</v>
      </c>
    </row>
    <row r="114" spans="1:19" x14ac:dyDescent="0.2">
      <c r="A114" s="8" t="s">
        <v>164</v>
      </c>
      <c r="B114" s="11">
        <v>286.26012662881828</v>
      </c>
      <c r="C114" s="11">
        <v>0</v>
      </c>
      <c r="D114" s="11">
        <v>0</v>
      </c>
      <c r="E114" s="11">
        <v>0</v>
      </c>
      <c r="F114" s="11">
        <v>0</v>
      </c>
      <c r="G114" s="11">
        <v>0</v>
      </c>
      <c r="H114" s="11">
        <v>0</v>
      </c>
      <c r="I114" s="11">
        <v>0</v>
      </c>
      <c r="J114" s="11">
        <v>0</v>
      </c>
      <c r="K114" s="11">
        <v>387.94980876303327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f t="shared" si="19"/>
        <v>674.20993539185156</v>
      </c>
    </row>
    <row r="115" spans="1:19" x14ac:dyDescent="0.2">
      <c r="A115" s="8" t="s">
        <v>165</v>
      </c>
      <c r="B115" s="11">
        <v>9.1267447052198722</v>
      </c>
      <c r="C115" s="11">
        <v>0</v>
      </c>
      <c r="D115" s="11">
        <v>0</v>
      </c>
      <c r="E115" s="11">
        <v>0</v>
      </c>
      <c r="F115" s="11">
        <v>0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f t="shared" si="19"/>
        <v>9.1267447052198722</v>
      </c>
    </row>
    <row r="116" spans="1:19" x14ac:dyDescent="0.2">
      <c r="A116" s="8" t="s">
        <v>166</v>
      </c>
      <c r="B116" s="11">
        <v>56892.110308923991</v>
      </c>
      <c r="C116" s="11">
        <v>0</v>
      </c>
      <c r="D116" s="11">
        <v>0</v>
      </c>
      <c r="E116" s="11">
        <v>0</v>
      </c>
      <c r="F116" s="11">
        <v>0</v>
      </c>
      <c r="G116" s="11">
        <v>0</v>
      </c>
      <c r="H116" s="11">
        <v>0</v>
      </c>
      <c r="I116" s="11">
        <v>0</v>
      </c>
      <c r="J116" s="11">
        <v>0</v>
      </c>
      <c r="K116" s="11">
        <v>0</v>
      </c>
      <c r="L116" s="11">
        <v>123.20075212545214</v>
      </c>
      <c r="M116" s="11"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f t="shared" si="19"/>
        <v>57015.31106104944</v>
      </c>
    </row>
    <row r="117" spans="1:19" x14ac:dyDescent="0.2">
      <c r="A117" s="8" t="s">
        <v>167</v>
      </c>
      <c r="B117" s="11">
        <v>1395.7937033487149</v>
      </c>
      <c r="C117" s="11">
        <v>0</v>
      </c>
      <c r="D117" s="11">
        <v>0</v>
      </c>
      <c r="E117" s="11">
        <v>0</v>
      </c>
      <c r="F117" s="11">
        <v>0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1">
        <v>0</v>
      </c>
      <c r="R117" s="11">
        <v>0</v>
      </c>
      <c r="S117" s="11">
        <f t="shared" si="19"/>
        <v>1395.7937033487149</v>
      </c>
    </row>
    <row r="118" spans="1:19" x14ac:dyDescent="0.2">
      <c r="A118" s="8" t="s">
        <v>168</v>
      </c>
      <c r="B118" s="11">
        <v>21727.402015879525</v>
      </c>
      <c r="C118" s="11">
        <v>0</v>
      </c>
      <c r="D118" s="11">
        <v>0</v>
      </c>
      <c r="E118" s="11">
        <v>0</v>
      </c>
      <c r="F118" s="11">
        <v>0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1">
        <v>0</v>
      </c>
      <c r="R118" s="11">
        <v>7641.361485510216</v>
      </c>
      <c r="S118" s="11">
        <f t="shared" si="19"/>
        <v>29368.763501389742</v>
      </c>
    </row>
    <row r="119" spans="1:19" x14ac:dyDescent="0.2">
      <c r="A119" s="8" t="s">
        <v>169</v>
      </c>
      <c r="B119" s="11">
        <v>11304.171676393587</v>
      </c>
      <c r="C119" s="11">
        <v>0</v>
      </c>
      <c r="D119" s="11">
        <v>0</v>
      </c>
      <c r="E119" s="11">
        <v>0</v>
      </c>
      <c r="F119" s="11">
        <v>0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1">
        <v>0</v>
      </c>
      <c r="S119" s="11">
        <f t="shared" si="19"/>
        <v>11304.171676393587</v>
      </c>
    </row>
    <row r="120" spans="1:19" x14ac:dyDescent="0.2">
      <c r="A120" s="8" t="s">
        <v>170</v>
      </c>
      <c r="B120" s="11">
        <v>62298.604235600578</v>
      </c>
      <c r="C120" s="11">
        <v>0</v>
      </c>
      <c r="D120" s="11">
        <v>0</v>
      </c>
      <c r="E120" s="11">
        <v>0</v>
      </c>
      <c r="F120" s="11">
        <v>0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1">
        <v>0</v>
      </c>
      <c r="R120" s="11">
        <v>0</v>
      </c>
      <c r="S120" s="11">
        <f t="shared" si="19"/>
        <v>62298.604235600578</v>
      </c>
    </row>
    <row r="121" spans="1:19" x14ac:dyDescent="0.2">
      <c r="A121" s="8" t="s">
        <v>171</v>
      </c>
      <c r="B121" s="11">
        <v>21277.695801292739</v>
      </c>
      <c r="C121" s="11">
        <v>0</v>
      </c>
      <c r="D121" s="11">
        <v>0</v>
      </c>
      <c r="E121" s="11">
        <v>0</v>
      </c>
      <c r="F121" s="11">
        <v>0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f t="shared" si="19"/>
        <v>21277.695801292739</v>
      </c>
    </row>
    <row r="122" spans="1:19" ht="10.5" x14ac:dyDescent="0.25">
      <c r="A122" s="46" t="s">
        <v>172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</row>
    <row r="123" spans="1:19" x14ac:dyDescent="0.2">
      <c r="A123" s="47" t="s">
        <v>172</v>
      </c>
      <c r="B123" s="11">
        <v>3572.4301161210869</v>
      </c>
      <c r="C123" s="11">
        <v>0</v>
      </c>
      <c r="D123" s="11">
        <v>0</v>
      </c>
      <c r="E123" s="11">
        <v>0</v>
      </c>
      <c r="F123" s="11">
        <v>0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f>SUM(B123:R123)</f>
        <v>3572.4301161210869</v>
      </c>
    </row>
    <row r="124" spans="1:19" x14ac:dyDescent="0.2">
      <c r="A124" s="47" t="s">
        <v>173</v>
      </c>
      <c r="B124" s="11">
        <v>231.22128694350545</v>
      </c>
      <c r="C124" s="11">
        <v>0</v>
      </c>
      <c r="D124" s="11">
        <v>0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f>SUM(B124:R124)</f>
        <v>231.22128694350545</v>
      </c>
    </row>
    <row r="125" spans="1:19" ht="10.5" x14ac:dyDescent="0.25">
      <c r="A125" s="48" t="s">
        <v>174</v>
      </c>
      <c r="B125" s="13">
        <f t="shared" ref="B125:S125" si="20">SUM(B123:B124)</f>
        <v>3803.6514030645922</v>
      </c>
      <c r="C125" s="13">
        <f t="shared" si="20"/>
        <v>0</v>
      </c>
      <c r="D125" s="13">
        <f t="shared" si="20"/>
        <v>0</v>
      </c>
      <c r="E125" s="13">
        <f t="shared" si="20"/>
        <v>0</v>
      </c>
      <c r="F125" s="13">
        <f t="shared" si="20"/>
        <v>0</v>
      </c>
      <c r="G125" s="13">
        <f t="shared" si="20"/>
        <v>0</v>
      </c>
      <c r="H125" s="13">
        <f t="shared" si="20"/>
        <v>0</v>
      </c>
      <c r="I125" s="13">
        <f t="shared" si="20"/>
        <v>0</v>
      </c>
      <c r="J125" s="13">
        <f t="shared" si="20"/>
        <v>0</v>
      </c>
      <c r="K125" s="13">
        <f t="shared" si="20"/>
        <v>0</v>
      </c>
      <c r="L125" s="13">
        <f t="shared" si="20"/>
        <v>0</v>
      </c>
      <c r="M125" s="13">
        <f t="shared" si="20"/>
        <v>0</v>
      </c>
      <c r="N125" s="13">
        <f t="shared" si="20"/>
        <v>0</v>
      </c>
      <c r="O125" s="13">
        <f t="shared" si="20"/>
        <v>0</v>
      </c>
      <c r="P125" s="13">
        <f t="shared" si="20"/>
        <v>0</v>
      </c>
      <c r="Q125" s="13">
        <f t="shared" si="20"/>
        <v>0</v>
      </c>
      <c r="R125" s="13">
        <f t="shared" si="20"/>
        <v>0</v>
      </c>
      <c r="S125" s="13">
        <f t="shared" si="20"/>
        <v>3803.6514030645922</v>
      </c>
    </row>
    <row r="126" spans="1:19" ht="10.5" x14ac:dyDescent="0.25">
      <c r="A126" s="12" t="s">
        <v>175</v>
      </c>
      <c r="B126" s="13">
        <f t="shared" ref="B126:S126" si="21">SUM(B107:B121,B125)</f>
        <v>386035.8290213375</v>
      </c>
      <c r="C126" s="13">
        <f t="shared" si="21"/>
        <v>0</v>
      </c>
      <c r="D126" s="13">
        <f t="shared" si="21"/>
        <v>0</v>
      </c>
      <c r="E126" s="13">
        <f t="shared" si="21"/>
        <v>9139.157762722949</v>
      </c>
      <c r="F126" s="13">
        <f t="shared" si="21"/>
        <v>0</v>
      </c>
      <c r="G126" s="13">
        <f t="shared" si="21"/>
        <v>0</v>
      </c>
      <c r="H126" s="13">
        <f t="shared" si="21"/>
        <v>0</v>
      </c>
      <c r="I126" s="13">
        <f t="shared" si="21"/>
        <v>0</v>
      </c>
      <c r="J126" s="13">
        <f t="shared" si="21"/>
        <v>0</v>
      </c>
      <c r="K126" s="13">
        <f t="shared" si="21"/>
        <v>387.94980876303327</v>
      </c>
      <c r="L126" s="13">
        <f t="shared" si="21"/>
        <v>2105.8293240716589</v>
      </c>
      <c r="M126" s="13">
        <f t="shared" si="21"/>
        <v>0</v>
      </c>
      <c r="N126" s="13">
        <f t="shared" si="21"/>
        <v>0</v>
      </c>
      <c r="O126" s="13">
        <f t="shared" si="21"/>
        <v>0</v>
      </c>
      <c r="P126" s="13">
        <f t="shared" si="21"/>
        <v>0</v>
      </c>
      <c r="Q126" s="13">
        <f t="shared" si="21"/>
        <v>0</v>
      </c>
      <c r="R126" s="13">
        <f t="shared" si="21"/>
        <v>29229.639803045746</v>
      </c>
      <c r="S126" s="13">
        <f t="shared" si="21"/>
        <v>426898.40571994096</v>
      </c>
    </row>
    <row r="127" spans="1:19" ht="10.5" x14ac:dyDescent="0.25">
      <c r="A127" s="7" t="s">
        <v>176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</row>
    <row r="128" spans="1:19" x14ac:dyDescent="0.2">
      <c r="A128" s="8" t="s">
        <v>177</v>
      </c>
      <c r="B128" s="11">
        <v>21209.709333410789</v>
      </c>
      <c r="C128" s="11">
        <v>0</v>
      </c>
      <c r="D128" s="11">
        <v>0</v>
      </c>
      <c r="E128" s="11">
        <v>0</v>
      </c>
      <c r="F128" s="11">
        <v>0</v>
      </c>
      <c r="G128" s="11">
        <v>0</v>
      </c>
      <c r="H128" s="11">
        <v>0</v>
      </c>
      <c r="I128" s="11">
        <v>0</v>
      </c>
      <c r="J128" s="11">
        <v>0</v>
      </c>
      <c r="K128" s="11">
        <v>0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1">
        <v>0</v>
      </c>
      <c r="R128" s="11">
        <v>7.1703993735747096</v>
      </c>
      <c r="S128" s="11">
        <f>SUM(B128:R128)</f>
        <v>21216.879732784364</v>
      </c>
    </row>
    <row r="129" spans="1:19" x14ac:dyDescent="0.2">
      <c r="A129" s="8" t="s">
        <v>178</v>
      </c>
      <c r="B129" s="11">
        <v>186303.17631991941</v>
      </c>
      <c r="C129" s="11">
        <v>0</v>
      </c>
      <c r="D129" s="11">
        <v>0</v>
      </c>
      <c r="E129" s="11">
        <v>0</v>
      </c>
      <c r="F129" s="11">
        <v>0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1">
        <v>0</v>
      </c>
      <c r="S129" s="11">
        <f>SUM(B129:R129)</f>
        <v>186303.17631991941</v>
      </c>
    </row>
    <row r="130" spans="1:19" x14ac:dyDescent="0.2">
      <c r="A130" s="8" t="s">
        <v>179</v>
      </c>
      <c r="B130" s="11">
        <v>46942.87183882868</v>
      </c>
      <c r="C130" s="11">
        <v>0</v>
      </c>
      <c r="D130" s="11">
        <v>0</v>
      </c>
      <c r="E130" s="11">
        <v>0</v>
      </c>
      <c r="F130" s="11">
        <v>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13.031012306585698</v>
      </c>
      <c r="S130" s="11">
        <f>SUM(B130:R130)</f>
        <v>46955.902851135266</v>
      </c>
    </row>
    <row r="131" spans="1:19" x14ac:dyDescent="0.2">
      <c r="A131" s="8" t="s">
        <v>180</v>
      </c>
      <c r="B131" s="11">
        <v>236.19536389271076</v>
      </c>
      <c r="C131" s="11">
        <v>0</v>
      </c>
      <c r="D131" s="11">
        <v>0</v>
      </c>
      <c r="E131" s="11">
        <v>0</v>
      </c>
      <c r="F131" s="11">
        <v>0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1">
        <v>0</v>
      </c>
      <c r="S131" s="11">
        <f>SUM(B131:R131)</f>
        <v>236.19536389271076</v>
      </c>
    </row>
    <row r="132" spans="1:19" ht="10.5" x14ac:dyDescent="0.25">
      <c r="A132" s="12" t="s">
        <v>181</v>
      </c>
      <c r="B132" s="13">
        <f t="shared" ref="B132:S132" si="22">SUM(B128:B131)</f>
        <v>254691.95285605156</v>
      </c>
      <c r="C132" s="13">
        <f t="shared" si="22"/>
        <v>0</v>
      </c>
      <c r="D132" s="13">
        <f t="shared" si="22"/>
        <v>0</v>
      </c>
      <c r="E132" s="13">
        <f t="shared" si="22"/>
        <v>0</v>
      </c>
      <c r="F132" s="13">
        <f t="shared" si="22"/>
        <v>0</v>
      </c>
      <c r="G132" s="13">
        <f t="shared" si="22"/>
        <v>0</v>
      </c>
      <c r="H132" s="13">
        <f t="shared" si="22"/>
        <v>0</v>
      </c>
      <c r="I132" s="13">
        <f t="shared" si="22"/>
        <v>0</v>
      </c>
      <c r="J132" s="13">
        <f t="shared" si="22"/>
        <v>0</v>
      </c>
      <c r="K132" s="13">
        <f t="shared" si="22"/>
        <v>0</v>
      </c>
      <c r="L132" s="13">
        <f t="shared" si="22"/>
        <v>0</v>
      </c>
      <c r="M132" s="13">
        <f t="shared" si="22"/>
        <v>0</v>
      </c>
      <c r="N132" s="13">
        <f t="shared" si="22"/>
        <v>0</v>
      </c>
      <c r="O132" s="13">
        <f t="shared" si="22"/>
        <v>0</v>
      </c>
      <c r="P132" s="13">
        <f t="shared" si="22"/>
        <v>0</v>
      </c>
      <c r="Q132" s="13">
        <f t="shared" si="22"/>
        <v>0</v>
      </c>
      <c r="R132" s="13">
        <f t="shared" si="22"/>
        <v>20.201411680160408</v>
      </c>
      <c r="S132" s="13">
        <f t="shared" si="22"/>
        <v>254712.15426773173</v>
      </c>
    </row>
    <row r="133" spans="1:19" ht="10.5" x14ac:dyDescent="0.25">
      <c r="A133" s="14" t="s">
        <v>182</v>
      </c>
      <c r="B133" s="13">
        <f t="shared" ref="B133:S133" si="23">SUM(B39,B45,B51,B55,B59,B70,B77,B84,B98,B101,B105,B126,B132)</f>
        <v>4154245.3359499774</v>
      </c>
      <c r="C133" s="13">
        <f t="shared" si="23"/>
        <v>2852.835671244758</v>
      </c>
      <c r="D133" s="13">
        <f t="shared" si="23"/>
        <v>0</v>
      </c>
      <c r="E133" s="13">
        <f t="shared" si="23"/>
        <v>43375.989965912289</v>
      </c>
      <c r="F133" s="13">
        <f t="shared" si="23"/>
        <v>0</v>
      </c>
      <c r="G133" s="13">
        <f t="shared" si="23"/>
        <v>12150.754625877504</v>
      </c>
      <c r="H133" s="13">
        <f t="shared" si="23"/>
        <v>1379.9901696368479</v>
      </c>
      <c r="I133" s="13">
        <f t="shared" si="23"/>
        <v>0</v>
      </c>
      <c r="J133" s="13">
        <f t="shared" si="23"/>
        <v>0</v>
      </c>
      <c r="K133" s="13">
        <f t="shared" si="23"/>
        <v>387.94980876303327</v>
      </c>
      <c r="L133" s="13">
        <f t="shared" si="23"/>
        <v>5428.8384939896705</v>
      </c>
      <c r="M133" s="13">
        <f t="shared" si="23"/>
        <v>0</v>
      </c>
      <c r="N133" s="13">
        <f t="shared" si="23"/>
        <v>0</v>
      </c>
      <c r="O133" s="13">
        <f t="shared" si="23"/>
        <v>33424.161152224064</v>
      </c>
      <c r="P133" s="13">
        <f t="shared" si="23"/>
        <v>0</v>
      </c>
      <c r="Q133" s="13">
        <f t="shared" si="23"/>
        <v>0</v>
      </c>
      <c r="R133" s="13">
        <f t="shared" si="23"/>
        <v>142864.62836815297</v>
      </c>
      <c r="S133" s="13">
        <f t="shared" si="23"/>
        <v>4396110.4842057787</v>
      </c>
    </row>
    <row r="134" spans="1:19" ht="10.5" x14ac:dyDescent="0.25">
      <c r="A134" s="6" t="s">
        <v>183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</row>
    <row r="135" spans="1:19" x14ac:dyDescent="0.2">
      <c r="A135" s="45" t="s">
        <v>184</v>
      </c>
      <c r="B135" s="11">
        <v>513.49568664174797</v>
      </c>
      <c r="C135" s="11">
        <v>0</v>
      </c>
      <c r="D135" s="11">
        <v>0</v>
      </c>
      <c r="E135" s="11">
        <v>0</v>
      </c>
      <c r="F135" s="11">
        <v>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1">
        <v>0</v>
      </c>
      <c r="R135" s="11">
        <v>2552.2135144274275</v>
      </c>
      <c r="S135" s="11">
        <f t="shared" ref="S135:S150" si="24">SUM(B135:R135)</f>
        <v>3065.7092010691754</v>
      </c>
    </row>
    <row r="136" spans="1:19" x14ac:dyDescent="0.2">
      <c r="A136" s="45" t="s">
        <v>185</v>
      </c>
      <c r="B136" s="11">
        <v>7924.1732354085789</v>
      </c>
      <c r="C136" s="11">
        <v>0</v>
      </c>
      <c r="D136" s="11">
        <v>0</v>
      </c>
      <c r="E136" s="11">
        <v>0</v>
      </c>
      <c r="F136" s="11">
        <v>0</v>
      </c>
      <c r="G136" s="11">
        <v>2800.4626490097062</v>
      </c>
      <c r="H136" s="11">
        <v>0</v>
      </c>
      <c r="I136" s="11">
        <v>0</v>
      </c>
      <c r="J136" s="11">
        <v>0</v>
      </c>
      <c r="K136" s="11">
        <v>0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2906.7213545501822</v>
      </c>
      <c r="S136" s="11">
        <f t="shared" si="24"/>
        <v>13631.357238968467</v>
      </c>
    </row>
    <row r="137" spans="1:19" x14ac:dyDescent="0.2">
      <c r="A137" s="45" t="s">
        <v>186</v>
      </c>
      <c r="B137" s="11">
        <v>9984.2583511894954</v>
      </c>
      <c r="C137" s="11">
        <v>0</v>
      </c>
      <c r="D137" s="11">
        <v>0</v>
      </c>
      <c r="E137" s="11">
        <v>0</v>
      </c>
      <c r="F137" s="11">
        <v>0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f t="shared" si="24"/>
        <v>9984.2583511894954</v>
      </c>
    </row>
    <row r="138" spans="1:19" x14ac:dyDescent="0.2">
      <c r="A138" s="45" t="s">
        <v>187</v>
      </c>
      <c r="B138" s="11">
        <v>29.837497590497808</v>
      </c>
      <c r="C138" s="11">
        <v>0</v>
      </c>
      <c r="D138" s="11">
        <v>0</v>
      </c>
      <c r="E138" s="11">
        <v>0</v>
      </c>
      <c r="F138" s="11">
        <v>0</v>
      </c>
      <c r="G138" s="11">
        <v>0</v>
      </c>
      <c r="H138" s="11">
        <v>0</v>
      </c>
      <c r="I138" s="11">
        <v>0</v>
      </c>
      <c r="J138" s="11">
        <v>0</v>
      </c>
      <c r="K138" s="11">
        <v>0</v>
      </c>
      <c r="L138" s="11">
        <v>0</v>
      </c>
      <c r="M138" s="11">
        <v>0</v>
      </c>
      <c r="N138" s="11">
        <v>0</v>
      </c>
      <c r="O138" s="11">
        <v>0</v>
      </c>
      <c r="P138" s="11">
        <v>0</v>
      </c>
      <c r="Q138" s="11">
        <v>0</v>
      </c>
      <c r="R138" s="11">
        <v>0</v>
      </c>
      <c r="S138" s="11">
        <f t="shared" si="24"/>
        <v>29.837497590497808</v>
      </c>
    </row>
    <row r="139" spans="1:19" x14ac:dyDescent="0.2">
      <c r="A139" s="45" t="s">
        <v>188</v>
      </c>
      <c r="B139" s="11">
        <v>6502.2565408110395</v>
      </c>
      <c r="C139" s="11">
        <v>0</v>
      </c>
      <c r="D139" s="11">
        <v>0</v>
      </c>
      <c r="E139" s="11">
        <v>2465.639356619015</v>
      </c>
      <c r="F139" s="11">
        <v>0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1">
        <v>2263.2412061900818</v>
      </c>
      <c r="S139" s="11">
        <f t="shared" si="24"/>
        <v>11231.137103620136</v>
      </c>
    </row>
    <row r="140" spans="1:19" x14ac:dyDescent="0.2">
      <c r="A140" s="45" t="s">
        <v>189</v>
      </c>
      <c r="B140" s="11">
        <v>10862.355419965805</v>
      </c>
      <c r="C140" s="11">
        <v>0</v>
      </c>
      <c r="D140" s="11">
        <v>0</v>
      </c>
      <c r="E140" s="11">
        <v>0</v>
      </c>
      <c r="F140" s="11">
        <v>0</v>
      </c>
      <c r="G140" s="11">
        <v>3642.6606330548425</v>
      </c>
      <c r="H140" s="11">
        <v>0</v>
      </c>
      <c r="I140" s="11">
        <v>0</v>
      </c>
      <c r="J140" s="11">
        <v>0</v>
      </c>
      <c r="K140" s="11">
        <v>0</v>
      </c>
      <c r="L140" s="11">
        <v>1469.1670485332875</v>
      </c>
      <c r="M140" s="11">
        <v>0</v>
      </c>
      <c r="N140" s="11">
        <v>0</v>
      </c>
      <c r="O140" s="11">
        <v>0</v>
      </c>
      <c r="P140" s="11">
        <v>1155.2502940486365</v>
      </c>
      <c r="Q140" s="11">
        <v>0</v>
      </c>
      <c r="R140" s="11">
        <v>2501.2597092473561</v>
      </c>
      <c r="S140" s="11">
        <f t="shared" si="24"/>
        <v>19630.693104849925</v>
      </c>
    </row>
    <row r="141" spans="1:19" x14ac:dyDescent="0.2">
      <c r="A141" s="45" t="s">
        <v>190</v>
      </c>
      <c r="B141" s="11">
        <v>5119.1782125039363</v>
      </c>
      <c r="C141" s="11">
        <v>0</v>
      </c>
      <c r="D141" s="11">
        <v>0</v>
      </c>
      <c r="E141" s="11">
        <v>6994.5746933528771</v>
      </c>
      <c r="F141" s="11">
        <v>22.027983026688521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10387.785506444096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1">
        <v>0</v>
      </c>
      <c r="S141" s="11">
        <f t="shared" si="24"/>
        <v>22523.566395327598</v>
      </c>
    </row>
    <row r="142" spans="1:19" x14ac:dyDescent="0.2">
      <c r="A142" s="45" t="s">
        <v>191</v>
      </c>
      <c r="B142" s="11">
        <v>60165.596976640954</v>
      </c>
      <c r="C142" s="11">
        <v>0</v>
      </c>
      <c r="D142" s="11">
        <v>0</v>
      </c>
      <c r="E142" s="11">
        <v>52882.266469358503</v>
      </c>
      <c r="F142" s="11">
        <v>3297.5578104955894</v>
      </c>
      <c r="G142" s="11">
        <v>0</v>
      </c>
      <c r="H142" s="11">
        <v>0</v>
      </c>
      <c r="I142" s="11">
        <v>0</v>
      </c>
      <c r="J142" s="11">
        <v>0</v>
      </c>
      <c r="K142" s="11">
        <v>0</v>
      </c>
      <c r="L142" s="11">
        <v>64344.025542036645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10341.711799185601</v>
      </c>
      <c r="S142" s="11">
        <f t="shared" si="24"/>
        <v>191031.15859771729</v>
      </c>
    </row>
    <row r="143" spans="1:19" x14ac:dyDescent="0.2">
      <c r="A143" s="45" t="s">
        <v>192</v>
      </c>
      <c r="B143" s="11">
        <v>1613.4433331392784</v>
      </c>
      <c r="C143" s="11">
        <v>0</v>
      </c>
      <c r="D143" s="11">
        <v>0</v>
      </c>
      <c r="E143" s="11">
        <v>0</v>
      </c>
      <c r="F143" s="11">
        <v>0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1">
        <v>0</v>
      </c>
      <c r="R143" s="11">
        <v>0</v>
      </c>
      <c r="S143" s="11">
        <f t="shared" si="24"/>
        <v>1613.4433331392784</v>
      </c>
    </row>
    <row r="144" spans="1:19" x14ac:dyDescent="0.2">
      <c r="A144" s="45" t="s">
        <v>193</v>
      </c>
      <c r="B144" s="11">
        <v>5914.2314848135102</v>
      </c>
      <c r="C144" s="11">
        <v>0</v>
      </c>
      <c r="D144" s="11">
        <v>0</v>
      </c>
      <c r="E144" s="11">
        <v>51257.86165000435</v>
      </c>
      <c r="F144" s="11">
        <v>13202.524757642428</v>
      </c>
      <c r="G144" s="11">
        <v>1302.0083761739456</v>
      </c>
      <c r="H144" s="11">
        <v>0</v>
      </c>
      <c r="I144" s="11">
        <v>0</v>
      </c>
      <c r="J144" s="11">
        <v>0</v>
      </c>
      <c r="K144" s="11">
        <v>0</v>
      </c>
      <c r="L144" s="11">
        <v>25375.98970369469</v>
      </c>
      <c r="M144" s="11">
        <v>0</v>
      </c>
      <c r="N144" s="11">
        <v>0</v>
      </c>
      <c r="O144" s="11">
        <v>0</v>
      </c>
      <c r="P144" s="11">
        <v>0</v>
      </c>
      <c r="Q144" s="11">
        <v>0</v>
      </c>
      <c r="R144" s="11">
        <v>6981.1304679839295</v>
      </c>
      <c r="S144" s="11">
        <f t="shared" si="24"/>
        <v>104033.74644031285</v>
      </c>
    </row>
    <row r="145" spans="1:19" x14ac:dyDescent="0.2">
      <c r="A145" s="45" t="s">
        <v>194</v>
      </c>
      <c r="B145" s="11">
        <v>2457.4198613853246</v>
      </c>
      <c r="C145" s="11">
        <v>0</v>
      </c>
      <c r="D145" s="11">
        <v>0</v>
      </c>
      <c r="E145" s="11">
        <v>0</v>
      </c>
      <c r="F145" s="11">
        <v>0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1">
        <v>0</v>
      </c>
      <c r="R145" s="11">
        <v>0</v>
      </c>
      <c r="S145" s="11">
        <f t="shared" si="24"/>
        <v>2457.4198613853246</v>
      </c>
    </row>
    <row r="146" spans="1:19" x14ac:dyDescent="0.2">
      <c r="A146" s="45" t="s">
        <v>195</v>
      </c>
      <c r="B146" s="11">
        <v>134940.19712281253</v>
      </c>
      <c r="C146" s="11">
        <v>0</v>
      </c>
      <c r="D146" s="11">
        <v>0</v>
      </c>
      <c r="E146" s="11">
        <v>0</v>
      </c>
      <c r="F146" s="11">
        <v>0</v>
      </c>
      <c r="G146" s="11">
        <v>13746.228819777041</v>
      </c>
      <c r="H146" s="11">
        <v>0</v>
      </c>
      <c r="I146" s="11">
        <v>0</v>
      </c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1">
        <v>52747.993897939406</v>
      </c>
      <c r="S146" s="11">
        <f t="shared" si="24"/>
        <v>201434.41984052898</v>
      </c>
    </row>
    <row r="147" spans="1:19" x14ac:dyDescent="0.2">
      <c r="A147" s="45" t="s">
        <v>196</v>
      </c>
      <c r="B147" s="11">
        <v>10016.94937425319</v>
      </c>
      <c r="C147" s="11">
        <v>0</v>
      </c>
      <c r="D147" s="11">
        <v>0</v>
      </c>
      <c r="E147" s="11">
        <v>0</v>
      </c>
      <c r="F147" s="11">
        <v>0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1991.3966429486959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f t="shared" si="24"/>
        <v>12008.346017201886</v>
      </c>
    </row>
    <row r="148" spans="1:19" x14ac:dyDescent="0.2">
      <c r="A148" s="45" t="s">
        <v>197</v>
      </c>
      <c r="B148" s="11">
        <v>640275.99030303105</v>
      </c>
      <c r="C148" s="11">
        <v>0</v>
      </c>
      <c r="D148" s="11">
        <v>0</v>
      </c>
      <c r="E148" s="11">
        <v>60946.731429757783</v>
      </c>
      <c r="F148" s="11">
        <v>0</v>
      </c>
      <c r="G148" s="11">
        <v>8384.7614075967031</v>
      </c>
      <c r="H148" s="11">
        <v>2535.708886748278</v>
      </c>
      <c r="I148" s="11">
        <v>0</v>
      </c>
      <c r="J148" s="11">
        <v>0</v>
      </c>
      <c r="K148" s="11">
        <v>0</v>
      </c>
      <c r="L148" s="11">
        <v>14608.354501908481</v>
      </c>
      <c r="M148" s="11">
        <v>0</v>
      </c>
      <c r="N148" s="11">
        <v>0</v>
      </c>
      <c r="O148" s="11">
        <v>0</v>
      </c>
      <c r="P148" s="11">
        <v>0</v>
      </c>
      <c r="Q148" s="11">
        <v>0</v>
      </c>
      <c r="R148" s="11">
        <v>58744.615915000992</v>
      </c>
      <c r="S148" s="11">
        <f t="shared" si="24"/>
        <v>785496.16244404344</v>
      </c>
    </row>
    <row r="149" spans="1:19" x14ac:dyDescent="0.2">
      <c r="A149" s="45" t="s">
        <v>198</v>
      </c>
      <c r="B149" s="11">
        <v>153000.25848877148</v>
      </c>
      <c r="C149" s="11">
        <v>0</v>
      </c>
      <c r="D149" s="11">
        <v>0</v>
      </c>
      <c r="E149" s="11">
        <v>0</v>
      </c>
      <c r="F149" s="11">
        <v>0</v>
      </c>
      <c r="G149" s="11">
        <v>0</v>
      </c>
      <c r="H149" s="11">
        <v>7408.3617788272086</v>
      </c>
      <c r="I149" s="11">
        <v>0</v>
      </c>
      <c r="J149" s="11">
        <v>0</v>
      </c>
      <c r="K149" s="11">
        <v>0</v>
      </c>
      <c r="L149" s="11">
        <v>622.14034449844917</v>
      </c>
      <c r="M149" s="11">
        <v>0</v>
      </c>
      <c r="N149" s="11">
        <v>0</v>
      </c>
      <c r="O149" s="11">
        <v>0</v>
      </c>
      <c r="P149" s="11">
        <v>0</v>
      </c>
      <c r="Q149" s="11">
        <v>0</v>
      </c>
      <c r="R149" s="11">
        <v>97066.09531626536</v>
      </c>
      <c r="S149" s="11">
        <f t="shared" si="24"/>
        <v>258096.85592836249</v>
      </c>
    </row>
    <row r="150" spans="1:19" x14ac:dyDescent="0.2">
      <c r="A150" s="45" t="s">
        <v>199</v>
      </c>
      <c r="B150" s="11">
        <v>98281.821116389809</v>
      </c>
      <c r="C150" s="11">
        <v>0</v>
      </c>
      <c r="D150" s="11">
        <v>0</v>
      </c>
      <c r="E150" s="11">
        <v>249.58289749234174</v>
      </c>
      <c r="F150" s="11">
        <v>0</v>
      </c>
      <c r="G150" s="11">
        <v>852.54642973407533</v>
      </c>
      <c r="H150" s="11">
        <v>0</v>
      </c>
      <c r="I150" s="11">
        <v>0</v>
      </c>
      <c r="J150" s="11">
        <v>0</v>
      </c>
      <c r="K150" s="11">
        <v>0</v>
      </c>
      <c r="L150" s="11">
        <v>0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3342.8592561959126</v>
      </c>
      <c r="S150" s="11">
        <f t="shared" si="24"/>
        <v>102726.80969981213</v>
      </c>
    </row>
    <row r="151" spans="1:19" ht="10.5" x14ac:dyDescent="0.25">
      <c r="A151" s="7" t="s">
        <v>200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</row>
    <row r="152" spans="1:19" x14ac:dyDescent="0.2">
      <c r="A152" s="8" t="s">
        <v>201</v>
      </c>
      <c r="B152" s="11">
        <v>67987.5655075182</v>
      </c>
      <c r="C152" s="11">
        <v>0</v>
      </c>
      <c r="D152" s="11">
        <v>0</v>
      </c>
      <c r="E152" s="11">
        <v>0</v>
      </c>
      <c r="F152" s="11">
        <v>0</v>
      </c>
      <c r="G152" s="11">
        <v>0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O152" s="11">
        <v>0</v>
      </c>
      <c r="P152" s="11">
        <v>0</v>
      </c>
      <c r="Q152" s="11">
        <v>0</v>
      </c>
      <c r="R152" s="11">
        <v>40998.180832868966</v>
      </c>
      <c r="S152" s="11">
        <f>SUM(B152:R152)</f>
        <v>108985.74634038717</v>
      </c>
    </row>
    <row r="153" spans="1:19" x14ac:dyDescent="0.2">
      <c r="A153" s="8" t="s">
        <v>202</v>
      </c>
      <c r="B153" s="11">
        <v>30.815631614654119</v>
      </c>
      <c r="C153" s="11">
        <v>0</v>
      </c>
      <c r="D153" s="11">
        <v>0</v>
      </c>
      <c r="E153" s="11">
        <v>0</v>
      </c>
      <c r="F153" s="11">
        <v>0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f>SUM(B153:R153)</f>
        <v>30.815631614654119</v>
      </c>
    </row>
    <row r="154" spans="1:19" ht="10.5" x14ac:dyDescent="0.25">
      <c r="A154" s="12" t="s">
        <v>203</v>
      </c>
      <c r="B154" s="13">
        <f t="shared" ref="B154:S154" si="25">SUM(B152:B153)</f>
        <v>68018.381139132849</v>
      </c>
      <c r="C154" s="13">
        <f t="shared" si="25"/>
        <v>0</v>
      </c>
      <c r="D154" s="13">
        <f t="shared" si="25"/>
        <v>0</v>
      </c>
      <c r="E154" s="13">
        <f t="shared" si="25"/>
        <v>0</v>
      </c>
      <c r="F154" s="13">
        <f t="shared" si="25"/>
        <v>0</v>
      </c>
      <c r="G154" s="13">
        <f t="shared" si="25"/>
        <v>0</v>
      </c>
      <c r="H154" s="13">
        <f t="shared" si="25"/>
        <v>0</v>
      </c>
      <c r="I154" s="13">
        <f t="shared" si="25"/>
        <v>0</v>
      </c>
      <c r="J154" s="13">
        <f t="shared" si="25"/>
        <v>0</v>
      </c>
      <c r="K154" s="13">
        <f t="shared" si="25"/>
        <v>0</v>
      </c>
      <c r="L154" s="13">
        <f t="shared" si="25"/>
        <v>0</v>
      </c>
      <c r="M154" s="13">
        <f t="shared" si="25"/>
        <v>0</v>
      </c>
      <c r="N154" s="13">
        <f t="shared" si="25"/>
        <v>0</v>
      </c>
      <c r="O154" s="13">
        <f t="shared" si="25"/>
        <v>0</v>
      </c>
      <c r="P154" s="13">
        <f t="shared" si="25"/>
        <v>0</v>
      </c>
      <c r="Q154" s="13">
        <f t="shared" si="25"/>
        <v>0</v>
      </c>
      <c r="R154" s="13">
        <f t="shared" si="25"/>
        <v>40998.180832868966</v>
      </c>
      <c r="S154" s="13">
        <f t="shared" si="25"/>
        <v>109016.56197200181</v>
      </c>
    </row>
    <row r="155" spans="1:19" ht="10.5" x14ac:dyDescent="0.25">
      <c r="A155" s="7" t="s">
        <v>204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</row>
    <row r="156" spans="1:19" x14ac:dyDescent="0.2">
      <c r="A156" s="8" t="s">
        <v>205</v>
      </c>
      <c r="B156" s="11">
        <v>550122.94319225533</v>
      </c>
      <c r="C156" s="11">
        <v>0</v>
      </c>
      <c r="D156" s="11">
        <v>0</v>
      </c>
      <c r="E156" s="11">
        <v>0</v>
      </c>
      <c r="F156" s="11">
        <v>0</v>
      </c>
      <c r="G156" s="11">
        <v>0</v>
      </c>
      <c r="H156" s="11">
        <v>0</v>
      </c>
      <c r="I156" s="11">
        <v>0</v>
      </c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f>SUM(B156:R156)</f>
        <v>550122.94319225533</v>
      </c>
    </row>
    <row r="157" spans="1:19" x14ac:dyDescent="0.2">
      <c r="A157" s="8" t="s">
        <v>206</v>
      </c>
      <c r="B157" s="11">
        <v>-6063.1835930997222</v>
      </c>
      <c r="C157" s="11">
        <v>0</v>
      </c>
      <c r="D157" s="11">
        <v>0</v>
      </c>
      <c r="E157" s="11">
        <v>195582.51578513236</v>
      </c>
      <c r="F157" s="11">
        <v>0</v>
      </c>
      <c r="G157" s="11">
        <v>49690.008643645226</v>
      </c>
      <c r="H157" s="11">
        <v>0</v>
      </c>
      <c r="I157" s="11">
        <v>0</v>
      </c>
      <c r="J157" s="11">
        <v>0</v>
      </c>
      <c r="K157" s="11">
        <v>298.96027225134577</v>
      </c>
      <c r="L157" s="11">
        <v>21643.488649939565</v>
      </c>
      <c r="M157" s="11">
        <v>0</v>
      </c>
      <c r="N157" s="11">
        <v>0</v>
      </c>
      <c r="O157" s="11">
        <v>0</v>
      </c>
      <c r="P157" s="11">
        <v>0</v>
      </c>
      <c r="Q157" s="11">
        <v>0</v>
      </c>
      <c r="R157" s="11">
        <v>33094.830092070457</v>
      </c>
      <c r="S157" s="11">
        <f>SUM(B157:R157)</f>
        <v>294246.61984993925</v>
      </c>
    </row>
    <row r="158" spans="1:19" ht="10.5" x14ac:dyDescent="0.25">
      <c r="A158" s="12" t="s">
        <v>207</v>
      </c>
      <c r="B158" s="13">
        <f t="shared" ref="B158:S158" si="26">SUM(B156:B157)</f>
        <v>544059.75959915563</v>
      </c>
      <c r="C158" s="13">
        <f t="shared" si="26"/>
        <v>0</v>
      </c>
      <c r="D158" s="13">
        <f t="shared" si="26"/>
        <v>0</v>
      </c>
      <c r="E158" s="13">
        <f t="shared" si="26"/>
        <v>195582.51578513236</v>
      </c>
      <c r="F158" s="13">
        <f t="shared" si="26"/>
        <v>0</v>
      </c>
      <c r="G158" s="13">
        <f t="shared" si="26"/>
        <v>49690.008643645226</v>
      </c>
      <c r="H158" s="13">
        <f t="shared" si="26"/>
        <v>0</v>
      </c>
      <c r="I158" s="13">
        <f t="shared" si="26"/>
        <v>0</v>
      </c>
      <c r="J158" s="13">
        <f t="shared" si="26"/>
        <v>0</v>
      </c>
      <c r="K158" s="13">
        <f t="shared" si="26"/>
        <v>298.96027225134577</v>
      </c>
      <c r="L158" s="13">
        <f t="shared" si="26"/>
        <v>21643.488649939565</v>
      </c>
      <c r="M158" s="13">
        <f t="shared" si="26"/>
        <v>0</v>
      </c>
      <c r="N158" s="13">
        <f t="shared" si="26"/>
        <v>0</v>
      </c>
      <c r="O158" s="13">
        <f t="shared" si="26"/>
        <v>0</v>
      </c>
      <c r="P158" s="13">
        <f t="shared" si="26"/>
        <v>0</v>
      </c>
      <c r="Q158" s="13">
        <f t="shared" si="26"/>
        <v>0</v>
      </c>
      <c r="R158" s="13">
        <f t="shared" si="26"/>
        <v>33094.830092070457</v>
      </c>
      <c r="S158" s="13">
        <f t="shared" si="26"/>
        <v>844369.56304219458</v>
      </c>
    </row>
    <row r="159" spans="1:19" ht="10.5" x14ac:dyDescent="0.25">
      <c r="A159" s="14" t="s">
        <v>208</v>
      </c>
      <c r="B159" s="13">
        <f t="shared" ref="B159:S159" si="27">SUM(B135:B150,B154,B158)</f>
        <v>1759679.6037436365</v>
      </c>
      <c r="C159" s="13">
        <f t="shared" si="27"/>
        <v>0</v>
      </c>
      <c r="D159" s="13">
        <f t="shared" si="27"/>
        <v>0</v>
      </c>
      <c r="E159" s="13">
        <f t="shared" si="27"/>
        <v>370379.17228171718</v>
      </c>
      <c r="F159" s="13">
        <f t="shared" si="27"/>
        <v>16522.110551164707</v>
      </c>
      <c r="G159" s="13">
        <f t="shared" si="27"/>
        <v>80418.676958991535</v>
      </c>
      <c r="H159" s="13">
        <f t="shared" si="27"/>
        <v>9944.0706655754875</v>
      </c>
      <c r="I159" s="13">
        <f t="shared" si="27"/>
        <v>0</v>
      </c>
      <c r="J159" s="13">
        <f t="shared" si="27"/>
        <v>0</v>
      </c>
      <c r="K159" s="13">
        <f t="shared" si="27"/>
        <v>298.96027225134577</v>
      </c>
      <c r="L159" s="13">
        <f t="shared" si="27"/>
        <v>140442.34794000391</v>
      </c>
      <c r="M159" s="13">
        <f t="shared" si="27"/>
        <v>0</v>
      </c>
      <c r="N159" s="13">
        <f t="shared" si="27"/>
        <v>0</v>
      </c>
      <c r="O159" s="13">
        <f t="shared" si="27"/>
        <v>0</v>
      </c>
      <c r="P159" s="13">
        <f t="shared" si="27"/>
        <v>1155.2502940486365</v>
      </c>
      <c r="Q159" s="13">
        <f t="shared" si="27"/>
        <v>0</v>
      </c>
      <c r="R159" s="13">
        <f t="shared" si="27"/>
        <v>313540.85336192563</v>
      </c>
      <c r="S159" s="13">
        <f t="shared" si="27"/>
        <v>2692381.0460693156</v>
      </c>
    </row>
    <row r="160" spans="1:19" ht="10.5" x14ac:dyDescent="0.25">
      <c r="A160" s="15" t="s">
        <v>235</v>
      </c>
      <c r="B160" s="13">
        <f t="shared" ref="B160:S160" si="28">SUM(B133,B159)</f>
        <v>5913924.9396936139</v>
      </c>
      <c r="C160" s="13">
        <f t="shared" si="28"/>
        <v>2852.835671244758</v>
      </c>
      <c r="D160" s="13">
        <f t="shared" si="28"/>
        <v>0</v>
      </c>
      <c r="E160" s="13">
        <f t="shared" si="28"/>
        <v>413755.16224762949</v>
      </c>
      <c r="F160" s="13">
        <f t="shared" si="28"/>
        <v>16522.110551164707</v>
      </c>
      <c r="G160" s="13">
        <f t="shared" si="28"/>
        <v>92569.431584869046</v>
      </c>
      <c r="H160" s="13">
        <f t="shared" si="28"/>
        <v>11324.060835212334</v>
      </c>
      <c r="I160" s="13">
        <f t="shared" si="28"/>
        <v>0</v>
      </c>
      <c r="J160" s="13">
        <f t="shared" si="28"/>
        <v>0</v>
      </c>
      <c r="K160" s="13">
        <f t="shared" si="28"/>
        <v>686.9100810143791</v>
      </c>
      <c r="L160" s="13">
        <f t="shared" si="28"/>
        <v>145871.18643399357</v>
      </c>
      <c r="M160" s="13">
        <f t="shared" si="28"/>
        <v>0</v>
      </c>
      <c r="N160" s="13">
        <f t="shared" si="28"/>
        <v>0</v>
      </c>
      <c r="O160" s="13">
        <f t="shared" si="28"/>
        <v>33424.161152224064</v>
      </c>
      <c r="P160" s="13">
        <f t="shared" si="28"/>
        <v>1155.2502940486365</v>
      </c>
      <c r="Q160" s="13">
        <f t="shared" si="28"/>
        <v>0</v>
      </c>
      <c r="R160" s="13">
        <f t="shared" si="28"/>
        <v>456405.48173007858</v>
      </c>
      <c r="S160" s="13">
        <f t="shared" si="28"/>
        <v>7088491.5302750943</v>
      </c>
    </row>
    <row r="161" spans="1:19" ht="10.5" x14ac:dyDescent="0.2">
      <c r="A161" s="17" t="s">
        <v>59</v>
      </c>
      <c r="B161" s="18">
        <f t="shared" ref="B161:S161" si="29">B36-B160</f>
        <v>-5870899.5983398827</v>
      </c>
      <c r="C161" s="18">
        <f t="shared" si="29"/>
        <v>-2852.835671244758</v>
      </c>
      <c r="D161" s="18">
        <f t="shared" si="29"/>
        <v>3947.7930407869408</v>
      </c>
      <c r="E161" s="18">
        <f t="shared" si="29"/>
        <v>3564128.4668238102</v>
      </c>
      <c r="F161" s="18">
        <f t="shared" si="29"/>
        <v>-16522.110551164707</v>
      </c>
      <c r="G161" s="18">
        <f t="shared" si="29"/>
        <v>57559.330128332484</v>
      </c>
      <c r="H161" s="18">
        <f t="shared" si="29"/>
        <v>1466.9227729376435</v>
      </c>
      <c r="I161" s="18">
        <f t="shared" si="29"/>
        <v>473.01175041214697</v>
      </c>
      <c r="J161" s="18">
        <f t="shared" si="29"/>
        <v>15369.892085599695</v>
      </c>
      <c r="K161" s="18">
        <f t="shared" si="29"/>
        <v>4106.177182585152</v>
      </c>
      <c r="L161" s="18">
        <f t="shared" si="29"/>
        <v>107090.94591100456</v>
      </c>
      <c r="M161" s="18">
        <f t="shared" si="29"/>
        <v>194.21594252372358</v>
      </c>
      <c r="N161" s="18">
        <f t="shared" si="29"/>
        <v>11253.006286668879</v>
      </c>
      <c r="O161" s="18">
        <f t="shared" si="29"/>
        <v>43011.289397910492</v>
      </c>
      <c r="P161" s="18">
        <f t="shared" si="29"/>
        <v>25958.695113068676</v>
      </c>
      <c r="Q161" s="18">
        <f t="shared" si="29"/>
        <v>4615.0307265169413</v>
      </c>
      <c r="R161" s="18">
        <f t="shared" si="29"/>
        <v>-252048.81249095133</v>
      </c>
      <c r="S161" s="18">
        <f t="shared" si="29"/>
        <v>-2303148.5798910866</v>
      </c>
    </row>
    <row r="162" spans="1:19" ht="10.5" x14ac:dyDescent="0.2">
      <c r="A162" s="3" t="s">
        <v>236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</row>
    <row r="163" spans="1:19" ht="10.5" x14ac:dyDescent="0.25">
      <c r="A163" s="5" t="s">
        <v>209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</row>
    <row r="164" spans="1:19" ht="10.5" x14ac:dyDescent="0.25">
      <c r="A164" s="6" t="s">
        <v>210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</row>
    <row r="165" spans="1:19" x14ac:dyDescent="0.2">
      <c r="A165" s="45" t="s">
        <v>211</v>
      </c>
      <c r="B165" s="11">
        <v>30.362241794890295</v>
      </c>
      <c r="C165" s="11">
        <v>0</v>
      </c>
      <c r="D165" s="11">
        <v>0</v>
      </c>
      <c r="E165" s="11">
        <v>0</v>
      </c>
      <c r="F165" s="11">
        <v>0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1">
        <v>0</v>
      </c>
      <c r="R165" s="11">
        <v>0</v>
      </c>
      <c r="S165" s="11">
        <f>SUM(B165:R165)</f>
        <v>30.362241794890295</v>
      </c>
    </row>
    <row r="166" spans="1:19" x14ac:dyDescent="0.2">
      <c r="A166" s="45" t="s">
        <v>212</v>
      </c>
      <c r="B166" s="11">
        <v>165.63898630593241</v>
      </c>
      <c r="C166" s="11">
        <v>0</v>
      </c>
      <c r="D166" s="11">
        <v>0</v>
      </c>
      <c r="E166" s="11">
        <v>0</v>
      </c>
      <c r="F166" s="11">
        <v>0</v>
      </c>
      <c r="G166" s="11">
        <v>0</v>
      </c>
      <c r="H166" s="11">
        <v>0</v>
      </c>
      <c r="I166" s="11">
        <v>0</v>
      </c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>
        <v>0</v>
      </c>
      <c r="Q166" s="11">
        <v>0</v>
      </c>
      <c r="R166" s="11">
        <v>0</v>
      </c>
      <c r="S166" s="11">
        <f>SUM(B166:R166)</f>
        <v>165.63898630593241</v>
      </c>
    </row>
    <row r="167" spans="1:19" ht="10.5" x14ac:dyDescent="0.25">
      <c r="A167" s="14" t="s">
        <v>213</v>
      </c>
      <c r="B167" s="13">
        <f t="shared" ref="B167:S167" si="30">SUM(B165:B166)</f>
        <v>196.00122810082269</v>
      </c>
      <c r="C167" s="13">
        <f t="shared" si="30"/>
        <v>0</v>
      </c>
      <c r="D167" s="13">
        <f t="shared" si="30"/>
        <v>0</v>
      </c>
      <c r="E167" s="13">
        <f t="shared" si="30"/>
        <v>0</v>
      </c>
      <c r="F167" s="13">
        <f t="shared" si="30"/>
        <v>0</v>
      </c>
      <c r="G167" s="13">
        <f t="shared" si="30"/>
        <v>0</v>
      </c>
      <c r="H167" s="13">
        <f t="shared" si="30"/>
        <v>0</v>
      </c>
      <c r="I167" s="13">
        <f t="shared" si="30"/>
        <v>0</v>
      </c>
      <c r="J167" s="13">
        <f t="shared" si="30"/>
        <v>0</v>
      </c>
      <c r="K167" s="13">
        <f t="shared" si="30"/>
        <v>0</v>
      </c>
      <c r="L167" s="13">
        <f t="shared" si="30"/>
        <v>0</v>
      </c>
      <c r="M167" s="13">
        <f t="shared" si="30"/>
        <v>0</v>
      </c>
      <c r="N167" s="13">
        <f t="shared" si="30"/>
        <v>0</v>
      </c>
      <c r="O167" s="13">
        <f t="shared" si="30"/>
        <v>0</v>
      </c>
      <c r="P167" s="13">
        <f t="shared" si="30"/>
        <v>0</v>
      </c>
      <c r="Q167" s="13">
        <f t="shared" si="30"/>
        <v>0</v>
      </c>
      <c r="R167" s="13">
        <f t="shared" si="30"/>
        <v>0</v>
      </c>
      <c r="S167" s="13">
        <f t="shared" si="30"/>
        <v>196.00122810082269</v>
      </c>
    </row>
    <row r="168" spans="1:19" ht="10.5" x14ac:dyDescent="0.25">
      <c r="A168" s="15" t="s">
        <v>214</v>
      </c>
      <c r="B168" s="13">
        <f t="shared" ref="B168:S168" si="31">SUM(B167)</f>
        <v>196.00122810082269</v>
      </c>
      <c r="C168" s="13">
        <f t="shared" si="31"/>
        <v>0</v>
      </c>
      <c r="D168" s="13">
        <f t="shared" si="31"/>
        <v>0</v>
      </c>
      <c r="E168" s="13">
        <f t="shared" si="31"/>
        <v>0</v>
      </c>
      <c r="F168" s="13">
        <f t="shared" si="31"/>
        <v>0</v>
      </c>
      <c r="G168" s="13">
        <f t="shared" si="31"/>
        <v>0</v>
      </c>
      <c r="H168" s="13">
        <f t="shared" si="31"/>
        <v>0</v>
      </c>
      <c r="I168" s="13">
        <f t="shared" si="31"/>
        <v>0</v>
      </c>
      <c r="J168" s="13">
        <f t="shared" si="31"/>
        <v>0</v>
      </c>
      <c r="K168" s="13">
        <f t="shared" si="31"/>
        <v>0</v>
      </c>
      <c r="L168" s="13">
        <f t="shared" si="31"/>
        <v>0</v>
      </c>
      <c r="M168" s="13">
        <f t="shared" si="31"/>
        <v>0</v>
      </c>
      <c r="N168" s="13">
        <f t="shared" si="31"/>
        <v>0</v>
      </c>
      <c r="O168" s="13">
        <f t="shared" si="31"/>
        <v>0</v>
      </c>
      <c r="P168" s="13">
        <f t="shared" si="31"/>
        <v>0</v>
      </c>
      <c r="Q168" s="13">
        <f t="shared" si="31"/>
        <v>0</v>
      </c>
      <c r="R168" s="13">
        <f t="shared" si="31"/>
        <v>0</v>
      </c>
      <c r="S168" s="13">
        <f t="shared" si="31"/>
        <v>196.00122810082269</v>
      </c>
    </row>
    <row r="169" spans="1:19" ht="10.5" x14ac:dyDescent="0.25">
      <c r="A169" s="5" t="s">
        <v>237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</row>
    <row r="170" spans="1:19" x14ac:dyDescent="0.2">
      <c r="A170" s="49" t="s">
        <v>215</v>
      </c>
      <c r="B170" s="11">
        <v>1702.830456095872</v>
      </c>
      <c r="C170" s="11">
        <v>0</v>
      </c>
      <c r="D170" s="11">
        <v>0</v>
      </c>
      <c r="E170" s="11">
        <v>0</v>
      </c>
      <c r="F170" s="11">
        <v>0</v>
      </c>
      <c r="G170" s="11">
        <v>0</v>
      </c>
      <c r="H170" s="11">
        <v>0</v>
      </c>
      <c r="I170" s="11">
        <v>0</v>
      </c>
      <c r="J170" s="11">
        <v>0</v>
      </c>
      <c r="K170" s="11">
        <v>0</v>
      </c>
      <c r="L170" s="11">
        <v>0</v>
      </c>
      <c r="M170" s="11">
        <v>0</v>
      </c>
      <c r="N170" s="11">
        <v>0</v>
      </c>
      <c r="O170" s="11">
        <v>0</v>
      </c>
      <c r="P170" s="11">
        <v>0</v>
      </c>
      <c r="Q170" s="11">
        <v>0</v>
      </c>
      <c r="R170" s="11">
        <v>0</v>
      </c>
      <c r="S170" s="11">
        <f>SUM(B170:R170)</f>
        <v>1702.830456095872</v>
      </c>
    </row>
    <row r="171" spans="1:19" ht="10.5" x14ac:dyDescent="0.25">
      <c r="A171" s="6" t="s">
        <v>216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</row>
    <row r="172" spans="1:19" x14ac:dyDescent="0.2">
      <c r="A172" s="45" t="s">
        <v>217</v>
      </c>
      <c r="B172" s="11">
        <v>405.95228578186862</v>
      </c>
      <c r="C172" s="11">
        <v>0</v>
      </c>
      <c r="D172" s="11">
        <v>0</v>
      </c>
      <c r="E172" s="11">
        <v>0</v>
      </c>
      <c r="F172" s="11">
        <v>0</v>
      </c>
      <c r="G172" s="11">
        <v>0</v>
      </c>
      <c r="H172" s="11">
        <v>0</v>
      </c>
      <c r="I172" s="11">
        <v>0</v>
      </c>
      <c r="J172" s="11">
        <v>0</v>
      </c>
      <c r="K172" s="11">
        <v>0</v>
      </c>
      <c r="L172" s="11">
        <v>0</v>
      </c>
      <c r="M172" s="11">
        <v>0</v>
      </c>
      <c r="N172" s="11">
        <v>0</v>
      </c>
      <c r="O172" s="11">
        <v>0</v>
      </c>
      <c r="P172" s="11">
        <v>0</v>
      </c>
      <c r="Q172" s="11">
        <v>0</v>
      </c>
      <c r="R172" s="11">
        <v>0</v>
      </c>
      <c r="S172" s="11">
        <f>SUM(B172:R172)</f>
        <v>405.95228578186862</v>
      </c>
    </row>
    <row r="173" spans="1:19" ht="10.5" x14ac:dyDescent="0.25">
      <c r="A173" s="14" t="s">
        <v>218</v>
      </c>
      <c r="B173" s="13">
        <f t="shared" ref="B173:S173" si="32">SUM(B172)</f>
        <v>405.95228578186862</v>
      </c>
      <c r="C173" s="13">
        <f t="shared" si="32"/>
        <v>0</v>
      </c>
      <c r="D173" s="13">
        <f t="shared" si="32"/>
        <v>0</v>
      </c>
      <c r="E173" s="13">
        <f t="shared" si="32"/>
        <v>0</v>
      </c>
      <c r="F173" s="13">
        <f t="shared" si="32"/>
        <v>0</v>
      </c>
      <c r="G173" s="13">
        <f t="shared" si="32"/>
        <v>0</v>
      </c>
      <c r="H173" s="13">
        <f t="shared" si="32"/>
        <v>0</v>
      </c>
      <c r="I173" s="13">
        <f t="shared" si="32"/>
        <v>0</v>
      </c>
      <c r="J173" s="13">
        <f t="shared" si="32"/>
        <v>0</v>
      </c>
      <c r="K173" s="13">
        <f t="shared" si="32"/>
        <v>0</v>
      </c>
      <c r="L173" s="13">
        <f t="shared" si="32"/>
        <v>0</v>
      </c>
      <c r="M173" s="13">
        <f t="shared" si="32"/>
        <v>0</v>
      </c>
      <c r="N173" s="13">
        <f t="shared" si="32"/>
        <v>0</v>
      </c>
      <c r="O173" s="13">
        <f t="shared" si="32"/>
        <v>0</v>
      </c>
      <c r="P173" s="13">
        <f t="shared" si="32"/>
        <v>0</v>
      </c>
      <c r="Q173" s="13">
        <f t="shared" si="32"/>
        <v>0</v>
      </c>
      <c r="R173" s="13">
        <f t="shared" si="32"/>
        <v>0</v>
      </c>
      <c r="S173" s="13">
        <f t="shared" si="32"/>
        <v>405.95228578186862</v>
      </c>
    </row>
    <row r="174" spans="1:19" x14ac:dyDescent="0.2">
      <c r="A174" s="49" t="s">
        <v>219</v>
      </c>
      <c r="B174" s="11">
        <v>3.1411336360862459</v>
      </c>
      <c r="C174" s="11">
        <v>0</v>
      </c>
      <c r="D174" s="11">
        <v>0</v>
      </c>
      <c r="E174" s="11">
        <v>2.1960869556683589E-2</v>
      </c>
      <c r="F174" s="11">
        <v>0</v>
      </c>
      <c r="G174" s="11">
        <v>-6.0763524251620001E-5</v>
      </c>
      <c r="H174" s="11">
        <v>0</v>
      </c>
      <c r="I174" s="11">
        <v>0</v>
      </c>
      <c r="J174" s="11">
        <v>0</v>
      </c>
      <c r="K174" s="11">
        <v>0</v>
      </c>
      <c r="L174" s="11">
        <v>0</v>
      </c>
      <c r="M174" s="11">
        <v>0</v>
      </c>
      <c r="N174" s="11">
        <v>0</v>
      </c>
      <c r="O174" s="11">
        <v>0</v>
      </c>
      <c r="P174" s="11">
        <v>0</v>
      </c>
      <c r="Q174" s="11">
        <v>0</v>
      </c>
      <c r="R174" s="11">
        <v>0</v>
      </c>
      <c r="S174" s="11">
        <f>SUM(B174:R174)</f>
        <v>3.1630337421186776</v>
      </c>
    </row>
    <row r="175" spans="1:19" x14ac:dyDescent="0.2">
      <c r="A175" s="49" t="s">
        <v>220</v>
      </c>
      <c r="B175" s="11">
        <v>25885.079949516086</v>
      </c>
      <c r="C175" s="11">
        <v>0</v>
      </c>
      <c r="D175" s="11">
        <v>0</v>
      </c>
      <c r="E175" s="11">
        <v>1.7261310608442344</v>
      </c>
      <c r="F175" s="11">
        <v>0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1">
        <v>0</v>
      </c>
      <c r="R175" s="11">
        <v>4.1533960433978256</v>
      </c>
      <c r="S175" s="11">
        <f>SUM(B175:R175)</f>
        <v>25890.95947662033</v>
      </c>
    </row>
    <row r="176" spans="1:19" ht="10.5" x14ac:dyDescent="0.25">
      <c r="A176" s="15" t="s">
        <v>238</v>
      </c>
      <c r="B176" s="13">
        <f t="shared" ref="B176:S176" si="33">SUM(B170,B173:B175)</f>
        <v>27997.003825029911</v>
      </c>
      <c r="C176" s="13">
        <f t="shared" si="33"/>
        <v>0</v>
      </c>
      <c r="D176" s="13">
        <f t="shared" si="33"/>
        <v>0</v>
      </c>
      <c r="E176" s="13">
        <f t="shared" si="33"/>
        <v>1.7480919304009179</v>
      </c>
      <c r="F176" s="13">
        <f t="shared" si="33"/>
        <v>0</v>
      </c>
      <c r="G176" s="13">
        <f t="shared" si="33"/>
        <v>-6.0763524251620001E-5</v>
      </c>
      <c r="H176" s="13">
        <f t="shared" si="33"/>
        <v>0</v>
      </c>
      <c r="I176" s="13">
        <f t="shared" si="33"/>
        <v>0</v>
      </c>
      <c r="J176" s="13">
        <f t="shared" si="33"/>
        <v>0</v>
      </c>
      <c r="K176" s="13">
        <f t="shared" si="33"/>
        <v>0</v>
      </c>
      <c r="L176" s="13">
        <f t="shared" si="33"/>
        <v>0</v>
      </c>
      <c r="M176" s="13">
        <f t="shared" si="33"/>
        <v>0</v>
      </c>
      <c r="N176" s="13">
        <f t="shared" si="33"/>
        <v>0</v>
      </c>
      <c r="O176" s="13">
        <f t="shared" si="33"/>
        <v>0</v>
      </c>
      <c r="P176" s="13">
        <f t="shared" si="33"/>
        <v>0</v>
      </c>
      <c r="Q176" s="13">
        <f t="shared" si="33"/>
        <v>0</v>
      </c>
      <c r="R176" s="13">
        <f t="shared" si="33"/>
        <v>4.1533960433978256</v>
      </c>
      <c r="S176" s="13">
        <f t="shared" si="33"/>
        <v>28002.905252240191</v>
      </c>
    </row>
    <row r="177" spans="1:19" ht="10.5" x14ac:dyDescent="0.2">
      <c r="A177" s="17" t="s">
        <v>239</v>
      </c>
      <c r="B177" s="18">
        <f t="shared" ref="B177:S177" si="34">B168-B176</f>
        <v>-27801.002596929087</v>
      </c>
      <c r="C177" s="18">
        <f t="shared" si="34"/>
        <v>0</v>
      </c>
      <c r="D177" s="18">
        <f t="shared" si="34"/>
        <v>0</v>
      </c>
      <c r="E177" s="18">
        <f t="shared" si="34"/>
        <v>-1.7480919304009179</v>
      </c>
      <c r="F177" s="18">
        <f t="shared" si="34"/>
        <v>0</v>
      </c>
      <c r="G177" s="18">
        <f t="shared" si="34"/>
        <v>6.0763524251620001E-5</v>
      </c>
      <c r="H177" s="18">
        <f t="shared" si="34"/>
        <v>0</v>
      </c>
      <c r="I177" s="18">
        <f t="shared" si="34"/>
        <v>0</v>
      </c>
      <c r="J177" s="18">
        <f t="shared" si="34"/>
        <v>0</v>
      </c>
      <c r="K177" s="18">
        <f t="shared" si="34"/>
        <v>0</v>
      </c>
      <c r="L177" s="18">
        <f t="shared" si="34"/>
        <v>0</v>
      </c>
      <c r="M177" s="18">
        <f t="shared" si="34"/>
        <v>0</v>
      </c>
      <c r="N177" s="18">
        <f t="shared" si="34"/>
        <v>0</v>
      </c>
      <c r="O177" s="18">
        <f t="shared" si="34"/>
        <v>0</v>
      </c>
      <c r="P177" s="18">
        <f t="shared" si="34"/>
        <v>0</v>
      </c>
      <c r="Q177" s="18">
        <f t="shared" si="34"/>
        <v>0</v>
      </c>
      <c r="R177" s="18">
        <f t="shared" si="34"/>
        <v>-4.1533960433978256</v>
      </c>
      <c r="S177" s="18">
        <f t="shared" si="34"/>
        <v>-27806.904024139367</v>
      </c>
    </row>
    <row r="178" spans="1:19" ht="10.5" x14ac:dyDescent="0.2">
      <c r="A178" s="17" t="s">
        <v>60</v>
      </c>
      <c r="B178" s="18">
        <f t="shared" ref="B178:S178" si="35">B161+B177</f>
        <v>-5898700.6009368114</v>
      </c>
      <c r="C178" s="18">
        <f t="shared" si="35"/>
        <v>-2852.835671244758</v>
      </c>
      <c r="D178" s="18">
        <f t="shared" si="35"/>
        <v>3947.7930407869408</v>
      </c>
      <c r="E178" s="18">
        <f t="shared" si="35"/>
        <v>3564126.7187318797</v>
      </c>
      <c r="F178" s="18">
        <f t="shared" si="35"/>
        <v>-16522.110551164707</v>
      </c>
      <c r="G178" s="18">
        <f t="shared" si="35"/>
        <v>57559.330189096007</v>
      </c>
      <c r="H178" s="18">
        <f t="shared" si="35"/>
        <v>1466.9227729376435</v>
      </c>
      <c r="I178" s="18">
        <f t="shared" si="35"/>
        <v>473.01175041214697</v>
      </c>
      <c r="J178" s="18">
        <f t="shared" si="35"/>
        <v>15369.892085599695</v>
      </c>
      <c r="K178" s="18">
        <f t="shared" si="35"/>
        <v>4106.177182585152</v>
      </c>
      <c r="L178" s="18">
        <f t="shared" si="35"/>
        <v>107090.94591100456</v>
      </c>
      <c r="M178" s="18">
        <f t="shared" si="35"/>
        <v>194.21594252372358</v>
      </c>
      <c r="N178" s="18">
        <f t="shared" si="35"/>
        <v>11253.006286668879</v>
      </c>
      <c r="O178" s="18">
        <f t="shared" si="35"/>
        <v>43011.289397910492</v>
      </c>
      <c r="P178" s="18">
        <f t="shared" si="35"/>
        <v>25958.695113068676</v>
      </c>
      <c r="Q178" s="18">
        <f t="shared" si="35"/>
        <v>4615.0307265169413</v>
      </c>
      <c r="R178" s="18">
        <f t="shared" si="35"/>
        <v>-252052.96588699473</v>
      </c>
      <c r="S178" s="18">
        <f t="shared" si="35"/>
        <v>-2330955.4839152261</v>
      </c>
    </row>
  </sheetData>
  <mergeCells count="6">
    <mergeCell ref="A1:S1"/>
    <mergeCell ref="A2:S2"/>
    <mergeCell ref="A3:S3"/>
    <mergeCell ref="A4:S4"/>
    <mergeCell ref="A5:S5"/>
    <mergeCell ref="A6:S6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8C1E8-53EF-47FB-8281-FB74F17CF5E2}">
  <sheetPr codeName="Sheet6"/>
  <dimension ref="A1:Z180"/>
  <sheetViews>
    <sheetView workbookViewId="0">
      <selection sqref="A1:Z1"/>
    </sheetView>
  </sheetViews>
  <sheetFormatPr defaultRowHeight="10" x14ac:dyDescent="0.2"/>
  <cols>
    <col min="1" max="1" width="41.1796875" style="1" bestFit="1" customWidth="1"/>
    <col min="2" max="2" width="11" style="1" bestFit="1" customWidth="1"/>
    <col min="3" max="3" width="9" style="1" bestFit="1" customWidth="1"/>
    <col min="4" max="4" width="9.36328125" style="1" bestFit="1" customWidth="1"/>
    <col min="5" max="5" width="9.81640625" style="1" bestFit="1" customWidth="1"/>
    <col min="6" max="6" width="8.1796875" style="1" bestFit="1" customWidth="1"/>
    <col min="7" max="8" width="10.54296875" style="1" bestFit="1" customWidth="1"/>
    <col min="9" max="10" width="9" style="1" bestFit="1" customWidth="1"/>
    <col min="11" max="11" width="8.54296875" style="1" bestFit="1" customWidth="1"/>
    <col min="12" max="13" width="10.54296875" style="1" bestFit="1" customWidth="1"/>
    <col min="14" max="14" width="9" style="1" bestFit="1" customWidth="1"/>
    <col min="15" max="15" width="8.1796875" style="1" bestFit="1" customWidth="1"/>
    <col min="16" max="16" width="6.1796875" style="1" bestFit="1" customWidth="1"/>
    <col min="17" max="18" width="9" style="1" bestFit="1" customWidth="1"/>
    <col min="19" max="19" width="9.36328125" style="1" bestFit="1" customWidth="1"/>
    <col min="20" max="20" width="8.54296875" style="1" bestFit="1" customWidth="1"/>
    <col min="21" max="21" width="9.81640625" style="1" bestFit="1" customWidth="1"/>
    <col min="22" max="22" width="10.81640625" style="1" bestFit="1" customWidth="1"/>
    <col min="23" max="24" width="9.81640625" style="1" bestFit="1" customWidth="1"/>
    <col min="25" max="25" width="14" style="1" bestFit="1" customWidth="1"/>
    <col min="26" max="26" width="11" style="1" bestFit="1" customWidth="1"/>
    <col min="27" max="16384" width="8.7265625" style="1"/>
  </cols>
  <sheetData>
    <row r="1" spans="1:26" ht="15.5" x14ac:dyDescent="0.35">
      <c r="A1" s="58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</row>
    <row r="2" spans="1:26" ht="15.5" x14ac:dyDescent="0.35">
      <c r="A2" s="58" t="s">
        <v>1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</row>
    <row r="3" spans="1:26" ht="18" x14ac:dyDescent="0.4">
      <c r="A3" s="59" t="s">
        <v>61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</row>
    <row r="4" spans="1:26" ht="18" x14ac:dyDescent="0.4">
      <c r="A4" s="59" t="s">
        <v>2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</row>
    <row r="5" spans="1:26" ht="18" x14ac:dyDescent="0.4">
      <c r="A5" s="59" t="s">
        <v>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</row>
    <row r="6" spans="1:26" ht="18" x14ac:dyDescent="0.4">
      <c r="A6" s="59" t="s">
        <v>3</v>
      </c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</row>
    <row r="7" spans="1:26" x14ac:dyDescent="0.2">
      <c r="A7" s="2" t="s">
        <v>4</v>
      </c>
      <c r="B7" s="53" t="s">
        <v>232</v>
      </c>
      <c r="C7" s="61" t="s">
        <v>253</v>
      </c>
      <c r="D7" s="61"/>
      <c r="E7" s="61"/>
      <c r="F7" s="61"/>
      <c r="G7" s="61"/>
      <c r="H7" s="61"/>
      <c r="I7" s="61" t="s">
        <v>254</v>
      </c>
      <c r="J7" s="61"/>
      <c r="K7" s="61"/>
      <c r="L7" s="61"/>
      <c r="M7" s="61"/>
      <c r="N7" s="61" t="s">
        <v>255</v>
      </c>
      <c r="O7" s="61"/>
      <c r="P7" s="61"/>
      <c r="Q7" s="61"/>
      <c r="R7" s="61"/>
      <c r="S7" s="61"/>
      <c r="T7" s="61"/>
      <c r="U7" s="61"/>
      <c r="V7" s="61"/>
      <c r="W7" s="61"/>
      <c r="X7" s="61"/>
      <c r="Y7" s="53" t="s">
        <v>19</v>
      </c>
      <c r="Z7" s="53" t="s">
        <v>64</v>
      </c>
    </row>
    <row r="8" spans="1:26" x14ac:dyDescent="0.2">
      <c r="A8" s="2" t="s">
        <v>62</v>
      </c>
      <c r="B8" s="60" t="s">
        <v>11</v>
      </c>
      <c r="C8" s="60" t="s">
        <v>11</v>
      </c>
      <c r="D8" s="53" t="s">
        <v>28</v>
      </c>
      <c r="E8" s="53" t="s">
        <v>244</v>
      </c>
      <c r="F8" s="53" t="s">
        <v>256</v>
      </c>
      <c r="G8" s="53" t="s">
        <v>27</v>
      </c>
      <c r="H8" s="53" t="s">
        <v>64</v>
      </c>
      <c r="I8" s="60" t="s">
        <v>11</v>
      </c>
      <c r="J8" s="53" t="s">
        <v>246</v>
      </c>
      <c r="K8" s="53" t="s">
        <v>249</v>
      </c>
      <c r="L8" s="53" t="s">
        <v>31</v>
      </c>
      <c r="M8" s="53" t="s">
        <v>64</v>
      </c>
      <c r="N8" s="60" t="s">
        <v>11</v>
      </c>
      <c r="O8" s="61" t="s">
        <v>248</v>
      </c>
      <c r="P8" s="61"/>
      <c r="Q8" s="61"/>
      <c r="R8" s="61"/>
      <c r="S8" s="61" t="s">
        <v>21</v>
      </c>
      <c r="T8" s="61"/>
      <c r="U8" s="61"/>
      <c r="V8" s="61"/>
      <c r="W8" s="61"/>
      <c r="X8" s="53" t="s">
        <v>64</v>
      </c>
      <c r="Y8" s="60" t="s">
        <v>11</v>
      </c>
      <c r="Z8" s="60" t="s">
        <v>11</v>
      </c>
    </row>
    <row r="9" spans="1:26" x14ac:dyDescent="0.2">
      <c r="A9" s="2" t="s">
        <v>62</v>
      </c>
      <c r="B9" s="60"/>
      <c r="C9" s="60"/>
      <c r="D9" s="60" t="s">
        <v>11</v>
      </c>
      <c r="E9" s="60" t="s">
        <v>11</v>
      </c>
      <c r="F9" s="60" t="s">
        <v>11</v>
      </c>
      <c r="G9" s="60" t="s">
        <v>11</v>
      </c>
      <c r="H9" s="60" t="s">
        <v>11</v>
      </c>
      <c r="I9" s="60"/>
      <c r="J9" s="60" t="s">
        <v>11</v>
      </c>
      <c r="K9" s="60" t="s">
        <v>11</v>
      </c>
      <c r="L9" s="60" t="s">
        <v>11</v>
      </c>
      <c r="M9" s="60" t="s">
        <v>11</v>
      </c>
      <c r="N9" s="60"/>
      <c r="O9" s="60" t="s">
        <v>11</v>
      </c>
      <c r="P9" s="53" t="s">
        <v>250</v>
      </c>
      <c r="Q9" s="53" t="s">
        <v>247</v>
      </c>
      <c r="R9" s="53" t="s">
        <v>64</v>
      </c>
      <c r="S9" s="60" t="s">
        <v>11</v>
      </c>
      <c r="T9" s="53" t="s">
        <v>245</v>
      </c>
      <c r="U9" s="53" t="s">
        <v>243</v>
      </c>
      <c r="V9" s="53" t="s">
        <v>242</v>
      </c>
      <c r="W9" s="53" t="s">
        <v>64</v>
      </c>
      <c r="X9" s="60" t="s">
        <v>11</v>
      </c>
      <c r="Y9" s="60"/>
      <c r="Z9" s="60"/>
    </row>
    <row r="10" spans="1:26" x14ac:dyDescent="0.2">
      <c r="A10" s="2" t="s">
        <v>62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53" t="s">
        <v>11</v>
      </c>
      <c r="Q10" s="53" t="s">
        <v>11</v>
      </c>
      <c r="R10" s="53" t="s">
        <v>11</v>
      </c>
      <c r="S10" s="60"/>
      <c r="T10" s="53" t="s">
        <v>11</v>
      </c>
      <c r="U10" s="53" t="s">
        <v>11</v>
      </c>
      <c r="V10" s="53" t="s">
        <v>11</v>
      </c>
      <c r="W10" s="53" t="s">
        <v>11</v>
      </c>
      <c r="X10" s="60"/>
      <c r="Y10" s="60"/>
      <c r="Z10" s="60"/>
    </row>
    <row r="11" spans="1:26" ht="10.5" x14ac:dyDescent="0.2">
      <c r="A11" s="3" t="s">
        <v>12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0.5" x14ac:dyDescent="0.25">
      <c r="A12" s="5" t="s">
        <v>13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0.5" x14ac:dyDescent="0.25">
      <c r="A13" s="6" t="s">
        <v>14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">
      <c r="A14" s="45" t="s">
        <v>15</v>
      </c>
      <c r="B14" s="11">
        <v>0</v>
      </c>
      <c r="C14" s="11">
        <v>-2855.761620809034</v>
      </c>
      <c r="D14" s="50">
        <f>PLperRegion!D14-InternalSalesPerRegion!E2</f>
        <v>170935.60685130191</v>
      </c>
      <c r="E14" s="11">
        <v>409580.6897805378</v>
      </c>
      <c r="F14" s="11">
        <v>0</v>
      </c>
      <c r="G14" s="50">
        <f>PLperRegion!G14-InternalSalesPerRegion!F2</f>
        <v>3971210.629665555</v>
      </c>
      <c r="H14" s="11">
        <f>SUM(C14:G14)</f>
        <v>4548871.1646765862</v>
      </c>
      <c r="I14" s="11">
        <v>0</v>
      </c>
      <c r="J14" s="11">
        <v>4394.4012763955125</v>
      </c>
      <c r="K14" s="11">
        <v>28989.241710482645</v>
      </c>
      <c r="L14" s="50">
        <f>PLperRegion!L14-InternalSalesPerRegion!B2</f>
        <v>522174.59768076934</v>
      </c>
      <c r="M14" s="11">
        <f>SUM(I14:L14)</f>
        <v>555558.24066764745</v>
      </c>
      <c r="N14" s="11">
        <v>0</v>
      </c>
      <c r="O14" s="11">
        <v>42.132564620941096</v>
      </c>
      <c r="P14" s="11">
        <v>71.172855410622589</v>
      </c>
      <c r="Q14" s="11">
        <v>8.1503853275706604</v>
      </c>
      <c r="R14" s="11">
        <f>SUM(O14:Q14)</f>
        <v>121.45580535913435</v>
      </c>
      <c r="S14" s="50">
        <f>PLperRegion!S14-InternalSalesPerRegion!C2</f>
        <v>481859.74753657408</v>
      </c>
      <c r="T14" s="11">
        <v>18964.50497342573</v>
      </c>
      <c r="U14" s="11">
        <v>182893.82704731741</v>
      </c>
      <c r="V14" s="11">
        <v>165461.48581861047</v>
      </c>
      <c r="W14" s="11">
        <f>SUM(S14:V14)</f>
        <v>849179.5653759276</v>
      </c>
      <c r="X14" s="11">
        <f>SUM(N14,R14,W14)</f>
        <v>849301.02118128678</v>
      </c>
      <c r="Y14" s="50">
        <f>PLperRegion!Y14-InternalSalesPerRegion!D2</f>
        <v>459895.08989769453</v>
      </c>
      <c r="Z14" s="11">
        <f>SUM(B14,H14,M14,X14:Y14)</f>
        <v>6413625.5164232142</v>
      </c>
    </row>
    <row r="15" spans="1:26" x14ac:dyDescent="0.2">
      <c r="A15" s="45" t="s">
        <v>70</v>
      </c>
      <c r="B15" s="11">
        <v>0</v>
      </c>
      <c r="C15" s="11">
        <v>0</v>
      </c>
      <c r="D15" s="11">
        <v>0</v>
      </c>
      <c r="E15" s="11">
        <v>9327.9259502491277</v>
      </c>
      <c r="F15" s="11">
        <v>0</v>
      </c>
      <c r="G15" s="11">
        <v>116169.74494845333</v>
      </c>
      <c r="H15" s="11">
        <f>SUM(C15:G15)</f>
        <v>125497.67089870246</v>
      </c>
      <c r="I15" s="11">
        <v>0</v>
      </c>
      <c r="J15" s="11">
        <v>0</v>
      </c>
      <c r="K15" s="11">
        <v>0</v>
      </c>
      <c r="L15" s="11">
        <v>270.32037921983073</v>
      </c>
      <c r="M15" s="11">
        <f>SUM(I15:L15)</f>
        <v>270.32037921983073</v>
      </c>
      <c r="N15" s="11">
        <v>0</v>
      </c>
      <c r="O15" s="11">
        <v>0</v>
      </c>
      <c r="P15" s="11">
        <v>0</v>
      </c>
      <c r="Q15" s="11">
        <v>0</v>
      </c>
      <c r="R15" s="11">
        <f>SUM(O15:Q15)</f>
        <v>0</v>
      </c>
      <c r="S15" s="11">
        <v>8.0308409285032365</v>
      </c>
      <c r="T15" s="11">
        <v>0</v>
      </c>
      <c r="U15" s="11">
        <v>895.30154009227783</v>
      </c>
      <c r="V15" s="11">
        <v>2042.8351483079878</v>
      </c>
      <c r="W15" s="11">
        <f>SUM(S15:V15)</f>
        <v>2946.167529328769</v>
      </c>
      <c r="X15" s="11">
        <f>SUM(N15,R15,W15)</f>
        <v>2946.167529328769</v>
      </c>
      <c r="Y15" s="11">
        <v>184794.57000327061</v>
      </c>
      <c r="Z15" s="11">
        <f>SUM(B15,H15,M15,X15:Y15)</f>
        <v>313508.72881052166</v>
      </c>
    </row>
    <row r="16" spans="1:26" x14ac:dyDescent="0.2">
      <c r="A16" s="45" t="s">
        <v>71</v>
      </c>
      <c r="B16" s="11">
        <v>0</v>
      </c>
      <c r="C16" s="11">
        <v>0</v>
      </c>
      <c r="D16" s="11">
        <v>147.91503175033978</v>
      </c>
      <c r="E16" s="11">
        <v>0</v>
      </c>
      <c r="F16" s="11">
        <v>0</v>
      </c>
      <c r="G16" s="11">
        <v>0</v>
      </c>
      <c r="H16" s="11">
        <f>SUM(C16:G16)</f>
        <v>147.91503175033978</v>
      </c>
      <c r="I16" s="11">
        <v>0</v>
      </c>
      <c r="J16" s="11">
        <v>0</v>
      </c>
      <c r="K16" s="11">
        <v>0</v>
      </c>
      <c r="L16" s="11">
        <v>-15460.659488541542</v>
      </c>
      <c r="M16" s="11">
        <f>SUM(I16:L16)</f>
        <v>-15460.659488541542</v>
      </c>
      <c r="N16" s="11">
        <v>0</v>
      </c>
      <c r="O16" s="11">
        <v>0</v>
      </c>
      <c r="P16" s="11">
        <v>0</v>
      </c>
      <c r="Q16" s="11">
        <v>0</v>
      </c>
      <c r="R16" s="11">
        <f>SUM(O16:Q16)</f>
        <v>0</v>
      </c>
      <c r="S16" s="11">
        <v>-3612.3843288942217</v>
      </c>
      <c r="T16" s="11">
        <v>0</v>
      </c>
      <c r="U16" s="11">
        <v>-887.43207886940695</v>
      </c>
      <c r="V16" s="11">
        <v>0</v>
      </c>
      <c r="W16" s="11">
        <f>SUM(S16:V16)</f>
        <v>-4499.8164077636284</v>
      </c>
      <c r="X16" s="11">
        <f>SUM(N16,R16,W16)</f>
        <v>-4499.8164077636284</v>
      </c>
      <c r="Y16" s="11">
        <v>-913.06055411377713</v>
      </c>
      <c r="Z16" s="11">
        <f>SUM(B16,H16,M16,X16:Y16)</f>
        <v>-20725.621418668608</v>
      </c>
    </row>
    <row r="17" spans="1:26" x14ac:dyDescent="0.2">
      <c r="A17" s="45" t="s">
        <v>72</v>
      </c>
      <c r="B17" s="11">
        <v>0</v>
      </c>
      <c r="C17" s="11">
        <v>0</v>
      </c>
      <c r="D17" s="11">
        <v>0</v>
      </c>
      <c r="E17" s="11">
        <v>0</v>
      </c>
      <c r="F17" s="11">
        <v>0</v>
      </c>
      <c r="G17" s="11">
        <v>0</v>
      </c>
      <c r="H17" s="11">
        <f>SUM(C17:G17)</f>
        <v>0</v>
      </c>
      <c r="I17" s="11">
        <v>0</v>
      </c>
      <c r="J17" s="11">
        <v>0</v>
      </c>
      <c r="K17" s="11">
        <v>0</v>
      </c>
      <c r="L17" s="11">
        <v>0</v>
      </c>
      <c r="M17" s="11">
        <f>SUM(I17:L17)</f>
        <v>0</v>
      </c>
      <c r="N17" s="11">
        <v>0</v>
      </c>
      <c r="O17" s="11">
        <v>0</v>
      </c>
      <c r="P17" s="11">
        <v>0</v>
      </c>
      <c r="Q17" s="11">
        <v>0</v>
      </c>
      <c r="R17" s="11">
        <f>SUM(O17:Q17)</f>
        <v>0</v>
      </c>
      <c r="S17" s="11">
        <v>0</v>
      </c>
      <c r="T17" s="11">
        <v>0</v>
      </c>
      <c r="U17" s="11">
        <v>129.33912109752427</v>
      </c>
      <c r="V17" s="11">
        <v>0</v>
      </c>
      <c r="W17" s="11">
        <f>SUM(S17:V17)</f>
        <v>129.33912109752427</v>
      </c>
      <c r="X17" s="11">
        <f>SUM(N17,R17,W17)</f>
        <v>129.33912109752427</v>
      </c>
      <c r="Y17" s="11">
        <v>29535.511202069432</v>
      </c>
      <c r="Z17" s="11">
        <f>SUM(B17,H17,M17,X17:Y17)</f>
        <v>29664.850323166957</v>
      </c>
    </row>
    <row r="18" spans="1:26" ht="10.5" x14ac:dyDescent="0.25">
      <c r="A18" s="14" t="s">
        <v>56</v>
      </c>
      <c r="B18" s="13">
        <f t="shared" ref="B18:Z18" si="0">SUM(B14:B17)</f>
        <v>0</v>
      </c>
      <c r="C18" s="13">
        <f t="shared" si="0"/>
        <v>-2855.761620809034</v>
      </c>
      <c r="D18" s="13">
        <f t="shared" si="0"/>
        <v>171083.52188305225</v>
      </c>
      <c r="E18" s="13">
        <f t="shared" si="0"/>
        <v>418908.61573078693</v>
      </c>
      <c r="F18" s="13">
        <f t="shared" si="0"/>
        <v>0</v>
      </c>
      <c r="G18" s="13">
        <f t="shared" si="0"/>
        <v>4087380.3746140082</v>
      </c>
      <c r="H18" s="13">
        <f t="shared" si="0"/>
        <v>4674516.7506070388</v>
      </c>
      <c r="I18" s="13">
        <f t="shared" si="0"/>
        <v>0</v>
      </c>
      <c r="J18" s="13">
        <f t="shared" si="0"/>
        <v>4394.4012763955125</v>
      </c>
      <c r="K18" s="13">
        <f t="shared" si="0"/>
        <v>28989.241710482645</v>
      </c>
      <c r="L18" s="13">
        <f t="shared" si="0"/>
        <v>506984.25857144763</v>
      </c>
      <c r="M18" s="13">
        <f t="shared" si="0"/>
        <v>540367.90155832574</v>
      </c>
      <c r="N18" s="13">
        <f t="shared" si="0"/>
        <v>0</v>
      </c>
      <c r="O18" s="13">
        <f t="shared" si="0"/>
        <v>42.132564620941096</v>
      </c>
      <c r="P18" s="13">
        <f t="shared" si="0"/>
        <v>71.172855410622589</v>
      </c>
      <c r="Q18" s="13">
        <f t="shared" si="0"/>
        <v>8.1503853275706604</v>
      </c>
      <c r="R18" s="13">
        <f t="shared" si="0"/>
        <v>121.45580535913435</v>
      </c>
      <c r="S18" s="13">
        <f t="shared" si="0"/>
        <v>478255.39404860837</v>
      </c>
      <c r="T18" s="13">
        <f t="shared" si="0"/>
        <v>18964.50497342573</v>
      </c>
      <c r="U18" s="13">
        <f t="shared" si="0"/>
        <v>183031.0356296378</v>
      </c>
      <c r="V18" s="13">
        <f t="shared" si="0"/>
        <v>167504.32096691846</v>
      </c>
      <c r="W18" s="13">
        <f t="shared" si="0"/>
        <v>847755.25561859028</v>
      </c>
      <c r="X18" s="13">
        <f t="shared" si="0"/>
        <v>847876.71142394945</v>
      </c>
      <c r="Y18" s="13">
        <f t="shared" si="0"/>
        <v>673312.11054892081</v>
      </c>
      <c r="Z18" s="13">
        <f t="shared" si="0"/>
        <v>6736073.4741382338</v>
      </c>
    </row>
    <row r="19" spans="1:26" ht="10.5" x14ac:dyDescent="0.25">
      <c r="A19" s="15" t="s">
        <v>57</v>
      </c>
      <c r="B19" s="13">
        <f t="shared" ref="B19:Z19" si="1">SUM(B18)</f>
        <v>0</v>
      </c>
      <c r="C19" s="13">
        <f t="shared" si="1"/>
        <v>-2855.761620809034</v>
      </c>
      <c r="D19" s="13">
        <f t="shared" si="1"/>
        <v>171083.52188305225</v>
      </c>
      <c r="E19" s="13">
        <f t="shared" si="1"/>
        <v>418908.61573078693</v>
      </c>
      <c r="F19" s="13">
        <f t="shared" si="1"/>
        <v>0</v>
      </c>
      <c r="G19" s="13">
        <f t="shared" si="1"/>
        <v>4087380.3746140082</v>
      </c>
      <c r="H19" s="13">
        <f t="shared" si="1"/>
        <v>4674516.7506070388</v>
      </c>
      <c r="I19" s="13">
        <f t="shared" si="1"/>
        <v>0</v>
      </c>
      <c r="J19" s="13">
        <f t="shared" si="1"/>
        <v>4394.4012763955125</v>
      </c>
      <c r="K19" s="13">
        <f t="shared" si="1"/>
        <v>28989.241710482645</v>
      </c>
      <c r="L19" s="13">
        <f t="shared" si="1"/>
        <v>506984.25857144763</v>
      </c>
      <c r="M19" s="13">
        <f t="shared" si="1"/>
        <v>540367.90155832574</v>
      </c>
      <c r="N19" s="13">
        <f t="shared" si="1"/>
        <v>0</v>
      </c>
      <c r="O19" s="13">
        <f t="shared" si="1"/>
        <v>42.132564620941096</v>
      </c>
      <c r="P19" s="13">
        <f t="shared" si="1"/>
        <v>71.172855410622589</v>
      </c>
      <c r="Q19" s="13">
        <f t="shared" si="1"/>
        <v>8.1503853275706604</v>
      </c>
      <c r="R19" s="13">
        <f t="shared" si="1"/>
        <v>121.45580535913435</v>
      </c>
      <c r="S19" s="13">
        <f t="shared" si="1"/>
        <v>478255.39404860837</v>
      </c>
      <c r="T19" s="13">
        <f t="shared" si="1"/>
        <v>18964.50497342573</v>
      </c>
      <c r="U19" s="13">
        <f t="shared" si="1"/>
        <v>183031.0356296378</v>
      </c>
      <c r="V19" s="13">
        <f t="shared" si="1"/>
        <v>167504.32096691846</v>
      </c>
      <c r="W19" s="13">
        <f t="shared" si="1"/>
        <v>847755.25561859028</v>
      </c>
      <c r="X19" s="13">
        <f t="shared" si="1"/>
        <v>847876.71142394945</v>
      </c>
      <c r="Y19" s="13">
        <f t="shared" si="1"/>
        <v>673312.11054892081</v>
      </c>
      <c r="Z19" s="13">
        <f t="shared" si="1"/>
        <v>6736073.4741382338</v>
      </c>
    </row>
    <row r="20" spans="1:26" ht="10.5" x14ac:dyDescent="0.25">
      <c r="A20" s="5" t="s">
        <v>221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0.5" x14ac:dyDescent="0.25">
      <c r="A21" s="6" t="s">
        <v>73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2">
      <c r="A22" s="45" t="s">
        <v>74</v>
      </c>
      <c r="B22" s="11">
        <v>55631.557448896179</v>
      </c>
      <c r="C22" s="11">
        <v>0</v>
      </c>
      <c r="D22" s="50">
        <f>PLperRegion!D22-InternalSalesPerRegion!E3</f>
        <v>72489.375798114459</v>
      </c>
      <c r="E22" s="11">
        <v>174164.76793493665</v>
      </c>
      <c r="F22" s="11">
        <v>0</v>
      </c>
      <c r="G22" s="50">
        <f>PLperRegion!G22-InternalSalesPerRegion!F3</f>
        <v>944162.959003294</v>
      </c>
      <c r="H22" s="11">
        <f>SUM(C22:G22)</f>
        <v>1190817.102736345</v>
      </c>
      <c r="I22" s="11">
        <v>0</v>
      </c>
      <c r="J22" s="11">
        <v>1795.1691279060844</v>
      </c>
      <c r="K22" s="11">
        <v>9629.0388483568058</v>
      </c>
      <c r="L22" s="50">
        <f>PLperRegion!L22-InternalSalesPerRegion!B3</f>
        <v>88188.992334210168</v>
      </c>
      <c r="M22" s="11">
        <f>SUM(I22:L22)</f>
        <v>99613.200310473054</v>
      </c>
      <c r="N22" s="11">
        <v>0</v>
      </c>
      <c r="O22" s="11">
        <v>46.898959198050335</v>
      </c>
      <c r="P22" s="11">
        <v>81.918915906504893</v>
      </c>
      <c r="Q22" s="11">
        <v>12.639003334058849</v>
      </c>
      <c r="R22" s="11">
        <f>SUM(O22:Q22)</f>
        <v>141.4568784386141</v>
      </c>
      <c r="S22" s="50">
        <f>PLperRegion!S22-InternalSalesPerRegion!C3</f>
        <v>168622.76034055511</v>
      </c>
      <c r="T22" s="11">
        <v>6793.6778198345628</v>
      </c>
      <c r="U22" s="11">
        <v>116494.94767723784</v>
      </c>
      <c r="V22" s="11">
        <v>82811.453590814082</v>
      </c>
      <c r="W22" s="11">
        <f>SUM(S22:V22)</f>
        <v>374722.8394284416</v>
      </c>
      <c r="X22" s="11">
        <f>SUM(N22,R22,W22)</f>
        <v>374864.29630688019</v>
      </c>
      <c r="Y22" s="50">
        <f>PLperRegion!Y22-InternalSalesPerRegion!D3</f>
        <v>197206.07611173729</v>
      </c>
      <c r="Z22" s="11">
        <f>SUM(B22,H22,M22,X22:Y22)</f>
        <v>1918132.2329143318</v>
      </c>
    </row>
    <row r="23" spans="1:26" x14ac:dyDescent="0.2">
      <c r="A23" s="45" t="s">
        <v>75</v>
      </c>
      <c r="B23" s="11">
        <v>49415.050164174449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f>SUM(C23:G23)</f>
        <v>0</v>
      </c>
      <c r="I23" s="11">
        <v>0</v>
      </c>
      <c r="J23" s="11">
        <v>0</v>
      </c>
      <c r="K23" s="11">
        <v>0</v>
      </c>
      <c r="L23" s="11">
        <v>0</v>
      </c>
      <c r="M23" s="11">
        <f>SUM(I23:L23)</f>
        <v>0</v>
      </c>
      <c r="N23" s="11">
        <v>0</v>
      </c>
      <c r="O23" s="11">
        <v>0</v>
      </c>
      <c r="P23" s="11">
        <v>0</v>
      </c>
      <c r="Q23" s="11">
        <v>0</v>
      </c>
      <c r="R23" s="11">
        <f>SUM(O23:Q23)</f>
        <v>0</v>
      </c>
      <c r="S23" s="11">
        <v>0</v>
      </c>
      <c r="T23" s="11">
        <v>0</v>
      </c>
      <c r="U23" s="11">
        <v>0</v>
      </c>
      <c r="V23" s="11">
        <v>0</v>
      </c>
      <c r="W23" s="11">
        <f>SUM(S23:V23)</f>
        <v>0</v>
      </c>
      <c r="X23" s="11">
        <f>SUM(N23,R23,W23)</f>
        <v>0</v>
      </c>
      <c r="Y23" s="11">
        <v>0</v>
      </c>
      <c r="Z23" s="11">
        <f>SUM(B23,H23,M23,X23:Y23)</f>
        <v>49415.050164174449</v>
      </c>
    </row>
    <row r="24" spans="1:26" x14ac:dyDescent="0.2">
      <c r="A24" s="45" t="s">
        <v>76</v>
      </c>
      <c r="B24" s="11">
        <v>0</v>
      </c>
      <c r="C24" s="11">
        <v>0</v>
      </c>
      <c r="D24" s="11">
        <v>0</v>
      </c>
      <c r="E24" s="11">
        <v>27285.513097847655</v>
      </c>
      <c r="F24" s="11">
        <v>0</v>
      </c>
      <c r="G24" s="11">
        <v>82129.300769503185</v>
      </c>
      <c r="H24" s="11">
        <f>SUM(C24:G24)</f>
        <v>109414.81386735084</v>
      </c>
      <c r="I24" s="11">
        <v>0</v>
      </c>
      <c r="J24" s="11">
        <v>0</v>
      </c>
      <c r="K24" s="11">
        <v>0</v>
      </c>
      <c r="L24" s="11">
        <v>453.91659138229352</v>
      </c>
      <c r="M24" s="11">
        <f>SUM(I24:L24)</f>
        <v>453.91659138229352</v>
      </c>
      <c r="N24" s="11">
        <v>0</v>
      </c>
      <c r="O24" s="11">
        <v>0</v>
      </c>
      <c r="P24" s="11">
        <v>0</v>
      </c>
      <c r="Q24" s="11">
        <v>0</v>
      </c>
      <c r="R24" s="11">
        <f>SUM(O24:Q24)</f>
        <v>0</v>
      </c>
      <c r="S24" s="11">
        <v>839.84814372788207</v>
      </c>
      <c r="T24" s="11">
        <v>0</v>
      </c>
      <c r="U24" s="11">
        <v>954.05141973260254</v>
      </c>
      <c r="V24" s="11">
        <v>1302.4942913912155</v>
      </c>
      <c r="W24" s="11">
        <f>SUM(S24:V24)</f>
        <v>3096.3938548516999</v>
      </c>
      <c r="X24" s="11">
        <f>SUM(N24,R24,W24)</f>
        <v>3096.3938548516999</v>
      </c>
      <c r="Y24" s="11">
        <v>125637.40194941031</v>
      </c>
      <c r="Z24" s="11">
        <f>SUM(B24,H24,M24,X24:Y24)</f>
        <v>238602.52626299515</v>
      </c>
    </row>
    <row r="25" spans="1:26" x14ac:dyDescent="0.2">
      <c r="A25" s="45" t="s">
        <v>77</v>
      </c>
      <c r="B25" s="11">
        <v>19279.382707593541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f>SUM(C25:G25)</f>
        <v>0</v>
      </c>
      <c r="I25" s="11">
        <v>0</v>
      </c>
      <c r="J25" s="11">
        <v>0</v>
      </c>
      <c r="K25" s="11">
        <v>0</v>
      </c>
      <c r="L25" s="11">
        <v>0</v>
      </c>
      <c r="M25" s="11">
        <f>SUM(I25:L25)</f>
        <v>0</v>
      </c>
      <c r="N25" s="11">
        <v>0</v>
      </c>
      <c r="O25" s="11">
        <v>0</v>
      </c>
      <c r="P25" s="11">
        <v>0</v>
      </c>
      <c r="Q25" s="11">
        <v>0</v>
      </c>
      <c r="R25" s="11">
        <f>SUM(O25:Q25)</f>
        <v>0</v>
      </c>
      <c r="S25" s="11">
        <v>0</v>
      </c>
      <c r="T25" s="11">
        <v>0</v>
      </c>
      <c r="U25" s="11">
        <v>0</v>
      </c>
      <c r="V25" s="11">
        <v>0</v>
      </c>
      <c r="W25" s="11">
        <f>SUM(S25:V25)</f>
        <v>0</v>
      </c>
      <c r="X25" s="11">
        <f>SUM(N25,R25,W25)</f>
        <v>0</v>
      </c>
      <c r="Y25" s="11">
        <v>0</v>
      </c>
      <c r="Z25" s="11">
        <f>SUM(B25,H25,M25,X25:Y25)</f>
        <v>19279.382707593541</v>
      </c>
    </row>
    <row r="26" spans="1:26" x14ac:dyDescent="0.2">
      <c r="A26" s="45" t="s">
        <v>78</v>
      </c>
      <c r="B26" s="11">
        <v>58153.013154899774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f>SUM(C26:G26)</f>
        <v>0</v>
      </c>
      <c r="I26" s="11">
        <v>0</v>
      </c>
      <c r="J26" s="11">
        <v>0</v>
      </c>
      <c r="K26" s="11">
        <v>0</v>
      </c>
      <c r="L26" s="11">
        <v>0</v>
      </c>
      <c r="M26" s="11">
        <f>SUM(I26:L26)</f>
        <v>0</v>
      </c>
      <c r="N26" s="11">
        <v>0</v>
      </c>
      <c r="O26" s="11">
        <v>0</v>
      </c>
      <c r="P26" s="11">
        <v>0</v>
      </c>
      <c r="Q26" s="11">
        <v>0</v>
      </c>
      <c r="R26" s="11">
        <f>SUM(O26:Q26)</f>
        <v>0</v>
      </c>
      <c r="S26" s="11">
        <v>0</v>
      </c>
      <c r="T26" s="11">
        <v>0</v>
      </c>
      <c r="U26" s="11">
        <v>0</v>
      </c>
      <c r="V26" s="11">
        <v>0</v>
      </c>
      <c r="W26" s="11">
        <f>SUM(S26:V26)</f>
        <v>0</v>
      </c>
      <c r="X26" s="11">
        <f>SUM(N26,R26,W26)</f>
        <v>0</v>
      </c>
      <c r="Y26" s="11">
        <v>0</v>
      </c>
      <c r="Z26" s="11">
        <f>SUM(B26,H26,M26,X26:Y26)</f>
        <v>58153.013154899774</v>
      </c>
    </row>
    <row r="27" spans="1:26" ht="10.5" x14ac:dyDescent="0.25">
      <c r="A27" s="7" t="s">
        <v>79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2">
      <c r="A28" s="8" t="s">
        <v>80</v>
      </c>
      <c r="B28" s="11">
        <v>0</v>
      </c>
      <c r="C28" s="11">
        <v>0</v>
      </c>
      <c r="D28" s="11">
        <v>0</v>
      </c>
      <c r="E28" s="11">
        <v>0</v>
      </c>
      <c r="F28" s="11">
        <v>0</v>
      </c>
      <c r="G28" s="11">
        <v>8.7881204466089997</v>
      </c>
      <c r="H28" s="11">
        <f>SUM(C28:G28)</f>
        <v>8.7881204466089997</v>
      </c>
      <c r="I28" s="11">
        <v>0</v>
      </c>
      <c r="J28" s="11">
        <v>0</v>
      </c>
      <c r="K28" s="11">
        <v>0</v>
      </c>
      <c r="L28" s="11">
        <v>0</v>
      </c>
      <c r="M28" s="11">
        <f>SUM(I28:L28)</f>
        <v>0</v>
      </c>
      <c r="N28" s="11">
        <v>0</v>
      </c>
      <c r="O28" s="11">
        <v>0</v>
      </c>
      <c r="P28" s="11">
        <v>0</v>
      </c>
      <c r="Q28" s="11">
        <v>0</v>
      </c>
      <c r="R28" s="11">
        <f>SUM(O28:Q28)</f>
        <v>0</v>
      </c>
      <c r="S28" s="11">
        <v>0</v>
      </c>
      <c r="T28" s="11">
        <v>0</v>
      </c>
      <c r="U28" s="11">
        <v>0</v>
      </c>
      <c r="V28" s="11">
        <v>0</v>
      </c>
      <c r="W28" s="11">
        <f>SUM(S28:V28)</f>
        <v>0</v>
      </c>
      <c r="X28" s="11">
        <f>SUM(N28,R28,W28)</f>
        <v>0</v>
      </c>
      <c r="Y28" s="11">
        <v>0</v>
      </c>
      <c r="Z28" s="11">
        <f>SUM(B28,H28,M28,X28:Y28)</f>
        <v>8.7881204466089997</v>
      </c>
    </row>
    <row r="29" spans="1:26" x14ac:dyDescent="0.2">
      <c r="A29" s="8" t="s">
        <v>259</v>
      </c>
      <c r="B29" s="11">
        <v>0</v>
      </c>
      <c r="C29" s="11">
        <v>0</v>
      </c>
      <c r="D29" s="11">
        <v>0</v>
      </c>
      <c r="E29" s="11">
        <v>0</v>
      </c>
      <c r="F29" s="11">
        <v>0</v>
      </c>
      <c r="G29" s="11">
        <v>8.858619570339</v>
      </c>
      <c r="H29" s="11">
        <f>SUM(C29:G29)</f>
        <v>8.858619570339</v>
      </c>
      <c r="I29" s="11">
        <v>0</v>
      </c>
      <c r="J29" s="11">
        <v>0</v>
      </c>
      <c r="K29" s="11">
        <v>0</v>
      </c>
      <c r="L29" s="11">
        <v>0</v>
      </c>
      <c r="M29" s="11">
        <f>SUM(I29:L29)</f>
        <v>0</v>
      </c>
      <c r="N29" s="11">
        <v>0</v>
      </c>
      <c r="O29" s="11">
        <v>0</v>
      </c>
      <c r="P29" s="11">
        <v>0</v>
      </c>
      <c r="Q29" s="11">
        <v>0</v>
      </c>
      <c r="R29" s="11">
        <f>SUM(O29:Q29)</f>
        <v>0</v>
      </c>
      <c r="S29" s="11">
        <v>0</v>
      </c>
      <c r="T29" s="11">
        <v>0</v>
      </c>
      <c r="U29" s="11">
        <v>0</v>
      </c>
      <c r="V29" s="11">
        <v>0</v>
      </c>
      <c r="W29" s="11">
        <f>SUM(S29:V29)</f>
        <v>0</v>
      </c>
      <c r="X29" s="11">
        <f>SUM(N29,R29,W29)</f>
        <v>0</v>
      </c>
      <c r="Y29" s="11">
        <v>0</v>
      </c>
      <c r="Z29" s="11">
        <f>SUM(B29,H29,M29,X29:Y29)</f>
        <v>8.858619570339</v>
      </c>
    </row>
    <row r="30" spans="1:26" x14ac:dyDescent="0.2">
      <c r="A30" s="8" t="s">
        <v>81</v>
      </c>
      <c r="B30" s="11">
        <v>0</v>
      </c>
      <c r="C30" s="11">
        <v>0</v>
      </c>
      <c r="D30" s="11">
        <v>0</v>
      </c>
      <c r="E30" s="11">
        <v>0</v>
      </c>
      <c r="F30" s="11">
        <v>0</v>
      </c>
      <c r="G30" s="11">
        <v>127.4277464758305</v>
      </c>
      <c r="H30" s="11">
        <f>SUM(C30:G30)</f>
        <v>127.4277464758305</v>
      </c>
      <c r="I30" s="11">
        <v>0</v>
      </c>
      <c r="J30" s="11">
        <v>0</v>
      </c>
      <c r="K30" s="11">
        <v>0</v>
      </c>
      <c r="L30" s="11">
        <v>14539.15534933526</v>
      </c>
      <c r="M30" s="11">
        <f>SUM(I30:L30)</f>
        <v>14539.15534933526</v>
      </c>
      <c r="N30" s="11">
        <v>0</v>
      </c>
      <c r="O30" s="11">
        <v>0</v>
      </c>
      <c r="P30" s="11">
        <v>0</v>
      </c>
      <c r="Q30" s="11">
        <v>0</v>
      </c>
      <c r="R30" s="11">
        <f>SUM(O30:Q30)</f>
        <v>0</v>
      </c>
      <c r="S30" s="11">
        <v>0</v>
      </c>
      <c r="T30" s="11">
        <v>0</v>
      </c>
      <c r="U30" s="11">
        <v>0</v>
      </c>
      <c r="V30" s="11">
        <v>0</v>
      </c>
      <c r="W30" s="11">
        <f>SUM(S30:V30)</f>
        <v>0</v>
      </c>
      <c r="X30" s="11">
        <f>SUM(N30,R30,W30)</f>
        <v>0</v>
      </c>
      <c r="Y30" s="11">
        <v>0</v>
      </c>
      <c r="Z30" s="11">
        <f>SUM(B30,H30,M30,X30:Y30)</f>
        <v>14666.583095811091</v>
      </c>
    </row>
    <row r="31" spans="1:26" ht="10.5" x14ac:dyDescent="0.25">
      <c r="A31" s="46" t="s">
        <v>82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2">
      <c r="A32" s="47" t="s">
        <v>83</v>
      </c>
      <c r="B32" s="11">
        <v>0</v>
      </c>
      <c r="C32" s="11">
        <v>0</v>
      </c>
      <c r="D32" s="11">
        <v>0</v>
      </c>
      <c r="E32" s="11">
        <v>0</v>
      </c>
      <c r="F32" s="11">
        <v>0</v>
      </c>
      <c r="G32" s="11">
        <v>68.547339483550203</v>
      </c>
      <c r="H32" s="11">
        <f>SUM(C32:G32)</f>
        <v>68.547339483550203</v>
      </c>
      <c r="I32" s="11">
        <v>0</v>
      </c>
      <c r="J32" s="11">
        <v>0</v>
      </c>
      <c r="K32" s="11">
        <v>0</v>
      </c>
      <c r="L32" s="11">
        <v>0</v>
      </c>
      <c r="M32" s="11">
        <f>SUM(I32:L32)</f>
        <v>0</v>
      </c>
      <c r="N32" s="11">
        <v>0</v>
      </c>
      <c r="O32" s="11">
        <v>0</v>
      </c>
      <c r="P32" s="11">
        <v>0</v>
      </c>
      <c r="Q32" s="11">
        <v>0</v>
      </c>
      <c r="R32" s="11">
        <f>SUM(O32:Q32)</f>
        <v>0</v>
      </c>
      <c r="S32" s="11">
        <v>0</v>
      </c>
      <c r="T32" s="11">
        <v>0</v>
      </c>
      <c r="U32" s="11">
        <v>0</v>
      </c>
      <c r="V32" s="11">
        <v>0</v>
      </c>
      <c r="W32" s="11">
        <f>SUM(S32:V32)</f>
        <v>0</v>
      </c>
      <c r="X32" s="11">
        <f>SUM(N32,R32,W32)</f>
        <v>0</v>
      </c>
      <c r="Y32" s="11">
        <v>0</v>
      </c>
      <c r="Z32" s="11">
        <f>SUM(B32,H32,M32,X32:Y32)</f>
        <v>68.547339483550203</v>
      </c>
    </row>
    <row r="33" spans="1:26" x14ac:dyDescent="0.2">
      <c r="A33" s="47" t="s">
        <v>84</v>
      </c>
      <c r="B33" s="11">
        <v>0</v>
      </c>
      <c r="C33" s="11">
        <v>0</v>
      </c>
      <c r="D33" s="11">
        <v>0</v>
      </c>
      <c r="E33" s="11">
        <v>0</v>
      </c>
      <c r="F33" s="11">
        <v>0</v>
      </c>
      <c r="G33" s="11">
        <v>18.4550529378789</v>
      </c>
      <c r="H33" s="11">
        <f>SUM(C33:G33)</f>
        <v>18.4550529378789</v>
      </c>
      <c r="I33" s="11">
        <v>0</v>
      </c>
      <c r="J33" s="11">
        <v>0</v>
      </c>
      <c r="K33" s="11">
        <v>0</v>
      </c>
      <c r="L33" s="11">
        <v>0</v>
      </c>
      <c r="M33" s="11">
        <f>SUM(I33:L33)</f>
        <v>0</v>
      </c>
      <c r="N33" s="11">
        <v>0</v>
      </c>
      <c r="O33" s="11">
        <v>0</v>
      </c>
      <c r="P33" s="11">
        <v>0</v>
      </c>
      <c r="Q33" s="11">
        <v>0</v>
      </c>
      <c r="R33" s="11">
        <f>SUM(O33:Q33)</f>
        <v>0</v>
      </c>
      <c r="S33" s="11">
        <v>0</v>
      </c>
      <c r="T33" s="11">
        <v>0</v>
      </c>
      <c r="U33" s="11">
        <v>0</v>
      </c>
      <c r="V33" s="11">
        <v>0</v>
      </c>
      <c r="W33" s="11">
        <f>SUM(S33:V33)</f>
        <v>0</v>
      </c>
      <c r="X33" s="11">
        <f>SUM(N33,R33,W33)</f>
        <v>0</v>
      </c>
      <c r="Y33" s="11">
        <v>0</v>
      </c>
      <c r="Z33" s="11">
        <f>SUM(B33,H33,M33,X33:Y33)</f>
        <v>18.4550529378789</v>
      </c>
    </row>
    <row r="34" spans="1:26" ht="10.5" x14ac:dyDescent="0.25">
      <c r="A34" s="48" t="s">
        <v>85</v>
      </c>
      <c r="B34" s="13">
        <f t="shared" ref="B34:Z34" si="2">SUM(B32:B33)</f>
        <v>0</v>
      </c>
      <c r="C34" s="13">
        <f t="shared" si="2"/>
        <v>0</v>
      </c>
      <c r="D34" s="13">
        <f t="shared" si="2"/>
        <v>0</v>
      </c>
      <c r="E34" s="13">
        <f t="shared" si="2"/>
        <v>0</v>
      </c>
      <c r="F34" s="13">
        <f t="shared" si="2"/>
        <v>0</v>
      </c>
      <c r="G34" s="13">
        <f t="shared" si="2"/>
        <v>87.002392421429107</v>
      </c>
      <c r="H34" s="13">
        <f t="shared" si="2"/>
        <v>87.002392421429107</v>
      </c>
      <c r="I34" s="13">
        <f t="shared" si="2"/>
        <v>0</v>
      </c>
      <c r="J34" s="13">
        <f t="shared" si="2"/>
        <v>0</v>
      </c>
      <c r="K34" s="13">
        <f t="shared" si="2"/>
        <v>0</v>
      </c>
      <c r="L34" s="13">
        <f t="shared" si="2"/>
        <v>0</v>
      </c>
      <c r="M34" s="13">
        <f t="shared" si="2"/>
        <v>0</v>
      </c>
      <c r="N34" s="13">
        <f t="shared" si="2"/>
        <v>0</v>
      </c>
      <c r="O34" s="13">
        <f t="shared" si="2"/>
        <v>0</v>
      </c>
      <c r="P34" s="13">
        <f t="shared" si="2"/>
        <v>0</v>
      </c>
      <c r="Q34" s="13">
        <f t="shared" si="2"/>
        <v>0</v>
      </c>
      <c r="R34" s="13">
        <f t="shared" si="2"/>
        <v>0</v>
      </c>
      <c r="S34" s="13">
        <f t="shared" si="2"/>
        <v>0</v>
      </c>
      <c r="T34" s="13">
        <f t="shared" si="2"/>
        <v>0</v>
      </c>
      <c r="U34" s="13">
        <f t="shared" si="2"/>
        <v>0</v>
      </c>
      <c r="V34" s="13">
        <f t="shared" si="2"/>
        <v>0</v>
      </c>
      <c r="W34" s="13">
        <f t="shared" si="2"/>
        <v>0</v>
      </c>
      <c r="X34" s="13">
        <f t="shared" si="2"/>
        <v>0</v>
      </c>
      <c r="Y34" s="13">
        <f t="shared" si="2"/>
        <v>0</v>
      </c>
      <c r="Z34" s="13">
        <f t="shared" si="2"/>
        <v>87.002392421429107</v>
      </c>
    </row>
    <row r="35" spans="1:26" ht="10.5" x14ac:dyDescent="0.25">
      <c r="A35" s="12" t="s">
        <v>86</v>
      </c>
      <c r="B35" s="13">
        <f t="shared" ref="B35:Z35" si="3">SUM(B28:B30,B34)</f>
        <v>0</v>
      </c>
      <c r="C35" s="13">
        <f t="shared" si="3"/>
        <v>0</v>
      </c>
      <c r="D35" s="13">
        <f t="shared" si="3"/>
        <v>0</v>
      </c>
      <c r="E35" s="13">
        <f t="shared" si="3"/>
        <v>0</v>
      </c>
      <c r="F35" s="13">
        <f t="shared" si="3"/>
        <v>0</v>
      </c>
      <c r="G35" s="13">
        <f t="shared" si="3"/>
        <v>232.07687891420761</v>
      </c>
      <c r="H35" s="13">
        <f t="shared" si="3"/>
        <v>232.07687891420761</v>
      </c>
      <c r="I35" s="13">
        <f t="shared" si="3"/>
        <v>0</v>
      </c>
      <c r="J35" s="13">
        <f t="shared" si="3"/>
        <v>0</v>
      </c>
      <c r="K35" s="13">
        <f t="shared" si="3"/>
        <v>0</v>
      </c>
      <c r="L35" s="13">
        <f t="shared" si="3"/>
        <v>14539.15534933526</v>
      </c>
      <c r="M35" s="13">
        <f t="shared" si="3"/>
        <v>14539.15534933526</v>
      </c>
      <c r="N35" s="13">
        <f t="shared" si="3"/>
        <v>0</v>
      </c>
      <c r="O35" s="13">
        <f t="shared" si="3"/>
        <v>0</v>
      </c>
      <c r="P35" s="13">
        <f t="shared" si="3"/>
        <v>0</v>
      </c>
      <c r="Q35" s="13">
        <f t="shared" si="3"/>
        <v>0</v>
      </c>
      <c r="R35" s="13">
        <f t="shared" si="3"/>
        <v>0</v>
      </c>
      <c r="S35" s="13">
        <f t="shared" si="3"/>
        <v>0</v>
      </c>
      <c r="T35" s="13">
        <f t="shared" si="3"/>
        <v>0</v>
      </c>
      <c r="U35" s="13">
        <f t="shared" si="3"/>
        <v>0</v>
      </c>
      <c r="V35" s="13">
        <f t="shared" si="3"/>
        <v>0</v>
      </c>
      <c r="W35" s="13">
        <f t="shared" si="3"/>
        <v>0</v>
      </c>
      <c r="X35" s="13">
        <f t="shared" si="3"/>
        <v>0</v>
      </c>
      <c r="Y35" s="13">
        <f t="shared" si="3"/>
        <v>0</v>
      </c>
      <c r="Z35" s="13">
        <f t="shared" si="3"/>
        <v>14771.232228249468</v>
      </c>
    </row>
    <row r="36" spans="1:26" ht="10.5" x14ac:dyDescent="0.25">
      <c r="A36" s="14" t="s">
        <v>87</v>
      </c>
      <c r="B36" s="13">
        <f t="shared" ref="B36:Z36" si="4">SUM(B22:B26,B35)</f>
        <v>182479.00347556395</v>
      </c>
      <c r="C36" s="13">
        <f t="shared" si="4"/>
        <v>0</v>
      </c>
      <c r="D36" s="13">
        <f t="shared" si="4"/>
        <v>72489.375798114459</v>
      </c>
      <c r="E36" s="13">
        <f t="shared" si="4"/>
        <v>201450.28103278432</v>
      </c>
      <c r="F36" s="13">
        <f t="shared" si="4"/>
        <v>0</v>
      </c>
      <c r="G36" s="13">
        <f t="shared" si="4"/>
        <v>1026524.3366517115</v>
      </c>
      <c r="H36" s="13">
        <f t="shared" si="4"/>
        <v>1300463.99348261</v>
      </c>
      <c r="I36" s="13">
        <f t="shared" si="4"/>
        <v>0</v>
      </c>
      <c r="J36" s="13">
        <f t="shared" si="4"/>
        <v>1795.1691279060844</v>
      </c>
      <c r="K36" s="13">
        <f t="shared" si="4"/>
        <v>9629.0388483568058</v>
      </c>
      <c r="L36" s="13">
        <f t="shared" si="4"/>
        <v>103182.06427492772</v>
      </c>
      <c r="M36" s="13">
        <f t="shared" si="4"/>
        <v>114606.2722511906</v>
      </c>
      <c r="N36" s="13">
        <f t="shared" si="4"/>
        <v>0</v>
      </c>
      <c r="O36" s="13">
        <f t="shared" si="4"/>
        <v>46.898959198050335</v>
      </c>
      <c r="P36" s="13">
        <f t="shared" si="4"/>
        <v>81.918915906504893</v>
      </c>
      <c r="Q36" s="13">
        <f t="shared" si="4"/>
        <v>12.639003334058849</v>
      </c>
      <c r="R36" s="13">
        <f t="shared" si="4"/>
        <v>141.4568784386141</v>
      </c>
      <c r="S36" s="13">
        <f t="shared" si="4"/>
        <v>169462.60848428297</v>
      </c>
      <c r="T36" s="13">
        <f t="shared" si="4"/>
        <v>6793.6778198345628</v>
      </c>
      <c r="U36" s="13">
        <f t="shared" si="4"/>
        <v>117448.99909697044</v>
      </c>
      <c r="V36" s="13">
        <f t="shared" si="4"/>
        <v>84113.947882205292</v>
      </c>
      <c r="W36" s="13">
        <f t="shared" si="4"/>
        <v>377819.23328329332</v>
      </c>
      <c r="X36" s="13">
        <f t="shared" si="4"/>
        <v>377960.69016173191</v>
      </c>
      <c r="Y36" s="13">
        <f t="shared" si="4"/>
        <v>322843.47806114762</v>
      </c>
      <c r="Z36" s="13">
        <f t="shared" si="4"/>
        <v>2298353.437432244</v>
      </c>
    </row>
    <row r="37" spans="1:26" ht="10.5" x14ac:dyDescent="0.25">
      <c r="A37" s="15" t="s">
        <v>231</v>
      </c>
      <c r="B37" s="13">
        <f t="shared" ref="B37:Z37" si="5">SUM(B36)</f>
        <v>182479.00347556395</v>
      </c>
      <c r="C37" s="13">
        <f t="shared" si="5"/>
        <v>0</v>
      </c>
      <c r="D37" s="13">
        <f t="shared" si="5"/>
        <v>72489.375798114459</v>
      </c>
      <c r="E37" s="13">
        <f t="shared" si="5"/>
        <v>201450.28103278432</v>
      </c>
      <c r="F37" s="13">
        <f t="shared" si="5"/>
        <v>0</v>
      </c>
      <c r="G37" s="13">
        <f t="shared" si="5"/>
        <v>1026524.3366517115</v>
      </c>
      <c r="H37" s="13">
        <f t="shared" si="5"/>
        <v>1300463.99348261</v>
      </c>
      <c r="I37" s="13">
        <f t="shared" si="5"/>
        <v>0</v>
      </c>
      <c r="J37" s="13">
        <f t="shared" si="5"/>
        <v>1795.1691279060844</v>
      </c>
      <c r="K37" s="13">
        <f t="shared" si="5"/>
        <v>9629.0388483568058</v>
      </c>
      <c r="L37" s="13">
        <f t="shared" si="5"/>
        <v>103182.06427492772</v>
      </c>
      <c r="M37" s="13">
        <f t="shared" si="5"/>
        <v>114606.2722511906</v>
      </c>
      <c r="N37" s="13">
        <f t="shared" si="5"/>
        <v>0</v>
      </c>
      <c r="O37" s="13">
        <f t="shared" si="5"/>
        <v>46.898959198050335</v>
      </c>
      <c r="P37" s="13">
        <f t="shared" si="5"/>
        <v>81.918915906504893</v>
      </c>
      <c r="Q37" s="13">
        <f t="shared" si="5"/>
        <v>12.639003334058849</v>
      </c>
      <c r="R37" s="13">
        <f t="shared" si="5"/>
        <v>141.4568784386141</v>
      </c>
      <c r="S37" s="13">
        <f t="shared" si="5"/>
        <v>169462.60848428297</v>
      </c>
      <c r="T37" s="13">
        <f t="shared" si="5"/>
        <v>6793.6778198345628</v>
      </c>
      <c r="U37" s="13">
        <f t="shared" si="5"/>
        <v>117448.99909697044</v>
      </c>
      <c r="V37" s="13">
        <f t="shared" si="5"/>
        <v>84113.947882205292</v>
      </c>
      <c r="W37" s="13">
        <f t="shared" si="5"/>
        <v>377819.23328329332</v>
      </c>
      <c r="X37" s="13">
        <f t="shared" si="5"/>
        <v>377960.69016173191</v>
      </c>
      <c r="Y37" s="13">
        <f t="shared" si="5"/>
        <v>322843.47806114762</v>
      </c>
      <c r="Z37" s="13">
        <f t="shared" si="5"/>
        <v>2298353.437432244</v>
      </c>
    </row>
    <row r="38" spans="1:26" ht="10.5" x14ac:dyDescent="0.25">
      <c r="A38" s="16" t="s">
        <v>58</v>
      </c>
      <c r="B38" s="18">
        <f t="shared" ref="B38:Z38" si="6">B19-B37</f>
        <v>-182479.00347556395</v>
      </c>
      <c r="C38" s="18">
        <f t="shared" si="6"/>
        <v>-2855.761620809034</v>
      </c>
      <c r="D38" s="18">
        <f t="shared" si="6"/>
        <v>98594.146084937791</v>
      </c>
      <c r="E38" s="18">
        <f t="shared" si="6"/>
        <v>217458.33469800261</v>
      </c>
      <c r="F38" s="18">
        <f t="shared" si="6"/>
        <v>0</v>
      </c>
      <c r="G38" s="18">
        <f t="shared" si="6"/>
        <v>3060856.037962297</v>
      </c>
      <c r="H38" s="18">
        <f t="shared" si="6"/>
        <v>3374052.7571244286</v>
      </c>
      <c r="I38" s="18">
        <f t="shared" si="6"/>
        <v>0</v>
      </c>
      <c r="J38" s="18">
        <f t="shared" si="6"/>
        <v>2599.2321484894283</v>
      </c>
      <c r="K38" s="18">
        <f t="shared" si="6"/>
        <v>19360.20286212584</v>
      </c>
      <c r="L38" s="18">
        <f t="shared" si="6"/>
        <v>403802.19429651991</v>
      </c>
      <c r="M38" s="18">
        <f t="shared" si="6"/>
        <v>425761.62930713512</v>
      </c>
      <c r="N38" s="18">
        <f t="shared" si="6"/>
        <v>0</v>
      </c>
      <c r="O38" s="18">
        <f t="shared" si="6"/>
        <v>-4.7663945771092386</v>
      </c>
      <c r="P38" s="18">
        <f t="shared" si="6"/>
        <v>-10.746060495882304</v>
      </c>
      <c r="Q38" s="18">
        <f t="shared" si="6"/>
        <v>-4.4886180064881884</v>
      </c>
      <c r="R38" s="18">
        <f t="shared" si="6"/>
        <v>-20.001073079479752</v>
      </c>
      <c r="S38" s="18">
        <f t="shared" si="6"/>
        <v>308792.7855643254</v>
      </c>
      <c r="T38" s="18">
        <f t="shared" si="6"/>
        <v>12170.827153591166</v>
      </c>
      <c r="U38" s="18">
        <f t="shared" si="6"/>
        <v>65582.036532667364</v>
      </c>
      <c r="V38" s="18">
        <f t="shared" si="6"/>
        <v>83390.373084713166</v>
      </c>
      <c r="W38" s="18">
        <f t="shared" si="6"/>
        <v>469936.02233529696</v>
      </c>
      <c r="X38" s="18">
        <f t="shared" si="6"/>
        <v>469916.02126221755</v>
      </c>
      <c r="Y38" s="18">
        <f t="shared" si="6"/>
        <v>350468.6324877732</v>
      </c>
      <c r="Z38" s="18">
        <f t="shared" si="6"/>
        <v>4437720.0367059894</v>
      </c>
    </row>
    <row r="39" spans="1:26" ht="10.5" x14ac:dyDescent="0.25">
      <c r="A39" s="5" t="s">
        <v>234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0.5" x14ac:dyDescent="0.25">
      <c r="A40" s="6" t="s">
        <v>88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x14ac:dyDescent="0.2">
      <c r="A41" s="45" t="s">
        <v>89</v>
      </c>
      <c r="B41" s="11">
        <v>0</v>
      </c>
      <c r="C41" s="11">
        <v>0</v>
      </c>
      <c r="D41" s="11">
        <v>0</v>
      </c>
      <c r="E41" s="11">
        <v>0</v>
      </c>
      <c r="F41" s="11">
        <v>0</v>
      </c>
      <c r="G41" s="11">
        <v>0</v>
      </c>
      <c r="H41" s="11">
        <f>SUM(C41:G41)</f>
        <v>0</v>
      </c>
      <c r="I41" s="11">
        <v>0</v>
      </c>
      <c r="J41" s="11">
        <v>0</v>
      </c>
      <c r="K41" s="11">
        <v>0</v>
      </c>
      <c r="L41" s="11">
        <v>649.03805217454578</v>
      </c>
      <c r="M41" s="11">
        <f>SUM(I41:L41)</f>
        <v>649.03805217454578</v>
      </c>
      <c r="N41" s="11">
        <v>0</v>
      </c>
      <c r="O41" s="11">
        <v>0</v>
      </c>
      <c r="P41" s="11">
        <v>0</v>
      </c>
      <c r="Q41" s="11">
        <v>0</v>
      </c>
      <c r="R41" s="11">
        <f>SUM(O41:Q41)</f>
        <v>0</v>
      </c>
      <c r="S41" s="11">
        <v>0</v>
      </c>
      <c r="T41" s="11">
        <v>0</v>
      </c>
      <c r="U41" s="11">
        <v>0</v>
      </c>
      <c r="V41" s="11">
        <v>0</v>
      </c>
      <c r="W41" s="11">
        <f>SUM(S41:V41)</f>
        <v>0</v>
      </c>
      <c r="X41" s="11">
        <f>SUM(N41,R41,W41)</f>
        <v>0</v>
      </c>
      <c r="Y41" s="11">
        <v>2713.5758147243432</v>
      </c>
      <c r="Z41" s="11">
        <f>SUM(B41,H41,M41,X41:Y41)</f>
        <v>3362.6138668988888</v>
      </c>
    </row>
    <row r="42" spans="1:26" ht="10.5" x14ac:dyDescent="0.25">
      <c r="A42" s="7" t="s">
        <v>90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x14ac:dyDescent="0.2">
      <c r="A43" s="8" t="s">
        <v>91</v>
      </c>
      <c r="B43" s="11">
        <v>384610.7076820744</v>
      </c>
      <c r="C43" s="11">
        <v>0</v>
      </c>
      <c r="D43" s="11">
        <v>0</v>
      </c>
      <c r="E43" s="11">
        <v>3587.523267016149</v>
      </c>
      <c r="F43" s="11">
        <v>0</v>
      </c>
      <c r="G43" s="11">
        <v>13682.294470672541</v>
      </c>
      <c r="H43" s="11">
        <f>SUM(C43:G43)</f>
        <v>17269.817737688689</v>
      </c>
      <c r="I43" s="11">
        <v>0</v>
      </c>
      <c r="J43" s="11">
        <v>0</v>
      </c>
      <c r="K43" s="11">
        <v>0</v>
      </c>
      <c r="L43" s="11">
        <v>0</v>
      </c>
      <c r="M43" s="11">
        <f>SUM(I43:L43)</f>
        <v>0</v>
      </c>
      <c r="N43" s="11">
        <v>0</v>
      </c>
      <c r="O43" s="11">
        <v>0</v>
      </c>
      <c r="P43" s="11">
        <v>0</v>
      </c>
      <c r="Q43" s="11">
        <v>0</v>
      </c>
      <c r="R43" s="11">
        <f>SUM(O43:Q43)</f>
        <v>0</v>
      </c>
      <c r="S43" s="11">
        <v>0</v>
      </c>
      <c r="T43" s="11">
        <v>0</v>
      </c>
      <c r="U43" s="11">
        <v>0</v>
      </c>
      <c r="V43" s="11">
        <v>0</v>
      </c>
      <c r="W43" s="11">
        <f>SUM(S43:V43)</f>
        <v>0</v>
      </c>
      <c r="X43" s="11">
        <f>SUM(N43,R43,W43)</f>
        <v>0</v>
      </c>
      <c r="Y43" s="11">
        <v>0</v>
      </c>
      <c r="Z43" s="11">
        <f>SUM(B43,H43,M43,X43:Y43)</f>
        <v>401880.52541976306</v>
      </c>
    </row>
    <row r="44" spans="1:26" x14ac:dyDescent="0.2">
      <c r="A44" s="8" t="s">
        <v>92</v>
      </c>
      <c r="B44" s="11">
        <v>927764.3082934313</v>
      </c>
      <c r="C44" s="11">
        <v>13881.473566229857</v>
      </c>
      <c r="D44" s="11">
        <v>0</v>
      </c>
      <c r="E44" s="11">
        <v>96795.083249641597</v>
      </c>
      <c r="F44" s="11">
        <v>0</v>
      </c>
      <c r="G44" s="11">
        <v>56039.661176910144</v>
      </c>
      <c r="H44" s="11">
        <f>SUM(C44:G44)</f>
        <v>166716.2179927816</v>
      </c>
      <c r="I44" s="11">
        <v>0</v>
      </c>
      <c r="J44" s="11">
        <v>0</v>
      </c>
      <c r="K44" s="11">
        <v>0</v>
      </c>
      <c r="L44" s="11">
        <v>0</v>
      </c>
      <c r="M44" s="11">
        <f>SUM(I44:L44)</f>
        <v>0</v>
      </c>
      <c r="N44" s="11">
        <v>0</v>
      </c>
      <c r="O44" s="11">
        <v>0</v>
      </c>
      <c r="P44" s="11">
        <v>0</v>
      </c>
      <c r="Q44" s="11">
        <v>0</v>
      </c>
      <c r="R44" s="11">
        <f>SUM(O44:Q44)</f>
        <v>0</v>
      </c>
      <c r="S44" s="11">
        <v>0</v>
      </c>
      <c r="T44" s="11">
        <v>0</v>
      </c>
      <c r="U44" s="11">
        <v>0</v>
      </c>
      <c r="V44" s="11">
        <v>0</v>
      </c>
      <c r="W44" s="11">
        <f>SUM(S44:V44)</f>
        <v>0</v>
      </c>
      <c r="X44" s="11">
        <f>SUM(N44,R44,W44)</f>
        <v>0</v>
      </c>
      <c r="Y44" s="11">
        <v>15765.747689843422</v>
      </c>
      <c r="Z44" s="11">
        <f>SUM(B44,H44,M44,X44:Y44)</f>
        <v>1110246.2739760564</v>
      </c>
    </row>
    <row r="45" spans="1:26" x14ac:dyDescent="0.2">
      <c r="A45" s="8" t="s">
        <v>93</v>
      </c>
      <c r="B45" s="11">
        <v>136997.05612850701</v>
      </c>
      <c r="C45" s="11">
        <v>0</v>
      </c>
      <c r="D45" s="11">
        <v>0</v>
      </c>
      <c r="E45" s="11">
        <v>0</v>
      </c>
      <c r="F45" s="11">
        <v>0</v>
      </c>
      <c r="G45" s="11">
        <v>0</v>
      </c>
      <c r="H45" s="11">
        <f>SUM(C45:G45)</f>
        <v>0</v>
      </c>
      <c r="I45" s="11">
        <v>0</v>
      </c>
      <c r="J45" s="11">
        <v>0</v>
      </c>
      <c r="K45" s="11">
        <v>0</v>
      </c>
      <c r="L45" s="11">
        <v>0</v>
      </c>
      <c r="M45" s="11">
        <f>SUM(I45:L45)</f>
        <v>0</v>
      </c>
      <c r="N45" s="11">
        <v>0</v>
      </c>
      <c r="O45" s="11">
        <v>0</v>
      </c>
      <c r="P45" s="11">
        <v>0</v>
      </c>
      <c r="Q45" s="11">
        <v>0</v>
      </c>
      <c r="R45" s="11">
        <f>SUM(O45:Q45)</f>
        <v>0</v>
      </c>
      <c r="S45" s="11">
        <v>0</v>
      </c>
      <c r="T45" s="11">
        <v>0</v>
      </c>
      <c r="U45" s="11">
        <v>0</v>
      </c>
      <c r="V45" s="11">
        <v>0</v>
      </c>
      <c r="W45" s="11">
        <f>SUM(S45:V45)</f>
        <v>0</v>
      </c>
      <c r="X45" s="11">
        <f>SUM(N45,R45,W45)</f>
        <v>0</v>
      </c>
      <c r="Y45" s="11">
        <v>0</v>
      </c>
      <c r="Z45" s="11">
        <f>SUM(B45,H45,M45,X45:Y45)</f>
        <v>136997.05612850701</v>
      </c>
    </row>
    <row r="46" spans="1:26" x14ac:dyDescent="0.2">
      <c r="A46" s="8" t="s">
        <v>94</v>
      </c>
      <c r="B46" s="11">
        <v>35313.060709925317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f>SUM(C46:G46)</f>
        <v>0</v>
      </c>
      <c r="I46" s="11">
        <v>0</v>
      </c>
      <c r="J46" s="11">
        <v>0</v>
      </c>
      <c r="K46" s="11">
        <v>0</v>
      </c>
      <c r="L46" s="11">
        <v>0</v>
      </c>
      <c r="M46" s="11">
        <f>SUM(I46:L46)</f>
        <v>0</v>
      </c>
      <c r="N46" s="11">
        <v>0</v>
      </c>
      <c r="O46" s="11">
        <v>0</v>
      </c>
      <c r="P46" s="11">
        <v>0</v>
      </c>
      <c r="Q46" s="11">
        <v>0</v>
      </c>
      <c r="R46" s="11">
        <f>SUM(O46:Q46)</f>
        <v>0</v>
      </c>
      <c r="S46" s="11">
        <v>0</v>
      </c>
      <c r="T46" s="11">
        <v>0</v>
      </c>
      <c r="U46" s="11">
        <v>0</v>
      </c>
      <c r="V46" s="11">
        <v>0</v>
      </c>
      <c r="W46" s="11">
        <f>SUM(S46:V46)</f>
        <v>0</v>
      </c>
      <c r="X46" s="11">
        <f>SUM(N46,R46,W46)</f>
        <v>0</v>
      </c>
      <c r="Y46" s="11">
        <v>4831.5017631427318</v>
      </c>
      <c r="Z46" s="11">
        <f>SUM(B46,H46,M46,X46:Y46)</f>
        <v>40144.56247306805</v>
      </c>
    </row>
    <row r="47" spans="1:26" ht="10.5" x14ac:dyDescent="0.25">
      <c r="A47" s="12" t="s">
        <v>95</v>
      </c>
      <c r="B47" s="13">
        <f t="shared" ref="B47:Z47" si="7">SUM(B43:B46)</f>
        <v>1484685.132813938</v>
      </c>
      <c r="C47" s="13">
        <f t="shared" si="7"/>
        <v>13881.473566229857</v>
      </c>
      <c r="D47" s="13">
        <f t="shared" si="7"/>
        <v>0</v>
      </c>
      <c r="E47" s="13">
        <f t="shared" si="7"/>
        <v>100382.60651665775</v>
      </c>
      <c r="F47" s="13">
        <f t="shared" si="7"/>
        <v>0</v>
      </c>
      <c r="G47" s="13">
        <f t="shared" si="7"/>
        <v>69721.955647582683</v>
      </c>
      <c r="H47" s="13">
        <f t="shared" si="7"/>
        <v>183986.03573047029</v>
      </c>
      <c r="I47" s="13">
        <f t="shared" si="7"/>
        <v>0</v>
      </c>
      <c r="J47" s="13">
        <f t="shared" si="7"/>
        <v>0</v>
      </c>
      <c r="K47" s="13">
        <f t="shared" si="7"/>
        <v>0</v>
      </c>
      <c r="L47" s="13">
        <f t="shared" si="7"/>
        <v>0</v>
      </c>
      <c r="M47" s="13">
        <f t="shared" si="7"/>
        <v>0</v>
      </c>
      <c r="N47" s="13">
        <f t="shared" si="7"/>
        <v>0</v>
      </c>
      <c r="O47" s="13">
        <f t="shared" si="7"/>
        <v>0</v>
      </c>
      <c r="P47" s="13">
        <f t="shared" si="7"/>
        <v>0</v>
      </c>
      <c r="Q47" s="13">
        <f t="shared" si="7"/>
        <v>0</v>
      </c>
      <c r="R47" s="13">
        <f t="shared" si="7"/>
        <v>0</v>
      </c>
      <c r="S47" s="13">
        <f t="shared" si="7"/>
        <v>0</v>
      </c>
      <c r="T47" s="13">
        <f t="shared" si="7"/>
        <v>0</v>
      </c>
      <c r="U47" s="13">
        <f t="shared" si="7"/>
        <v>0</v>
      </c>
      <c r="V47" s="13">
        <f t="shared" si="7"/>
        <v>0</v>
      </c>
      <c r="W47" s="13">
        <f t="shared" si="7"/>
        <v>0</v>
      </c>
      <c r="X47" s="13">
        <f t="shared" si="7"/>
        <v>0</v>
      </c>
      <c r="Y47" s="13">
        <f t="shared" si="7"/>
        <v>20597.249452986154</v>
      </c>
      <c r="Z47" s="13">
        <f t="shared" si="7"/>
        <v>1689268.4179973945</v>
      </c>
    </row>
    <row r="48" spans="1:26" ht="10.5" x14ac:dyDescent="0.25">
      <c r="A48" s="7" t="s">
        <v>96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x14ac:dyDescent="0.2">
      <c r="A49" s="8" t="s">
        <v>97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665.61224262616565</v>
      </c>
      <c r="H49" s="11">
        <f>SUM(C49:G49)</f>
        <v>665.61224262616565</v>
      </c>
      <c r="I49" s="11">
        <v>0</v>
      </c>
      <c r="J49" s="11">
        <v>0</v>
      </c>
      <c r="K49" s="11">
        <v>0</v>
      </c>
      <c r="L49" s="11">
        <v>0</v>
      </c>
      <c r="M49" s="11">
        <f>SUM(I49:L49)</f>
        <v>0</v>
      </c>
      <c r="N49" s="11">
        <v>0</v>
      </c>
      <c r="O49" s="11">
        <v>0</v>
      </c>
      <c r="P49" s="11">
        <v>0</v>
      </c>
      <c r="Q49" s="11">
        <v>0</v>
      </c>
      <c r="R49" s="11">
        <f>SUM(O49:Q49)</f>
        <v>0</v>
      </c>
      <c r="S49" s="11">
        <v>0</v>
      </c>
      <c r="T49" s="11">
        <v>0</v>
      </c>
      <c r="U49" s="11">
        <v>8713.2775933916928</v>
      </c>
      <c r="V49" s="11">
        <v>0</v>
      </c>
      <c r="W49" s="11">
        <f>SUM(S49:V49)</f>
        <v>8713.2775933916928</v>
      </c>
      <c r="X49" s="11">
        <f>SUM(N49,R49,W49)</f>
        <v>8713.2775933916928</v>
      </c>
      <c r="Y49" s="11">
        <v>0</v>
      </c>
      <c r="Z49" s="11">
        <f>SUM(B49,H49,M49,X49:Y49)</f>
        <v>9378.8898360178591</v>
      </c>
    </row>
    <row r="50" spans="1:26" x14ac:dyDescent="0.2">
      <c r="A50" s="8" t="s">
        <v>98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f>SUM(C50:G50)</f>
        <v>0</v>
      </c>
      <c r="I50" s="11">
        <v>0</v>
      </c>
      <c r="J50" s="11">
        <v>0</v>
      </c>
      <c r="K50" s="11">
        <v>0</v>
      </c>
      <c r="L50" s="11">
        <v>19358.85578515815</v>
      </c>
      <c r="M50" s="11">
        <f>SUM(I50:L50)</f>
        <v>19358.85578515815</v>
      </c>
      <c r="N50" s="11">
        <v>0</v>
      </c>
      <c r="O50" s="11">
        <v>0</v>
      </c>
      <c r="P50" s="11">
        <v>0</v>
      </c>
      <c r="Q50" s="11">
        <v>0</v>
      </c>
      <c r="R50" s="11">
        <f>SUM(O50:Q50)</f>
        <v>0</v>
      </c>
      <c r="S50" s="11">
        <v>0</v>
      </c>
      <c r="T50" s="11">
        <v>0</v>
      </c>
      <c r="U50" s="11">
        <v>0</v>
      </c>
      <c r="V50" s="11">
        <v>0</v>
      </c>
      <c r="W50" s="11">
        <f>SUM(S50:V50)</f>
        <v>0</v>
      </c>
      <c r="X50" s="11">
        <f>SUM(N50,R50,W50)</f>
        <v>0</v>
      </c>
      <c r="Y50" s="11">
        <v>0</v>
      </c>
      <c r="Z50" s="11">
        <f>SUM(B50,H50,M50,X50:Y50)</f>
        <v>19358.85578515815</v>
      </c>
    </row>
    <row r="51" spans="1:26" x14ac:dyDescent="0.2">
      <c r="A51" s="8" t="s">
        <v>99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f>SUM(C51:G51)</f>
        <v>0</v>
      </c>
      <c r="I51" s="11">
        <v>0</v>
      </c>
      <c r="J51" s="11">
        <v>0</v>
      </c>
      <c r="K51" s="11">
        <v>0</v>
      </c>
      <c r="L51" s="11">
        <v>0</v>
      </c>
      <c r="M51" s="11">
        <f>SUM(I51:L51)</f>
        <v>0</v>
      </c>
      <c r="N51" s="11">
        <v>0</v>
      </c>
      <c r="O51" s="11">
        <v>0</v>
      </c>
      <c r="P51" s="11">
        <v>0</v>
      </c>
      <c r="Q51" s="11">
        <v>0</v>
      </c>
      <c r="R51" s="11">
        <f>SUM(O51:Q51)</f>
        <v>0</v>
      </c>
      <c r="S51" s="11">
        <v>0</v>
      </c>
      <c r="T51" s="11">
        <v>0</v>
      </c>
      <c r="U51" s="11">
        <v>21492.120991764608</v>
      </c>
      <c r="V51" s="11">
        <v>0</v>
      </c>
      <c r="W51" s="11">
        <f>SUM(S51:V51)</f>
        <v>21492.120991764608</v>
      </c>
      <c r="X51" s="11">
        <f>SUM(N51,R51,W51)</f>
        <v>21492.120991764608</v>
      </c>
      <c r="Y51" s="11">
        <v>0</v>
      </c>
      <c r="Z51" s="11">
        <f>SUM(B51,H51,M51,X51:Y51)</f>
        <v>21492.120991764608</v>
      </c>
    </row>
    <row r="52" spans="1:26" x14ac:dyDescent="0.2">
      <c r="A52" s="8" t="s">
        <v>100</v>
      </c>
      <c r="B52" s="11">
        <v>-2019.9815259113473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f>SUM(C52:G52)</f>
        <v>0</v>
      </c>
      <c r="I52" s="11">
        <v>0</v>
      </c>
      <c r="J52" s="11">
        <v>0</v>
      </c>
      <c r="K52" s="11">
        <v>0</v>
      </c>
      <c r="L52" s="11">
        <v>0</v>
      </c>
      <c r="M52" s="11">
        <f>SUM(I52:L52)</f>
        <v>0</v>
      </c>
      <c r="N52" s="11">
        <v>0</v>
      </c>
      <c r="O52" s="11">
        <v>0</v>
      </c>
      <c r="P52" s="11">
        <v>0</v>
      </c>
      <c r="Q52" s="11">
        <v>0</v>
      </c>
      <c r="R52" s="11">
        <f>SUM(O52:Q52)</f>
        <v>0</v>
      </c>
      <c r="S52" s="11">
        <v>0</v>
      </c>
      <c r="T52" s="11">
        <v>0</v>
      </c>
      <c r="U52" s="11">
        <v>937.13136904906855</v>
      </c>
      <c r="V52" s="11">
        <v>0</v>
      </c>
      <c r="W52" s="11">
        <f>SUM(S52:V52)</f>
        <v>937.13136904906855</v>
      </c>
      <c r="X52" s="11">
        <f>SUM(N52,R52,W52)</f>
        <v>937.13136904906855</v>
      </c>
      <c r="Y52" s="11">
        <v>0</v>
      </c>
      <c r="Z52" s="11">
        <f>SUM(B52,H52,M52,X52:Y52)</f>
        <v>-1082.8501568622787</v>
      </c>
    </row>
    <row r="53" spans="1:26" ht="10.5" x14ac:dyDescent="0.25">
      <c r="A53" s="12" t="s">
        <v>101</v>
      </c>
      <c r="B53" s="13">
        <f t="shared" ref="B53:Z53" si="8">SUM(B49:B52)</f>
        <v>-2019.9815259113473</v>
      </c>
      <c r="C53" s="13">
        <f t="shared" si="8"/>
        <v>0</v>
      </c>
      <c r="D53" s="13">
        <f t="shared" si="8"/>
        <v>0</v>
      </c>
      <c r="E53" s="13">
        <f t="shared" si="8"/>
        <v>0</v>
      </c>
      <c r="F53" s="13">
        <f t="shared" si="8"/>
        <v>0</v>
      </c>
      <c r="G53" s="13">
        <f t="shared" si="8"/>
        <v>665.61224262616565</v>
      </c>
      <c r="H53" s="13">
        <f t="shared" si="8"/>
        <v>665.61224262616565</v>
      </c>
      <c r="I53" s="13">
        <f t="shared" si="8"/>
        <v>0</v>
      </c>
      <c r="J53" s="13">
        <f t="shared" si="8"/>
        <v>0</v>
      </c>
      <c r="K53" s="13">
        <f t="shared" si="8"/>
        <v>0</v>
      </c>
      <c r="L53" s="13">
        <f t="shared" si="8"/>
        <v>19358.85578515815</v>
      </c>
      <c r="M53" s="13">
        <f t="shared" si="8"/>
        <v>19358.85578515815</v>
      </c>
      <c r="N53" s="13">
        <f t="shared" si="8"/>
        <v>0</v>
      </c>
      <c r="O53" s="13">
        <f t="shared" si="8"/>
        <v>0</v>
      </c>
      <c r="P53" s="13">
        <f t="shared" si="8"/>
        <v>0</v>
      </c>
      <c r="Q53" s="13">
        <f t="shared" si="8"/>
        <v>0</v>
      </c>
      <c r="R53" s="13">
        <f t="shared" si="8"/>
        <v>0</v>
      </c>
      <c r="S53" s="13">
        <f t="shared" si="8"/>
        <v>0</v>
      </c>
      <c r="T53" s="13">
        <f t="shared" si="8"/>
        <v>0</v>
      </c>
      <c r="U53" s="13">
        <f t="shared" si="8"/>
        <v>31142.529954205369</v>
      </c>
      <c r="V53" s="13">
        <f t="shared" si="8"/>
        <v>0</v>
      </c>
      <c r="W53" s="13">
        <f t="shared" si="8"/>
        <v>31142.529954205369</v>
      </c>
      <c r="X53" s="13">
        <f t="shared" si="8"/>
        <v>31142.529954205369</v>
      </c>
      <c r="Y53" s="13">
        <f t="shared" si="8"/>
        <v>0</v>
      </c>
      <c r="Z53" s="13">
        <f t="shared" si="8"/>
        <v>49147.016456078338</v>
      </c>
    </row>
    <row r="54" spans="1:26" ht="10.5" x14ac:dyDescent="0.25">
      <c r="A54" s="7" t="s">
        <v>102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x14ac:dyDescent="0.2">
      <c r="A55" s="8" t="s">
        <v>103</v>
      </c>
      <c r="B55" s="11">
        <v>0</v>
      </c>
      <c r="C55" s="11">
        <v>0</v>
      </c>
      <c r="D55" s="11">
        <v>0</v>
      </c>
      <c r="E55" s="11">
        <v>4063.1705852169907</v>
      </c>
      <c r="F55" s="11">
        <v>0</v>
      </c>
      <c r="G55" s="11">
        <v>2064.9802186960333</v>
      </c>
      <c r="H55" s="11">
        <f>SUM(C55:G55)</f>
        <v>6128.150803913024</v>
      </c>
      <c r="I55" s="11">
        <v>13023.772726653166</v>
      </c>
      <c r="J55" s="11">
        <v>0</v>
      </c>
      <c r="K55" s="11">
        <v>0</v>
      </c>
      <c r="L55" s="11">
        <v>44504.095374964512</v>
      </c>
      <c r="M55" s="11">
        <f>SUM(I55:L55)</f>
        <v>57527.868101617678</v>
      </c>
      <c r="N55" s="11">
        <v>0</v>
      </c>
      <c r="O55" s="11">
        <v>0</v>
      </c>
      <c r="P55" s="11">
        <v>0</v>
      </c>
      <c r="Q55" s="11">
        <v>0</v>
      </c>
      <c r="R55" s="11">
        <f>SUM(O55:Q55)</f>
        <v>0</v>
      </c>
      <c r="S55" s="11">
        <v>0</v>
      </c>
      <c r="T55" s="11">
        <v>0</v>
      </c>
      <c r="U55" s="11">
        <v>33014.155322191604</v>
      </c>
      <c r="V55" s="11">
        <v>0</v>
      </c>
      <c r="W55" s="11">
        <f>SUM(S55:V55)</f>
        <v>33014.155322191604</v>
      </c>
      <c r="X55" s="11">
        <f>SUM(N55,R55,W55)</f>
        <v>33014.155322191604</v>
      </c>
      <c r="Y55" s="11">
        <v>8792.5675909720394</v>
      </c>
      <c r="Z55" s="11">
        <f>SUM(B55,H55,M55,X55:Y55)</f>
        <v>105462.74181869435</v>
      </c>
    </row>
    <row r="56" spans="1:26" x14ac:dyDescent="0.2">
      <c r="A56" s="8" t="s">
        <v>104</v>
      </c>
      <c r="B56" s="11">
        <v>0</v>
      </c>
      <c r="C56" s="11">
        <v>0</v>
      </c>
      <c r="D56" s="11">
        <v>17275.363086167668</v>
      </c>
      <c r="E56" s="11">
        <v>16611.76988710482</v>
      </c>
      <c r="F56" s="11">
        <v>0</v>
      </c>
      <c r="G56" s="11">
        <v>589.44689927451304</v>
      </c>
      <c r="H56" s="11">
        <f>SUM(C56:G56)</f>
        <v>34476.579872546994</v>
      </c>
      <c r="I56" s="11">
        <v>0</v>
      </c>
      <c r="J56" s="11">
        <v>299.75197916590292</v>
      </c>
      <c r="K56" s="11">
        <v>0</v>
      </c>
      <c r="L56" s="11">
        <v>67779.59427938037</v>
      </c>
      <c r="M56" s="11">
        <f>SUM(I56:L56)</f>
        <v>68079.346258546269</v>
      </c>
      <c r="N56" s="11">
        <v>0</v>
      </c>
      <c r="O56" s="11">
        <v>0</v>
      </c>
      <c r="P56" s="11">
        <v>0</v>
      </c>
      <c r="Q56" s="11">
        <v>2837.3047539743261</v>
      </c>
      <c r="R56" s="11">
        <f>SUM(O56:Q56)</f>
        <v>2837.3047539743261</v>
      </c>
      <c r="S56" s="11">
        <v>42808.344620107127</v>
      </c>
      <c r="T56" s="11">
        <v>0</v>
      </c>
      <c r="U56" s="11">
        <v>90800.964142314639</v>
      </c>
      <c r="V56" s="11">
        <v>0</v>
      </c>
      <c r="W56" s="11">
        <f>SUM(S56:V56)</f>
        <v>133609.30876242177</v>
      </c>
      <c r="X56" s="11">
        <f>SUM(N56,R56,W56)</f>
        <v>136446.61351639609</v>
      </c>
      <c r="Y56" s="11">
        <v>30336.252702234775</v>
      </c>
      <c r="Z56" s="11">
        <f>SUM(B56,H56,M56,X56:Y56)</f>
        <v>269338.7923497241</v>
      </c>
    </row>
    <row r="57" spans="1:26" ht="10.5" x14ac:dyDescent="0.25">
      <c r="A57" s="12" t="s">
        <v>105</v>
      </c>
      <c r="B57" s="13">
        <f t="shared" ref="B57:Z57" si="9">SUM(B55:B56)</f>
        <v>0</v>
      </c>
      <c r="C57" s="13">
        <f t="shared" si="9"/>
        <v>0</v>
      </c>
      <c r="D57" s="13">
        <f t="shared" si="9"/>
        <v>17275.363086167668</v>
      </c>
      <c r="E57" s="13">
        <f t="shared" si="9"/>
        <v>20674.94047232181</v>
      </c>
      <c r="F57" s="13">
        <f t="shared" si="9"/>
        <v>0</v>
      </c>
      <c r="G57" s="13">
        <f t="shared" si="9"/>
        <v>2654.4271179705465</v>
      </c>
      <c r="H57" s="13">
        <f t="shared" si="9"/>
        <v>40604.730676460022</v>
      </c>
      <c r="I57" s="13">
        <f t="shared" si="9"/>
        <v>13023.772726653166</v>
      </c>
      <c r="J57" s="13">
        <f t="shared" si="9"/>
        <v>299.75197916590292</v>
      </c>
      <c r="K57" s="13">
        <f t="shared" si="9"/>
        <v>0</v>
      </c>
      <c r="L57" s="13">
        <f t="shared" si="9"/>
        <v>112283.68965434488</v>
      </c>
      <c r="M57" s="13">
        <f t="shared" si="9"/>
        <v>125607.21436016395</v>
      </c>
      <c r="N57" s="13">
        <f t="shared" si="9"/>
        <v>0</v>
      </c>
      <c r="O57" s="13">
        <f t="shared" si="9"/>
        <v>0</v>
      </c>
      <c r="P57" s="13">
        <f t="shared" si="9"/>
        <v>0</v>
      </c>
      <c r="Q57" s="13">
        <f t="shared" si="9"/>
        <v>2837.3047539743261</v>
      </c>
      <c r="R57" s="13">
        <f t="shared" si="9"/>
        <v>2837.3047539743261</v>
      </c>
      <c r="S57" s="13">
        <f t="shared" si="9"/>
        <v>42808.344620107127</v>
      </c>
      <c r="T57" s="13">
        <f t="shared" si="9"/>
        <v>0</v>
      </c>
      <c r="U57" s="13">
        <f t="shared" si="9"/>
        <v>123815.11946450625</v>
      </c>
      <c r="V57" s="13">
        <f t="shared" si="9"/>
        <v>0</v>
      </c>
      <c r="W57" s="13">
        <f t="shared" si="9"/>
        <v>166623.46408461337</v>
      </c>
      <c r="X57" s="13">
        <f t="shared" si="9"/>
        <v>169460.76883858768</v>
      </c>
      <c r="Y57" s="13">
        <f t="shared" si="9"/>
        <v>39128.820293206816</v>
      </c>
      <c r="Z57" s="13">
        <f t="shared" si="9"/>
        <v>374801.53416841844</v>
      </c>
    </row>
    <row r="58" spans="1:26" ht="10.5" x14ac:dyDescent="0.25">
      <c r="A58" s="7" t="s">
        <v>106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x14ac:dyDescent="0.2">
      <c r="A59" s="8" t="s">
        <v>107</v>
      </c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f>SUM(C59:G59)</f>
        <v>0</v>
      </c>
      <c r="I59" s="11">
        <v>0</v>
      </c>
      <c r="J59" s="11">
        <v>0</v>
      </c>
      <c r="K59" s="11">
        <v>0</v>
      </c>
      <c r="L59" s="11">
        <v>0</v>
      </c>
      <c r="M59" s="11">
        <f>SUM(I59:L59)</f>
        <v>0</v>
      </c>
      <c r="N59" s="11">
        <v>0</v>
      </c>
      <c r="O59" s="11">
        <v>0</v>
      </c>
      <c r="P59" s="11">
        <v>0</v>
      </c>
      <c r="Q59" s="11">
        <v>0</v>
      </c>
      <c r="R59" s="11">
        <f>SUM(O59:Q59)</f>
        <v>0</v>
      </c>
      <c r="S59" s="11">
        <v>0</v>
      </c>
      <c r="T59" s="11">
        <v>0</v>
      </c>
      <c r="U59" s="11">
        <v>3372.8537475666076</v>
      </c>
      <c r="V59" s="11">
        <v>0</v>
      </c>
      <c r="W59" s="11">
        <f>SUM(S59:V59)</f>
        <v>3372.8537475666076</v>
      </c>
      <c r="X59" s="11">
        <f>SUM(N59,R59,W59)</f>
        <v>3372.8537475666076</v>
      </c>
      <c r="Y59" s="11">
        <v>590.28987640691082</v>
      </c>
      <c r="Z59" s="11">
        <f>SUM(B59,H59,M59,X59:Y59)</f>
        <v>3963.1436239735185</v>
      </c>
    </row>
    <row r="60" spans="1:26" x14ac:dyDescent="0.2">
      <c r="A60" s="8" t="s">
        <v>108</v>
      </c>
      <c r="B60" s="11">
        <v>0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f>SUM(C60:G60)</f>
        <v>0</v>
      </c>
      <c r="I60" s="11">
        <v>0</v>
      </c>
      <c r="J60" s="11">
        <v>0</v>
      </c>
      <c r="K60" s="11">
        <v>0</v>
      </c>
      <c r="L60" s="11">
        <v>19.205683483946547</v>
      </c>
      <c r="M60" s="11">
        <f>SUM(I60:L60)</f>
        <v>19.205683483946547</v>
      </c>
      <c r="N60" s="11">
        <v>0</v>
      </c>
      <c r="O60" s="11">
        <v>0</v>
      </c>
      <c r="P60" s="11">
        <v>0</v>
      </c>
      <c r="Q60" s="11">
        <v>0</v>
      </c>
      <c r="R60" s="11">
        <f>SUM(O60:Q60)</f>
        <v>0</v>
      </c>
      <c r="S60" s="11">
        <v>0</v>
      </c>
      <c r="T60" s="11">
        <v>0</v>
      </c>
      <c r="U60" s="11">
        <v>837.06155441609519</v>
      </c>
      <c r="V60" s="11">
        <v>0</v>
      </c>
      <c r="W60" s="11">
        <f>SUM(S60:V60)</f>
        <v>837.06155441609519</v>
      </c>
      <c r="X60" s="11">
        <f>SUM(N60,R60,W60)</f>
        <v>837.06155441609519</v>
      </c>
      <c r="Y60" s="11">
        <v>474.71453043756151</v>
      </c>
      <c r="Z60" s="11">
        <f>SUM(B60,H60,M60,X60:Y60)</f>
        <v>1330.9817683376032</v>
      </c>
    </row>
    <row r="61" spans="1:26" ht="10.5" x14ac:dyDescent="0.25">
      <c r="A61" s="12" t="s">
        <v>109</v>
      </c>
      <c r="B61" s="13">
        <f t="shared" ref="B61:Z61" si="10">SUM(B59:B60)</f>
        <v>0</v>
      </c>
      <c r="C61" s="13">
        <f t="shared" si="10"/>
        <v>0</v>
      </c>
      <c r="D61" s="13">
        <f t="shared" si="10"/>
        <v>0</v>
      </c>
      <c r="E61" s="13">
        <f t="shared" si="10"/>
        <v>0</v>
      </c>
      <c r="F61" s="13">
        <f t="shared" si="10"/>
        <v>0</v>
      </c>
      <c r="G61" s="13">
        <f t="shared" si="10"/>
        <v>0</v>
      </c>
      <c r="H61" s="13">
        <f t="shared" si="10"/>
        <v>0</v>
      </c>
      <c r="I61" s="13">
        <f t="shared" si="10"/>
        <v>0</v>
      </c>
      <c r="J61" s="13">
        <f t="shared" si="10"/>
        <v>0</v>
      </c>
      <c r="K61" s="13">
        <f t="shared" si="10"/>
        <v>0</v>
      </c>
      <c r="L61" s="13">
        <f t="shared" si="10"/>
        <v>19.205683483946547</v>
      </c>
      <c r="M61" s="13">
        <f t="shared" si="10"/>
        <v>19.205683483946547</v>
      </c>
      <c r="N61" s="13">
        <f t="shared" si="10"/>
        <v>0</v>
      </c>
      <c r="O61" s="13">
        <f t="shared" si="10"/>
        <v>0</v>
      </c>
      <c r="P61" s="13">
        <f t="shared" si="10"/>
        <v>0</v>
      </c>
      <c r="Q61" s="13">
        <f t="shared" si="10"/>
        <v>0</v>
      </c>
      <c r="R61" s="13">
        <f t="shared" si="10"/>
        <v>0</v>
      </c>
      <c r="S61" s="13">
        <f t="shared" si="10"/>
        <v>0</v>
      </c>
      <c r="T61" s="13">
        <f t="shared" si="10"/>
        <v>0</v>
      </c>
      <c r="U61" s="13">
        <f t="shared" si="10"/>
        <v>4209.9153019827027</v>
      </c>
      <c r="V61" s="13">
        <f t="shared" si="10"/>
        <v>0</v>
      </c>
      <c r="W61" s="13">
        <f t="shared" si="10"/>
        <v>4209.9153019827027</v>
      </c>
      <c r="X61" s="13">
        <f t="shared" si="10"/>
        <v>4209.9153019827027</v>
      </c>
      <c r="Y61" s="13">
        <f t="shared" si="10"/>
        <v>1065.0044068444722</v>
      </c>
      <c r="Z61" s="13">
        <f t="shared" si="10"/>
        <v>5294.1253923111217</v>
      </c>
    </row>
    <row r="62" spans="1:26" ht="10.5" x14ac:dyDescent="0.25">
      <c r="A62" s="7" t="s">
        <v>110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x14ac:dyDescent="0.2">
      <c r="A63" s="8" t="s">
        <v>111</v>
      </c>
      <c r="B63" s="11">
        <v>0</v>
      </c>
      <c r="C63" s="11">
        <v>0</v>
      </c>
      <c r="D63" s="11">
        <v>566.17690963771474</v>
      </c>
      <c r="E63" s="11">
        <v>0</v>
      </c>
      <c r="F63" s="11">
        <v>0</v>
      </c>
      <c r="G63" s="11">
        <v>4434.7590592233137</v>
      </c>
      <c r="H63" s="11">
        <f t="shared" ref="H63:H71" si="11">SUM(C63:G63)</f>
        <v>5000.9359688610284</v>
      </c>
      <c r="I63" s="11">
        <v>0</v>
      </c>
      <c r="J63" s="11">
        <v>0</v>
      </c>
      <c r="K63" s="11">
        <v>0</v>
      </c>
      <c r="L63" s="11">
        <v>12648.306578323729</v>
      </c>
      <c r="M63" s="11">
        <f t="shared" ref="M63:M71" si="12">SUM(I63:L63)</f>
        <v>12648.306578323729</v>
      </c>
      <c r="N63" s="11">
        <v>0</v>
      </c>
      <c r="O63" s="11">
        <v>0</v>
      </c>
      <c r="P63" s="11">
        <v>0</v>
      </c>
      <c r="Q63" s="11">
        <v>0</v>
      </c>
      <c r="R63" s="11">
        <f t="shared" ref="R63:R71" si="13">SUM(O63:Q63)</f>
        <v>0</v>
      </c>
      <c r="S63" s="11">
        <v>0</v>
      </c>
      <c r="T63" s="11">
        <v>0</v>
      </c>
      <c r="U63" s="11">
        <v>3115.0474499331408</v>
      </c>
      <c r="V63" s="11">
        <v>65.173843190410921</v>
      </c>
      <c r="W63" s="11">
        <f t="shared" ref="W63:W71" si="14">SUM(S63:V63)</f>
        <v>3180.2212931235517</v>
      </c>
      <c r="X63" s="11">
        <f t="shared" ref="X63:X71" si="15">SUM(N63,R63,W63)</f>
        <v>3180.2212931235517</v>
      </c>
      <c r="Y63" s="11">
        <v>873.8380588630381</v>
      </c>
      <c r="Z63" s="11">
        <f t="shared" ref="Z63:Z71" si="16">SUM(B63,H63,M63,X63:Y63)</f>
        <v>21703.301899171347</v>
      </c>
    </row>
    <row r="64" spans="1:26" x14ac:dyDescent="0.2">
      <c r="A64" s="8" t="s">
        <v>112</v>
      </c>
      <c r="B64" s="11">
        <v>0</v>
      </c>
      <c r="C64" s="11">
        <v>0</v>
      </c>
      <c r="D64" s="11">
        <v>611.33163196824592</v>
      </c>
      <c r="E64" s="11">
        <v>0</v>
      </c>
      <c r="F64" s="11">
        <v>0</v>
      </c>
      <c r="G64" s="11">
        <v>230.14859530443616</v>
      </c>
      <c r="H64" s="11">
        <f t="shared" si="11"/>
        <v>841.4802272726821</v>
      </c>
      <c r="I64" s="11">
        <v>0</v>
      </c>
      <c r="J64" s="11">
        <v>0</v>
      </c>
      <c r="K64" s="11">
        <v>0</v>
      </c>
      <c r="L64" s="11">
        <v>40554.264156625912</v>
      </c>
      <c r="M64" s="11">
        <f t="shared" si="12"/>
        <v>40554.264156625912</v>
      </c>
      <c r="N64" s="11">
        <v>0</v>
      </c>
      <c r="O64" s="11">
        <v>0</v>
      </c>
      <c r="P64" s="11">
        <v>0</v>
      </c>
      <c r="Q64" s="11">
        <v>0</v>
      </c>
      <c r="R64" s="11">
        <f t="shared" si="13"/>
        <v>0</v>
      </c>
      <c r="S64" s="11">
        <v>541.23291206880936</v>
      </c>
      <c r="T64" s="11">
        <v>0</v>
      </c>
      <c r="U64" s="11">
        <v>6238.0110806589937</v>
      </c>
      <c r="V64" s="11">
        <v>355.39683492966617</v>
      </c>
      <c r="W64" s="11">
        <f t="shared" si="14"/>
        <v>7134.6408276574693</v>
      </c>
      <c r="X64" s="11">
        <f t="shared" si="15"/>
        <v>7134.6408276574693</v>
      </c>
      <c r="Y64" s="11">
        <v>-1065.9649720367704</v>
      </c>
      <c r="Z64" s="11">
        <f t="shared" si="16"/>
        <v>47464.420239519291</v>
      </c>
    </row>
    <row r="65" spans="1:26" x14ac:dyDescent="0.2">
      <c r="A65" s="8" t="s">
        <v>113</v>
      </c>
      <c r="B65" s="11">
        <v>0</v>
      </c>
      <c r="C65" s="11">
        <v>0</v>
      </c>
      <c r="D65" s="11">
        <v>0</v>
      </c>
      <c r="E65" s="11">
        <v>0</v>
      </c>
      <c r="F65" s="11">
        <v>0</v>
      </c>
      <c r="G65" s="11">
        <v>4272.7533412534913</v>
      </c>
      <c r="H65" s="11">
        <f t="shared" si="11"/>
        <v>4272.7533412534913</v>
      </c>
      <c r="I65" s="11">
        <v>0</v>
      </c>
      <c r="J65" s="11">
        <v>0</v>
      </c>
      <c r="K65" s="11">
        <v>0</v>
      </c>
      <c r="L65" s="11">
        <v>29879.359273787406</v>
      </c>
      <c r="M65" s="11">
        <f t="shared" si="12"/>
        <v>29879.359273787406</v>
      </c>
      <c r="N65" s="11">
        <v>0</v>
      </c>
      <c r="O65" s="11">
        <v>0</v>
      </c>
      <c r="P65" s="11">
        <v>0</v>
      </c>
      <c r="Q65" s="11">
        <v>0</v>
      </c>
      <c r="R65" s="11">
        <f t="shared" si="13"/>
        <v>0</v>
      </c>
      <c r="S65" s="11">
        <v>564.48274180615715</v>
      </c>
      <c r="T65" s="11">
        <v>0</v>
      </c>
      <c r="U65" s="11">
        <v>3003.9022965136987</v>
      </c>
      <c r="V65" s="11">
        <v>0</v>
      </c>
      <c r="W65" s="11">
        <f t="shared" si="14"/>
        <v>3568.385038319856</v>
      </c>
      <c r="X65" s="11">
        <f t="shared" si="15"/>
        <v>3568.385038319856</v>
      </c>
      <c r="Y65" s="11">
        <v>467.78861077708405</v>
      </c>
      <c r="Z65" s="11">
        <f t="shared" si="16"/>
        <v>38188.286264137838</v>
      </c>
    </row>
    <row r="66" spans="1:26" x14ac:dyDescent="0.2">
      <c r="A66" s="8" t="s">
        <v>114</v>
      </c>
      <c r="B66" s="11">
        <v>0</v>
      </c>
      <c r="C66" s="11">
        <v>0</v>
      </c>
      <c r="D66" s="11">
        <v>50.789680341458798</v>
      </c>
      <c r="E66" s="11">
        <v>0</v>
      </c>
      <c r="F66" s="11">
        <v>0</v>
      </c>
      <c r="G66" s="11">
        <v>0</v>
      </c>
      <c r="H66" s="11">
        <f t="shared" si="11"/>
        <v>50.789680341458798</v>
      </c>
      <c r="I66" s="11">
        <v>0</v>
      </c>
      <c r="J66" s="11">
        <v>0</v>
      </c>
      <c r="K66" s="11">
        <v>0</v>
      </c>
      <c r="L66" s="11">
        <v>-38336.440632013</v>
      </c>
      <c r="M66" s="11">
        <f t="shared" si="12"/>
        <v>-38336.440632013</v>
      </c>
      <c r="N66" s="11">
        <v>0</v>
      </c>
      <c r="O66" s="11">
        <v>0</v>
      </c>
      <c r="P66" s="11">
        <v>0</v>
      </c>
      <c r="Q66" s="11">
        <v>0</v>
      </c>
      <c r="R66" s="11">
        <f t="shared" si="13"/>
        <v>0</v>
      </c>
      <c r="S66" s="11">
        <v>39.704817114243788</v>
      </c>
      <c r="T66" s="11">
        <v>0</v>
      </c>
      <c r="U66" s="11">
        <v>2203.2660269804373</v>
      </c>
      <c r="V66" s="11">
        <v>0</v>
      </c>
      <c r="W66" s="11">
        <f t="shared" si="14"/>
        <v>2242.9708440946811</v>
      </c>
      <c r="X66" s="11">
        <f t="shared" si="15"/>
        <v>2242.9708440946811</v>
      </c>
      <c r="Y66" s="11">
        <v>-3889.4147132107782</v>
      </c>
      <c r="Z66" s="11">
        <f t="shared" si="16"/>
        <v>-39932.094820787635</v>
      </c>
    </row>
    <row r="67" spans="1:26" x14ac:dyDescent="0.2">
      <c r="A67" s="8" t="s">
        <v>115</v>
      </c>
      <c r="B67" s="11">
        <v>0</v>
      </c>
      <c r="C67" s="11">
        <v>0</v>
      </c>
      <c r="D67" s="11">
        <v>0</v>
      </c>
      <c r="E67" s="11">
        <v>0</v>
      </c>
      <c r="F67" s="11">
        <v>0</v>
      </c>
      <c r="G67" s="11">
        <v>0</v>
      </c>
      <c r="H67" s="11">
        <f t="shared" si="11"/>
        <v>0</v>
      </c>
      <c r="I67" s="11">
        <v>0</v>
      </c>
      <c r="J67" s="11">
        <v>0</v>
      </c>
      <c r="K67" s="11">
        <v>0</v>
      </c>
      <c r="L67" s="11">
        <v>0</v>
      </c>
      <c r="M67" s="11">
        <f t="shared" si="12"/>
        <v>0</v>
      </c>
      <c r="N67" s="11">
        <v>0</v>
      </c>
      <c r="O67" s="11">
        <v>0</v>
      </c>
      <c r="P67" s="11">
        <v>0</v>
      </c>
      <c r="Q67" s="11">
        <v>0</v>
      </c>
      <c r="R67" s="11">
        <f t="shared" si="13"/>
        <v>0</v>
      </c>
      <c r="S67" s="11">
        <v>0</v>
      </c>
      <c r="T67" s="11">
        <v>0</v>
      </c>
      <c r="U67" s="11">
        <v>24.538659146390458</v>
      </c>
      <c r="V67" s="11">
        <v>0</v>
      </c>
      <c r="W67" s="11">
        <f t="shared" si="14"/>
        <v>24.538659146390458</v>
      </c>
      <c r="X67" s="11">
        <f t="shared" si="15"/>
        <v>24.538659146390458</v>
      </c>
      <c r="Y67" s="11">
        <v>0</v>
      </c>
      <c r="Z67" s="11">
        <f t="shared" si="16"/>
        <v>24.538659146390458</v>
      </c>
    </row>
    <row r="68" spans="1:26" x14ac:dyDescent="0.2">
      <c r="A68" s="8" t="s">
        <v>116</v>
      </c>
      <c r="B68" s="11">
        <v>0</v>
      </c>
      <c r="C68" s="11">
        <v>0</v>
      </c>
      <c r="D68" s="11">
        <v>0</v>
      </c>
      <c r="E68" s="11">
        <v>0</v>
      </c>
      <c r="F68" s="11">
        <v>0</v>
      </c>
      <c r="G68" s="11">
        <v>0</v>
      </c>
      <c r="H68" s="11">
        <f t="shared" si="11"/>
        <v>0</v>
      </c>
      <c r="I68" s="11">
        <v>0</v>
      </c>
      <c r="J68" s="11">
        <v>0</v>
      </c>
      <c r="K68" s="11">
        <v>0</v>
      </c>
      <c r="L68" s="11">
        <v>5034.6081758238661</v>
      </c>
      <c r="M68" s="11">
        <f t="shared" si="12"/>
        <v>5034.6081758238661</v>
      </c>
      <c r="N68" s="11">
        <v>0</v>
      </c>
      <c r="O68" s="11">
        <v>0</v>
      </c>
      <c r="P68" s="11">
        <v>0</v>
      </c>
      <c r="Q68" s="11">
        <v>0</v>
      </c>
      <c r="R68" s="11">
        <f t="shared" si="13"/>
        <v>0</v>
      </c>
      <c r="S68" s="11">
        <v>0</v>
      </c>
      <c r="T68" s="11">
        <v>0</v>
      </c>
      <c r="U68" s="11">
        <v>0</v>
      </c>
      <c r="V68" s="11">
        <v>0</v>
      </c>
      <c r="W68" s="11">
        <f t="shared" si="14"/>
        <v>0</v>
      </c>
      <c r="X68" s="11">
        <f t="shared" si="15"/>
        <v>0</v>
      </c>
      <c r="Y68" s="11">
        <v>157.26119906124055</v>
      </c>
      <c r="Z68" s="11">
        <f t="shared" si="16"/>
        <v>5191.8693748851065</v>
      </c>
    </row>
    <row r="69" spans="1:26" x14ac:dyDescent="0.2">
      <c r="A69" s="8" t="s">
        <v>117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f t="shared" si="11"/>
        <v>0</v>
      </c>
      <c r="I69" s="11">
        <v>0</v>
      </c>
      <c r="J69" s="11">
        <v>0</v>
      </c>
      <c r="K69" s="11">
        <v>0</v>
      </c>
      <c r="L69" s="11">
        <v>0</v>
      </c>
      <c r="M69" s="11">
        <f t="shared" si="12"/>
        <v>0</v>
      </c>
      <c r="N69" s="11">
        <v>0</v>
      </c>
      <c r="O69" s="11">
        <v>0</v>
      </c>
      <c r="P69" s="11">
        <v>0</v>
      </c>
      <c r="Q69" s="11">
        <v>0</v>
      </c>
      <c r="R69" s="11">
        <f t="shared" si="13"/>
        <v>0</v>
      </c>
      <c r="S69" s="11">
        <v>0</v>
      </c>
      <c r="T69" s="11">
        <v>0</v>
      </c>
      <c r="U69" s="11">
        <v>8845.6076394276479</v>
      </c>
      <c r="V69" s="11">
        <v>0</v>
      </c>
      <c r="W69" s="11">
        <f t="shared" si="14"/>
        <v>8845.6076394276479</v>
      </c>
      <c r="X69" s="11">
        <f t="shared" si="15"/>
        <v>8845.6076394276479</v>
      </c>
      <c r="Y69" s="11">
        <v>2962.9273019117177</v>
      </c>
      <c r="Z69" s="11">
        <f t="shared" si="16"/>
        <v>11808.534941339365</v>
      </c>
    </row>
    <row r="70" spans="1:26" x14ac:dyDescent="0.2">
      <c r="A70" s="8" t="s">
        <v>118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392.7129818149881</v>
      </c>
      <c r="H70" s="11">
        <f t="shared" si="11"/>
        <v>392.7129818149881</v>
      </c>
      <c r="I70" s="11">
        <v>0</v>
      </c>
      <c r="J70" s="11">
        <v>0</v>
      </c>
      <c r="K70" s="11">
        <v>0</v>
      </c>
      <c r="L70" s="11">
        <v>5421.9653869589038</v>
      </c>
      <c r="M70" s="11">
        <f t="shared" si="12"/>
        <v>5421.9653869589038</v>
      </c>
      <c r="N70" s="11">
        <v>0</v>
      </c>
      <c r="O70" s="11">
        <v>0</v>
      </c>
      <c r="P70" s="11">
        <v>0</v>
      </c>
      <c r="Q70" s="11">
        <v>0</v>
      </c>
      <c r="R70" s="11">
        <f t="shared" si="13"/>
        <v>0</v>
      </c>
      <c r="S70" s="11">
        <v>0</v>
      </c>
      <c r="T70" s="11">
        <v>0</v>
      </c>
      <c r="U70" s="11">
        <v>2690.8009260235208</v>
      </c>
      <c r="V70" s="11">
        <v>0</v>
      </c>
      <c r="W70" s="11">
        <f t="shared" si="14"/>
        <v>2690.8009260235208</v>
      </c>
      <c r="X70" s="11">
        <f t="shared" si="15"/>
        <v>2690.8009260235208</v>
      </c>
      <c r="Y70" s="11">
        <v>2610.3140186621004</v>
      </c>
      <c r="Z70" s="11">
        <f t="shared" si="16"/>
        <v>11115.793313459513</v>
      </c>
    </row>
    <row r="71" spans="1:26" x14ac:dyDescent="0.2">
      <c r="A71" s="8" t="s">
        <v>119</v>
      </c>
      <c r="B71" s="11">
        <v>0</v>
      </c>
      <c r="C71" s="11">
        <v>0</v>
      </c>
      <c r="D71" s="11">
        <v>75.116208537176547</v>
      </c>
      <c r="E71" s="11">
        <v>0</v>
      </c>
      <c r="F71" s="11">
        <v>0</v>
      </c>
      <c r="G71" s="11">
        <v>2418.8973011846729</v>
      </c>
      <c r="H71" s="11">
        <f t="shared" si="11"/>
        <v>2494.0135097218495</v>
      </c>
      <c r="I71" s="11">
        <v>0</v>
      </c>
      <c r="J71" s="11">
        <v>0</v>
      </c>
      <c r="K71" s="11">
        <v>0</v>
      </c>
      <c r="L71" s="11">
        <v>6591.190026573161</v>
      </c>
      <c r="M71" s="11">
        <f t="shared" si="12"/>
        <v>6591.190026573161</v>
      </c>
      <c r="N71" s="11">
        <v>0</v>
      </c>
      <c r="O71" s="11">
        <v>0</v>
      </c>
      <c r="P71" s="11">
        <v>0</v>
      </c>
      <c r="Q71" s="11">
        <v>0</v>
      </c>
      <c r="R71" s="11">
        <f t="shared" si="13"/>
        <v>0</v>
      </c>
      <c r="S71" s="11">
        <v>0</v>
      </c>
      <c r="T71" s="11">
        <v>0</v>
      </c>
      <c r="U71" s="11">
        <v>3491.909660090208</v>
      </c>
      <c r="V71" s="11">
        <v>98.622536353520175</v>
      </c>
      <c r="W71" s="11">
        <f t="shared" si="14"/>
        <v>3590.532196443728</v>
      </c>
      <c r="X71" s="11">
        <f t="shared" si="15"/>
        <v>3590.532196443728</v>
      </c>
      <c r="Y71" s="11">
        <v>806.54882809176581</v>
      </c>
      <c r="Z71" s="11">
        <f t="shared" si="16"/>
        <v>13482.284560830503</v>
      </c>
    </row>
    <row r="72" spans="1:26" ht="10.5" x14ac:dyDescent="0.25">
      <c r="A72" s="12" t="s">
        <v>120</v>
      </c>
      <c r="B72" s="13">
        <f t="shared" ref="B72:Z72" si="17">SUM(B63:B71)</f>
        <v>0</v>
      </c>
      <c r="C72" s="13">
        <f t="shared" si="17"/>
        <v>0</v>
      </c>
      <c r="D72" s="13">
        <f t="shared" si="17"/>
        <v>1303.4144304845959</v>
      </c>
      <c r="E72" s="13">
        <f t="shared" si="17"/>
        <v>0</v>
      </c>
      <c r="F72" s="13">
        <f t="shared" si="17"/>
        <v>0</v>
      </c>
      <c r="G72" s="13">
        <f t="shared" si="17"/>
        <v>11749.2712787809</v>
      </c>
      <c r="H72" s="13">
        <f t="shared" si="17"/>
        <v>13052.685709265499</v>
      </c>
      <c r="I72" s="13">
        <f t="shared" si="17"/>
        <v>0</v>
      </c>
      <c r="J72" s="13">
        <f t="shared" si="17"/>
        <v>0</v>
      </c>
      <c r="K72" s="13">
        <f t="shared" si="17"/>
        <v>0</v>
      </c>
      <c r="L72" s="13">
        <f t="shared" si="17"/>
        <v>61793.252966079977</v>
      </c>
      <c r="M72" s="13">
        <f t="shared" si="17"/>
        <v>61793.252966079977</v>
      </c>
      <c r="N72" s="13">
        <f t="shared" si="17"/>
        <v>0</v>
      </c>
      <c r="O72" s="13">
        <f t="shared" si="17"/>
        <v>0</v>
      </c>
      <c r="P72" s="13">
        <f t="shared" si="17"/>
        <v>0</v>
      </c>
      <c r="Q72" s="13">
        <f t="shared" si="17"/>
        <v>0</v>
      </c>
      <c r="R72" s="13">
        <f t="shared" si="17"/>
        <v>0</v>
      </c>
      <c r="S72" s="13">
        <f t="shared" si="17"/>
        <v>1145.4204709892101</v>
      </c>
      <c r="T72" s="13">
        <f t="shared" si="17"/>
        <v>0</v>
      </c>
      <c r="U72" s="13">
        <f t="shared" si="17"/>
        <v>29613.083738774036</v>
      </c>
      <c r="V72" s="13">
        <f t="shared" si="17"/>
        <v>519.19321447359732</v>
      </c>
      <c r="W72" s="13">
        <f t="shared" si="17"/>
        <v>31277.697424236841</v>
      </c>
      <c r="X72" s="13">
        <f t="shared" si="17"/>
        <v>31277.697424236841</v>
      </c>
      <c r="Y72" s="13">
        <f t="shared" si="17"/>
        <v>2923.2983321193979</v>
      </c>
      <c r="Z72" s="13">
        <f t="shared" si="17"/>
        <v>109046.93443170172</v>
      </c>
    </row>
    <row r="73" spans="1:26" ht="10.5" x14ac:dyDescent="0.25">
      <c r="A73" s="7" t="s">
        <v>121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x14ac:dyDescent="0.2">
      <c r="A74" s="8" t="s">
        <v>122</v>
      </c>
      <c r="B74" s="11">
        <v>0</v>
      </c>
      <c r="C74" s="11">
        <v>0</v>
      </c>
      <c r="D74" s="11">
        <v>9702.5207263254906</v>
      </c>
      <c r="E74" s="11">
        <v>0</v>
      </c>
      <c r="F74" s="11">
        <v>0</v>
      </c>
      <c r="G74" s="11">
        <v>7045.0992271518207</v>
      </c>
      <c r="H74" s="11">
        <f>SUM(C74:G74)</f>
        <v>16747.619953477311</v>
      </c>
      <c r="I74" s="11">
        <v>0</v>
      </c>
      <c r="J74" s="11">
        <v>0</v>
      </c>
      <c r="K74" s="11">
        <v>0</v>
      </c>
      <c r="L74" s="11">
        <v>43056.317501809797</v>
      </c>
      <c r="M74" s="11">
        <f>SUM(I74:L74)</f>
        <v>43056.317501809797</v>
      </c>
      <c r="N74" s="11">
        <v>0</v>
      </c>
      <c r="O74" s="11">
        <v>2576.7199811299438</v>
      </c>
      <c r="P74" s="11">
        <v>0</v>
      </c>
      <c r="Q74" s="11">
        <v>0</v>
      </c>
      <c r="R74" s="11">
        <f>SUM(O74:Q74)</f>
        <v>2576.7199811299438</v>
      </c>
      <c r="S74" s="11">
        <v>0</v>
      </c>
      <c r="T74" s="11">
        <v>0</v>
      </c>
      <c r="U74" s="11">
        <v>12655.979933108172</v>
      </c>
      <c r="V74" s="11">
        <v>0</v>
      </c>
      <c r="W74" s="11">
        <f>SUM(S74:V74)</f>
        <v>12655.979933108172</v>
      </c>
      <c r="X74" s="11">
        <f>SUM(N74,R74,W74)</f>
        <v>15232.699914238116</v>
      </c>
      <c r="Y74" s="11">
        <v>196508.55773278937</v>
      </c>
      <c r="Z74" s="11">
        <f>SUM(B74,H74,M74,X74:Y74)</f>
        <v>271545.19510231458</v>
      </c>
    </row>
    <row r="75" spans="1:26" x14ac:dyDescent="0.2">
      <c r="A75" s="8" t="s">
        <v>123</v>
      </c>
      <c r="B75" s="11">
        <v>0</v>
      </c>
      <c r="C75" s="11">
        <v>2331.7721338708029</v>
      </c>
      <c r="D75" s="11">
        <v>1803.4558420910626</v>
      </c>
      <c r="E75" s="11">
        <v>2772.6537783883732</v>
      </c>
      <c r="F75" s="11">
        <v>0</v>
      </c>
      <c r="G75" s="11">
        <v>5096.2950651509364</v>
      </c>
      <c r="H75" s="11">
        <f>SUM(C75:G75)</f>
        <v>12004.176819501175</v>
      </c>
      <c r="I75" s="11">
        <v>0</v>
      </c>
      <c r="J75" s="11">
        <v>297.44118414505527</v>
      </c>
      <c r="K75" s="11">
        <v>1070.8412392347041</v>
      </c>
      <c r="L75" s="11">
        <v>9063.1274298342414</v>
      </c>
      <c r="M75" s="11">
        <f>SUM(I75:L75)</f>
        <v>10431.409853214001</v>
      </c>
      <c r="N75" s="11">
        <v>0</v>
      </c>
      <c r="O75" s="11">
        <v>277.40279316675407</v>
      </c>
      <c r="P75" s="11">
        <v>0</v>
      </c>
      <c r="Q75" s="11">
        <v>1419.1225589841795</v>
      </c>
      <c r="R75" s="11">
        <f>SUM(O75:Q75)</f>
        <v>1696.5253521509335</v>
      </c>
      <c r="S75" s="11">
        <v>6134.0246988916069</v>
      </c>
      <c r="T75" s="11">
        <v>0</v>
      </c>
      <c r="U75" s="11">
        <v>3964.1399588704558</v>
      </c>
      <c r="V75" s="11">
        <v>0</v>
      </c>
      <c r="W75" s="11">
        <f>SUM(S75:V75)</f>
        <v>10098.164657762063</v>
      </c>
      <c r="X75" s="11">
        <f>SUM(N75,R75,W75)</f>
        <v>11794.690009912996</v>
      </c>
      <c r="Y75" s="11">
        <v>31250.233055657081</v>
      </c>
      <c r="Z75" s="11">
        <f>SUM(B75,H75,M75,X75:Y75)</f>
        <v>65480.509738285255</v>
      </c>
    </row>
    <row r="76" spans="1:26" x14ac:dyDescent="0.2">
      <c r="A76" s="8" t="s">
        <v>124</v>
      </c>
      <c r="B76" s="11">
        <v>0</v>
      </c>
      <c r="C76" s="11">
        <v>0</v>
      </c>
      <c r="D76" s="11">
        <v>7395.7422304223564</v>
      </c>
      <c r="E76" s="11">
        <v>16906.841431167373</v>
      </c>
      <c r="F76" s="11">
        <v>0</v>
      </c>
      <c r="G76" s="11">
        <v>109770.92475233681</v>
      </c>
      <c r="H76" s="11">
        <f>SUM(C76:G76)</f>
        <v>134073.50841392652</v>
      </c>
      <c r="I76" s="11">
        <v>0</v>
      </c>
      <c r="J76" s="11">
        <v>0</v>
      </c>
      <c r="K76" s="11">
        <v>0</v>
      </c>
      <c r="L76" s="11">
        <v>15525</v>
      </c>
      <c r="M76" s="11">
        <f>SUM(I76:L76)</f>
        <v>15525</v>
      </c>
      <c r="N76" s="11">
        <v>0</v>
      </c>
      <c r="O76" s="11">
        <v>0</v>
      </c>
      <c r="P76" s="11">
        <v>0</v>
      </c>
      <c r="Q76" s="11">
        <v>0</v>
      </c>
      <c r="R76" s="11">
        <f>SUM(O76:Q76)</f>
        <v>0</v>
      </c>
      <c r="S76" s="11">
        <v>0</v>
      </c>
      <c r="T76" s="11">
        <v>0</v>
      </c>
      <c r="U76" s="11">
        <v>17870.26634343492</v>
      </c>
      <c r="V76" s="11">
        <v>14019.776222522923</v>
      </c>
      <c r="W76" s="11">
        <f>SUM(S76:V76)</f>
        <v>31890.042565957843</v>
      </c>
      <c r="X76" s="11">
        <f>SUM(N76,R76,W76)</f>
        <v>31890.042565957843</v>
      </c>
      <c r="Y76" s="11">
        <v>386476.78414337145</v>
      </c>
      <c r="Z76" s="11">
        <f>SUM(B76,H76,M76,X76:Y76)</f>
        <v>567965.33512325585</v>
      </c>
    </row>
    <row r="77" spans="1:26" x14ac:dyDescent="0.2">
      <c r="A77" s="8" t="s">
        <v>125</v>
      </c>
      <c r="B77" s="11">
        <v>0</v>
      </c>
      <c r="C77" s="11">
        <v>0</v>
      </c>
      <c r="D77" s="11">
        <v>3850.5057942244898</v>
      </c>
      <c r="E77" s="11">
        <v>1699.0087226121284</v>
      </c>
      <c r="F77" s="11">
        <v>0</v>
      </c>
      <c r="G77" s="11">
        <v>19942.838131258279</v>
      </c>
      <c r="H77" s="11">
        <f>SUM(C77:G77)</f>
        <v>25492.352648094897</v>
      </c>
      <c r="I77" s="11">
        <v>2495.8289749234177</v>
      </c>
      <c r="J77" s="11">
        <v>0</v>
      </c>
      <c r="K77" s="11">
        <v>0</v>
      </c>
      <c r="L77" s="11">
        <v>119880.89067622188</v>
      </c>
      <c r="M77" s="11">
        <f>SUM(I77:L77)</f>
        <v>122376.71965114531</v>
      </c>
      <c r="N77" s="11">
        <v>0</v>
      </c>
      <c r="O77" s="11">
        <v>0</v>
      </c>
      <c r="P77" s="11">
        <v>0</v>
      </c>
      <c r="Q77" s="11">
        <v>0</v>
      </c>
      <c r="R77" s="11">
        <f>SUM(O77:Q77)</f>
        <v>0</v>
      </c>
      <c r="S77" s="11">
        <v>0</v>
      </c>
      <c r="T77" s="11">
        <v>0</v>
      </c>
      <c r="U77" s="11">
        <v>293.83340970665751</v>
      </c>
      <c r="V77" s="11">
        <v>0</v>
      </c>
      <c r="W77" s="11">
        <f>SUM(S77:V77)</f>
        <v>293.83340970665751</v>
      </c>
      <c r="X77" s="11">
        <f>SUM(N77,R77,W77)</f>
        <v>293.83340970665751</v>
      </c>
      <c r="Y77" s="11">
        <v>73125.641783038693</v>
      </c>
      <c r="Z77" s="11">
        <f>SUM(B77,H77,M77,X77:Y77)</f>
        <v>221288.54749198555</v>
      </c>
    </row>
    <row r="78" spans="1:26" x14ac:dyDescent="0.2">
      <c r="A78" s="8" t="s">
        <v>126</v>
      </c>
      <c r="B78" s="11">
        <v>0</v>
      </c>
      <c r="C78" s="11">
        <v>0</v>
      </c>
      <c r="D78" s="11">
        <v>0</v>
      </c>
      <c r="E78" s="11">
        <v>5882.0541661671559</v>
      </c>
      <c r="F78" s="11">
        <v>0</v>
      </c>
      <c r="G78" s="11">
        <v>0</v>
      </c>
      <c r="H78" s="11">
        <f>SUM(C78:G78)</f>
        <v>5882.0541661671559</v>
      </c>
      <c r="I78" s="11">
        <v>0</v>
      </c>
      <c r="J78" s="11">
        <v>0</v>
      </c>
      <c r="K78" s="11">
        <v>0</v>
      </c>
      <c r="L78" s="11">
        <v>0</v>
      </c>
      <c r="M78" s="11">
        <f>SUM(I78:L78)</f>
        <v>0</v>
      </c>
      <c r="N78" s="11">
        <v>0</v>
      </c>
      <c r="O78" s="11">
        <v>0</v>
      </c>
      <c r="P78" s="11">
        <v>0</v>
      </c>
      <c r="Q78" s="11">
        <v>0</v>
      </c>
      <c r="R78" s="11">
        <f>SUM(O78:Q78)</f>
        <v>0</v>
      </c>
      <c r="S78" s="11">
        <v>0</v>
      </c>
      <c r="T78" s="11">
        <v>0</v>
      </c>
      <c r="U78" s="11">
        <v>0</v>
      </c>
      <c r="V78" s="11">
        <v>0</v>
      </c>
      <c r="W78" s="11">
        <f>SUM(S78:V78)</f>
        <v>0</v>
      </c>
      <c r="X78" s="11">
        <f>SUM(N78,R78,W78)</f>
        <v>0</v>
      </c>
      <c r="Y78" s="11">
        <v>0</v>
      </c>
      <c r="Z78" s="11">
        <f>SUM(B78,H78,M78,X78:Y78)</f>
        <v>5882.0541661671559</v>
      </c>
    </row>
    <row r="79" spans="1:26" ht="10.5" x14ac:dyDescent="0.25">
      <c r="A79" s="12" t="s">
        <v>127</v>
      </c>
      <c r="B79" s="13">
        <f t="shared" ref="B79:Z79" si="18">SUM(B74:B78)</f>
        <v>0</v>
      </c>
      <c r="C79" s="13">
        <f t="shared" si="18"/>
        <v>2331.7721338708029</v>
      </c>
      <c r="D79" s="13">
        <f t="shared" si="18"/>
        <v>22752.224593063402</v>
      </c>
      <c r="E79" s="13">
        <f t="shared" si="18"/>
        <v>27260.55809833503</v>
      </c>
      <c r="F79" s="13">
        <f t="shared" si="18"/>
        <v>0</v>
      </c>
      <c r="G79" s="13">
        <f t="shared" si="18"/>
        <v>141855.15717589785</v>
      </c>
      <c r="H79" s="13">
        <f t="shared" si="18"/>
        <v>194199.71200116709</v>
      </c>
      <c r="I79" s="13">
        <f t="shared" si="18"/>
        <v>2495.8289749234177</v>
      </c>
      <c r="J79" s="13">
        <f t="shared" si="18"/>
        <v>297.44118414505527</v>
      </c>
      <c r="K79" s="13">
        <f t="shared" si="18"/>
        <v>1070.8412392347041</v>
      </c>
      <c r="L79" s="13">
        <f t="shared" si="18"/>
        <v>187525.33560786594</v>
      </c>
      <c r="M79" s="13">
        <f t="shared" si="18"/>
        <v>191389.44700616912</v>
      </c>
      <c r="N79" s="13">
        <f t="shared" si="18"/>
        <v>0</v>
      </c>
      <c r="O79" s="13">
        <f t="shared" si="18"/>
        <v>2854.122774296698</v>
      </c>
      <c r="P79" s="13">
        <f t="shared" si="18"/>
        <v>0</v>
      </c>
      <c r="Q79" s="13">
        <f t="shared" si="18"/>
        <v>1419.1225589841795</v>
      </c>
      <c r="R79" s="13">
        <f t="shared" si="18"/>
        <v>4273.2453332808773</v>
      </c>
      <c r="S79" s="13">
        <f t="shared" si="18"/>
        <v>6134.0246988916069</v>
      </c>
      <c r="T79" s="13">
        <f t="shared" si="18"/>
        <v>0</v>
      </c>
      <c r="U79" s="13">
        <f t="shared" si="18"/>
        <v>34784.219645120203</v>
      </c>
      <c r="V79" s="13">
        <f t="shared" si="18"/>
        <v>14019.776222522923</v>
      </c>
      <c r="W79" s="13">
        <f t="shared" si="18"/>
        <v>54938.020566534731</v>
      </c>
      <c r="X79" s="13">
        <f t="shared" si="18"/>
        <v>59211.265899815611</v>
      </c>
      <c r="Y79" s="13">
        <f t="shared" si="18"/>
        <v>687361.21671485656</v>
      </c>
      <c r="Z79" s="13">
        <f t="shared" si="18"/>
        <v>1132161.6416220083</v>
      </c>
    </row>
    <row r="80" spans="1:26" ht="10.5" x14ac:dyDescent="0.25">
      <c r="A80" s="7" t="s">
        <v>128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x14ac:dyDescent="0.2">
      <c r="A81" s="8" t="s">
        <v>129</v>
      </c>
      <c r="B81" s="11">
        <v>0</v>
      </c>
      <c r="C81" s="11">
        <v>0</v>
      </c>
      <c r="D81" s="11">
        <v>0</v>
      </c>
      <c r="E81" s="11">
        <v>0</v>
      </c>
      <c r="F81" s="11">
        <v>0</v>
      </c>
      <c r="G81" s="11">
        <v>3015.7989282007838</v>
      </c>
      <c r="H81" s="11">
        <f>SUM(C81:G81)</f>
        <v>3015.7989282007838</v>
      </c>
      <c r="I81" s="11">
        <v>0</v>
      </c>
      <c r="J81" s="11">
        <v>0</v>
      </c>
      <c r="K81" s="11">
        <v>0</v>
      </c>
      <c r="L81" s="11">
        <v>23294.112150026303</v>
      </c>
      <c r="M81" s="11">
        <f>SUM(I81:L81)</f>
        <v>23294.112150026303</v>
      </c>
      <c r="N81" s="11">
        <v>0</v>
      </c>
      <c r="O81" s="11">
        <v>0</v>
      </c>
      <c r="P81" s="11">
        <v>0</v>
      </c>
      <c r="Q81" s="11">
        <v>0</v>
      </c>
      <c r="R81" s="11">
        <f>SUM(O81:Q81)</f>
        <v>0</v>
      </c>
      <c r="S81" s="11">
        <v>0</v>
      </c>
      <c r="T81" s="11">
        <v>0</v>
      </c>
      <c r="U81" s="11">
        <v>3571.6908081607698</v>
      </c>
      <c r="V81" s="11">
        <v>0</v>
      </c>
      <c r="W81" s="11">
        <f>SUM(S81:V81)</f>
        <v>3571.6908081607698</v>
      </c>
      <c r="X81" s="11">
        <f>SUM(N81,R81,W81)</f>
        <v>3571.6908081607698</v>
      </c>
      <c r="Y81" s="11">
        <v>-5741.7329311442163</v>
      </c>
      <c r="Z81" s="11">
        <f>SUM(B81,H81,M81,X81:Y81)</f>
        <v>24139.868955243641</v>
      </c>
    </row>
    <row r="82" spans="1:26" x14ac:dyDescent="0.2">
      <c r="A82" s="8" t="s">
        <v>130</v>
      </c>
      <c r="B82" s="11">
        <v>0</v>
      </c>
      <c r="C82" s="11">
        <v>0</v>
      </c>
      <c r="D82" s="11">
        <v>0</v>
      </c>
      <c r="E82" s="11">
        <v>0</v>
      </c>
      <c r="F82" s="11">
        <v>0</v>
      </c>
      <c r="G82" s="11">
        <v>3730.2161292845408</v>
      </c>
      <c r="H82" s="11">
        <f>SUM(C82:G82)</f>
        <v>3730.2161292845408</v>
      </c>
      <c r="I82" s="11">
        <v>0</v>
      </c>
      <c r="J82" s="11">
        <v>0</v>
      </c>
      <c r="K82" s="11">
        <v>0</v>
      </c>
      <c r="L82" s="11">
        <v>3934.4075950037</v>
      </c>
      <c r="M82" s="11">
        <f>SUM(I82:L82)</f>
        <v>3934.4075950037</v>
      </c>
      <c r="N82" s="11">
        <v>0</v>
      </c>
      <c r="O82" s="11">
        <v>0</v>
      </c>
      <c r="P82" s="11">
        <v>0</v>
      </c>
      <c r="Q82" s="11">
        <v>0</v>
      </c>
      <c r="R82" s="11">
        <f>SUM(O82:Q82)</f>
        <v>0</v>
      </c>
      <c r="S82" s="11">
        <v>1278.1523588607656</v>
      </c>
      <c r="T82" s="11">
        <v>0</v>
      </c>
      <c r="U82" s="11">
        <v>6931.6638974701582</v>
      </c>
      <c r="V82" s="11">
        <v>1523.6365169593626</v>
      </c>
      <c r="W82" s="11">
        <f>SUM(S82:V82)</f>
        <v>9733.4527732902861</v>
      </c>
      <c r="X82" s="11">
        <f>SUM(N82,R82,W82)</f>
        <v>9733.4527732902861</v>
      </c>
      <c r="Y82" s="11">
        <v>2757.4029445875235</v>
      </c>
      <c r="Z82" s="11">
        <f>SUM(B82,H82,M82,X82:Y82)</f>
        <v>20155.479442166052</v>
      </c>
    </row>
    <row r="83" spans="1:26" x14ac:dyDescent="0.2">
      <c r="A83" s="8" t="s">
        <v>131</v>
      </c>
      <c r="B83" s="11">
        <v>0</v>
      </c>
      <c r="C83" s="11">
        <v>0</v>
      </c>
      <c r="D83" s="11">
        <v>321.18688886809389</v>
      </c>
      <c r="E83" s="11">
        <v>0</v>
      </c>
      <c r="F83" s="11">
        <v>0</v>
      </c>
      <c r="G83" s="11">
        <v>285.07117829140668</v>
      </c>
      <c r="H83" s="11">
        <f>SUM(C83:G83)</f>
        <v>606.25806715950057</v>
      </c>
      <c r="I83" s="11">
        <v>0</v>
      </c>
      <c r="J83" s="11">
        <v>0</v>
      </c>
      <c r="K83" s="11">
        <v>0</v>
      </c>
      <c r="L83" s="11">
        <v>17210.050108935222</v>
      </c>
      <c r="M83" s="11">
        <f>SUM(I83:L83)</f>
        <v>17210.050108935222</v>
      </c>
      <c r="N83" s="11">
        <v>0</v>
      </c>
      <c r="O83" s="11">
        <v>0</v>
      </c>
      <c r="P83" s="11">
        <v>0</v>
      </c>
      <c r="Q83" s="11">
        <v>0</v>
      </c>
      <c r="R83" s="11">
        <f>SUM(O83:Q83)</f>
        <v>0</v>
      </c>
      <c r="S83" s="11">
        <v>0</v>
      </c>
      <c r="T83" s="11">
        <v>0</v>
      </c>
      <c r="U83" s="11">
        <v>863.97044492576367</v>
      </c>
      <c r="V83" s="11">
        <v>0</v>
      </c>
      <c r="W83" s="11">
        <f>SUM(S83:V83)</f>
        <v>863.97044492576367</v>
      </c>
      <c r="X83" s="11">
        <f>SUM(N83,R83,W83)</f>
        <v>863.97044492576367</v>
      </c>
      <c r="Y83" s="11">
        <v>549.01405499004329</v>
      </c>
      <c r="Z83" s="11">
        <f>SUM(B83,H83,M83,X83:Y83)</f>
        <v>19229.292676010529</v>
      </c>
    </row>
    <row r="84" spans="1:26" x14ac:dyDescent="0.2">
      <c r="A84" s="8" t="s">
        <v>132</v>
      </c>
      <c r="B84" s="11">
        <v>0</v>
      </c>
      <c r="C84" s="11">
        <v>0</v>
      </c>
      <c r="D84" s="11">
        <v>1520.8171102435215</v>
      </c>
      <c r="E84" s="11">
        <v>114.89208842800873</v>
      </c>
      <c r="F84" s="11">
        <v>0</v>
      </c>
      <c r="G84" s="11">
        <v>0</v>
      </c>
      <c r="H84" s="11">
        <f>SUM(C84:G84)</f>
        <v>1635.7091986715302</v>
      </c>
      <c r="I84" s="11">
        <v>0</v>
      </c>
      <c r="J84" s="11">
        <v>0</v>
      </c>
      <c r="K84" s="11">
        <v>0</v>
      </c>
      <c r="L84" s="11">
        <v>39342.620377985491</v>
      </c>
      <c r="M84" s="11">
        <f>SUM(I84:L84)</f>
        <v>39342.620377985491</v>
      </c>
      <c r="N84" s="11">
        <v>0</v>
      </c>
      <c r="O84" s="11">
        <v>0</v>
      </c>
      <c r="P84" s="11">
        <v>0</v>
      </c>
      <c r="Q84" s="11">
        <v>0</v>
      </c>
      <c r="R84" s="11">
        <f>SUM(O84:Q84)</f>
        <v>0</v>
      </c>
      <c r="S84" s="11">
        <v>0</v>
      </c>
      <c r="T84" s="11">
        <v>0</v>
      </c>
      <c r="U84" s="11">
        <v>19203.439534489404</v>
      </c>
      <c r="V84" s="11">
        <v>195.88865373849788</v>
      </c>
      <c r="W84" s="11">
        <f>SUM(S84:V84)</f>
        <v>19399.328188227901</v>
      </c>
      <c r="X84" s="11">
        <f>SUM(N84,R84,W84)</f>
        <v>19399.328188227901</v>
      </c>
      <c r="Y84" s="11">
        <v>34257.03877433201</v>
      </c>
      <c r="Z84" s="11">
        <f>SUM(B84,H84,M84,X84:Y84)</f>
        <v>94634.696539216937</v>
      </c>
    </row>
    <row r="85" spans="1:26" x14ac:dyDescent="0.2">
      <c r="A85" s="8" t="s">
        <v>133</v>
      </c>
      <c r="B85" s="11">
        <v>0</v>
      </c>
      <c r="C85" s="11">
        <v>0</v>
      </c>
      <c r="D85" s="11">
        <v>0</v>
      </c>
      <c r="E85" s="11">
        <v>0</v>
      </c>
      <c r="F85" s="11">
        <v>0</v>
      </c>
      <c r="G85" s="11">
        <v>229.12961370003043</v>
      </c>
      <c r="H85" s="11">
        <f>SUM(C85:G85)</f>
        <v>229.12961370003043</v>
      </c>
      <c r="I85" s="11">
        <v>0</v>
      </c>
      <c r="J85" s="11">
        <v>0</v>
      </c>
      <c r="K85" s="11">
        <v>0</v>
      </c>
      <c r="L85" s="11">
        <v>0</v>
      </c>
      <c r="M85" s="11">
        <f>SUM(I85:L85)</f>
        <v>0</v>
      </c>
      <c r="N85" s="11">
        <v>0</v>
      </c>
      <c r="O85" s="11">
        <v>0</v>
      </c>
      <c r="P85" s="11">
        <v>0</v>
      </c>
      <c r="Q85" s="11">
        <v>0</v>
      </c>
      <c r="R85" s="11">
        <f>SUM(O85:Q85)</f>
        <v>0</v>
      </c>
      <c r="S85" s="11">
        <v>0</v>
      </c>
      <c r="T85" s="11">
        <v>0</v>
      </c>
      <c r="U85" s="11">
        <v>0</v>
      </c>
      <c r="V85" s="11">
        <v>0</v>
      </c>
      <c r="W85" s="11">
        <f>SUM(S85:V85)</f>
        <v>0</v>
      </c>
      <c r="X85" s="11">
        <f>SUM(N85,R85,W85)</f>
        <v>0</v>
      </c>
      <c r="Y85" s="11">
        <v>78.210512375087134</v>
      </c>
      <c r="Z85" s="11">
        <f>SUM(B85,H85,M85,X85:Y85)</f>
        <v>307.34012607511755</v>
      </c>
    </row>
    <row r="86" spans="1:26" ht="10.5" x14ac:dyDescent="0.25">
      <c r="A86" s="12" t="s">
        <v>134</v>
      </c>
      <c r="B86" s="13">
        <f t="shared" ref="B86:Z86" si="19">SUM(B81:B85)</f>
        <v>0</v>
      </c>
      <c r="C86" s="13">
        <f t="shared" si="19"/>
        <v>0</v>
      </c>
      <c r="D86" s="13">
        <f t="shared" si="19"/>
        <v>1842.0039991116155</v>
      </c>
      <c r="E86" s="13">
        <f t="shared" si="19"/>
        <v>114.89208842800873</v>
      </c>
      <c r="F86" s="13">
        <f t="shared" si="19"/>
        <v>0</v>
      </c>
      <c r="G86" s="13">
        <f t="shared" si="19"/>
        <v>7260.2158494767627</v>
      </c>
      <c r="H86" s="13">
        <f t="shared" si="19"/>
        <v>9217.1119370163851</v>
      </c>
      <c r="I86" s="13">
        <f t="shared" si="19"/>
        <v>0</v>
      </c>
      <c r="J86" s="13">
        <f t="shared" si="19"/>
        <v>0</v>
      </c>
      <c r="K86" s="13">
        <f t="shared" si="19"/>
        <v>0</v>
      </c>
      <c r="L86" s="13">
        <f t="shared" si="19"/>
        <v>83781.190231950721</v>
      </c>
      <c r="M86" s="13">
        <f t="shared" si="19"/>
        <v>83781.190231950721</v>
      </c>
      <c r="N86" s="13">
        <f t="shared" si="19"/>
        <v>0</v>
      </c>
      <c r="O86" s="13">
        <f t="shared" si="19"/>
        <v>0</v>
      </c>
      <c r="P86" s="13">
        <f t="shared" si="19"/>
        <v>0</v>
      </c>
      <c r="Q86" s="13">
        <f t="shared" si="19"/>
        <v>0</v>
      </c>
      <c r="R86" s="13">
        <f t="shared" si="19"/>
        <v>0</v>
      </c>
      <c r="S86" s="13">
        <f t="shared" si="19"/>
        <v>1278.1523588607656</v>
      </c>
      <c r="T86" s="13">
        <f t="shared" si="19"/>
        <v>0</v>
      </c>
      <c r="U86" s="13">
        <f t="shared" si="19"/>
        <v>30570.764685046095</v>
      </c>
      <c r="V86" s="13">
        <f t="shared" si="19"/>
        <v>1719.5251706978604</v>
      </c>
      <c r="W86" s="13">
        <f t="shared" si="19"/>
        <v>33568.442214604722</v>
      </c>
      <c r="X86" s="13">
        <f t="shared" si="19"/>
        <v>33568.442214604722</v>
      </c>
      <c r="Y86" s="13">
        <f t="shared" si="19"/>
        <v>31899.933355140449</v>
      </c>
      <c r="Z86" s="13">
        <f t="shared" si="19"/>
        <v>158466.67773871226</v>
      </c>
    </row>
    <row r="87" spans="1:26" ht="10.5" x14ac:dyDescent="0.25">
      <c r="A87" s="7" t="s">
        <v>135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x14ac:dyDescent="0.2">
      <c r="A88" s="8" t="s">
        <v>136</v>
      </c>
      <c r="B88" s="11">
        <v>0</v>
      </c>
      <c r="C88" s="11">
        <v>0</v>
      </c>
      <c r="D88" s="11">
        <v>0</v>
      </c>
      <c r="E88" s="11">
        <v>0</v>
      </c>
      <c r="F88" s="11">
        <v>0</v>
      </c>
      <c r="G88" s="11">
        <v>0</v>
      </c>
      <c r="H88" s="11">
        <f t="shared" ref="H88:H99" si="20">SUM(C88:G88)</f>
        <v>0</v>
      </c>
      <c r="I88" s="11">
        <v>0</v>
      </c>
      <c r="J88" s="11">
        <v>0</v>
      </c>
      <c r="K88" s="11">
        <v>0</v>
      </c>
      <c r="L88" s="11">
        <v>3631.3253384247905</v>
      </c>
      <c r="M88" s="11">
        <f t="shared" ref="M88:M99" si="21">SUM(I88:L88)</f>
        <v>3631.3253384247905</v>
      </c>
      <c r="N88" s="11">
        <v>0</v>
      </c>
      <c r="O88" s="11">
        <v>0</v>
      </c>
      <c r="P88" s="11">
        <v>0</v>
      </c>
      <c r="Q88" s="11">
        <v>0</v>
      </c>
      <c r="R88" s="11">
        <f t="shared" ref="R88:R99" si="22">SUM(O88:Q88)</f>
        <v>0</v>
      </c>
      <c r="S88" s="11">
        <v>0</v>
      </c>
      <c r="T88" s="11">
        <v>0</v>
      </c>
      <c r="U88" s="11">
        <v>32719.064311392616</v>
      </c>
      <c r="V88" s="11">
        <v>0</v>
      </c>
      <c r="W88" s="11">
        <f t="shared" ref="W88:W99" si="23">SUM(S88:V88)</f>
        <v>32719.064311392616</v>
      </c>
      <c r="X88" s="11">
        <f t="shared" ref="X88:X99" si="24">SUM(N88,R88,W88)</f>
        <v>32719.064311392616</v>
      </c>
      <c r="Y88" s="11">
        <v>15654.143729693642</v>
      </c>
      <c r="Z88" s="11">
        <f t="shared" ref="Z88:Z99" si="25">SUM(B88,H88,M88,X88:Y88)</f>
        <v>52004.533379511049</v>
      </c>
    </row>
    <row r="89" spans="1:26" x14ac:dyDescent="0.2">
      <c r="A89" s="8" t="s">
        <v>137</v>
      </c>
      <c r="B89" s="11">
        <v>0</v>
      </c>
      <c r="C89" s="11">
        <v>0</v>
      </c>
      <c r="D89" s="11">
        <v>0</v>
      </c>
      <c r="E89" s="11">
        <v>0</v>
      </c>
      <c r="F89" s="11">
        <v>0</v>
      </c>
      <c r="G89" s="11">
        <v>0</v>
      </c>
      <c r="H89" s="11">
        <f t="shared" si="20"/>
        <v>0</v>
      </c>
      <c r="I89" s="11">
        <v>0</v>
      </c>
      <c r="J89" s="11">
        <v>0</v>
      </c>
      <c r="K89" s="11">
        <v>0</v>
      </c>
      <c r="L89" s="11">
        <v>0</v>
      </c>
      <c r="M89" s="11">
        <f t="shared" si="21"/>
        <v>0</v>
      </c>
      <c r="N89" s="11">
        <v>0</v>
      </c>
      <c r="O89" s="11">
        <v>0</v>
      </c>
      <c r="P89" s="11">
        <v>0</v>
      </c>
      <c r="Q89" s="11">
        <v>0</v>
      </c>
      <c r="R89" s="11">
        <f t="shared" si="22"/>
        <v>0</v>
      </c>
      <c r="S89" s="11">
        <v>0</v>
      </c>
      <c r="T89" s="11">
        <v>0</v>
      </c>
      <c r="U89" s="11">
        <v>0</v>
      </c>
      <c r="V89" s="11">
        <v>0</v>
      </c>
      <c r="W89" s="11">
        <f t="shared" si="23"/>
        <v>0</v>
      </c>
      <c r="X89" s="11">
        <f t="shared" si="24"/>
        <v>0</v>
      </c>
      <c r="Y89" s="11">
        <v>23050.280330761991</v>
      </c>
      <c r="Z89" s="11">
        <f t="shared" si="25"/>
        <v>23050.280330761991</v>
      </c>
    </row>
    <row r="90" spans="1:26" x14ac:dyDescent="0.2">
      <c r="A90" s="8" t="s">
        <v>138</v>
      </c>
      <c r="B90" s="11">
        <v>0</v>
      </c>
      <c r="C90" s="11">
        <v>0</v>
      </c>
      <c r="D90" s="11">
        <v>0</v>
      </c>
      <c r="E90" s="11">
        <v>0</v>
      </c>
      <c r="F90" s="11">
        <v>0</v>
      </c>
      <c r="G90" s="11">
        <v>0</v>
      </c>
      <c r="H90" s="11">
        <f t="shared" si="20"/>
        <v>0</v>
      </c>
      <c r="I90" s="11">
        <v>0</v>
      </c>
      <c r="J90" s="11">
        <v>0</v>
      </c>
      <c r="K90" s="11">
        <v>0</v>
      </c>
      <c r="L90" s="11">
        <v>0</v>
      </c>
      <c r="M90" s="11">
        <f t="shared" si="21"/>
        <v>0</v>
      </c>
      <c r="N90" s="11">
        <v>0</v>
      </c>
      <c r="O90" s="11">
        <v>0</v>
      </c>
      <c r="P90" s="11">
        <v>0</v>
      </c>
      <c r="Q90" s="11">
        <v>0</v>
      </c>
      <c r="R90" s="11">
        <f t="shared" si="22"/>
        <v>0</v>
      </c>
      <c r="S90" s="11">
        <v>0</v>
      </c>
      <c r="T90" s="11">
        <v>0</v>
      </c>
      <c r="U90" s="11">
        <v>0</v>
      </c>
      <c r="V90" s="11">
        <v>0</v>
      </c>
      <c r="W90" s="11">
        <f t="shared" si="23"/>
        <v>0</v>
      </c>
      <c r="X90" s="11">
        <f t="shared" si="24"/>
        <v>0</v>
      </c>
      <c r="Y90" s="11">
        <v>108939.87</v>
      </c>
      <c r="Z90" s="11">
        <f t="shared" si="25"/>
        <v>108939.87</v>
      </c>
    </row>
    <row r="91" spans="1:26" x14ac:dyDescent="0.2">
      <c r="A91" s="8" t="s">
        <v>139</v>
      </c>
      <c r="B91" s="11">
        <v>0</v>
      </c>
      <c r="C91" s="11">
        <v>0</v>
      </c>
      <c r="D91" s="11">
        <v>0</v>
      </c>
      <c r="E91" s="11">
        <v>0</v>
      </c>
      <c r="F91" s="11">
        <v>0</v>
      </c>
      <c r="G91" s="11">
        <v>512.59282016778934</v>
      </c>
      <c r="H91" s="11">
        <f t="shared" si="20"/>
        <v>512.59282016778934</v>
      </c>
      <c r="I91" s="11">
        <v>0</v>
      </c>
      <c r="J91" s="11">
        <v>0</v>
      </c>
      <c r="K91" s="11">
        <v>0</v>
      </c>
      <c r="L91" s="11">
        <v>46341.775203233403</v>
      </c>
      <c r="M91" s="11">
        <f t="shared" si="21"/>
        <v>46341.775203233403</v>
      </c>
      <c r="N91" s="11">
        <v>0</v>
      </c>
      <c r="O91" s="11">
        <v>0</v>
      </c>
      <c r="P91" s="11">
        <v>0</v>
      </c>
      <c r="Q91" s="11">
        <v>0</v>
      </c>
      <c r="R91" s="11">
        <f t="shared" si="22"/>
        <v>0</v>
      </c>
      <c r="S91" s="11">
        <v>0</v>
      </c>
      <c r="T91" s="11">
        <v>0</v>
      </c>
      <c r="U91" s="11">
        <v>6808.2446478413003</v>
      </c>
      <c r="V91" s="11">
        <v>0</v>
      </c>
      <c r="W91" s="11">
        <f t="shared" si="23"/>
        <v>6808.2446478413003</v>
      </c>
      <c r="X91" s="11">
        <f t="shared" si="24"/>
        <v>6808.2446478413003</v>
      </c>
      <c r="Y91" s="11">
        <v>1300.3991945556832</v>
      </c>
      <c r="Z91" s="11">
        <f t="shared" si="25"/>
        <v>54963.011865798173</v>
      </c>
    </row>
    <row r="92" spans="1:26" x14ac:dyDescent="0.2">
      <c r="A92" s="8" t="s">
        <v>140</v>
      </c>
      <c r="B92" s="11">
        <v>0</v>
      </c>
      <c r="C92" s="11">
        <v>0</v>
      </c>
      <c r="D92" s="11">
        <v>0</v>
      </c>
      <c r="E92" s="11">
        <v>0</v>
      </c>
      <c r="F92" s="11">
        <v>0</v>
      </c>
      <c r="G92" s="11">
        <v>3136.3099648890652</v>
      </c>
      <c r="H92" s="11">
        <f t="shared" si="20"/>
        <v>3136.3099648890652</v>
      </c>
      <c r="I92" s="11">
        <v>0</v>
      </c>
      <c r="J92" s="11">
        <v>0</v>
      </c>
      <c r="K92" s="11">
        <v>0</v>
      </c>
      <c r="L92" s="11">
        <v>0</v>
      </c>
      <c r="M92" s="11">
        <f t="shared" si="21"/>
        <v>0</v>
      </c>
      <c r="N92" s="11">
        <v>0</v>
      </c>
      <c r="O92" s="11">
        <v>0</v>
      </c>
      <c r="P92" s="11">
        <v>0</v>
      </c>
      <c r="Q92" s="11">
        <v>0</v>
      </c>
      <c r="R92" s="11">
        <f t="shared" si="22"/>
        <v>0</v>
      </c>
      <c r="S92" s="11">
        <v>0</v>
      </c>
      <c r="T92" s="11">
        <v>0</v>
      </c>
      <c r="U92" s="11">
        <v>0</v>
      </c>
      <c r="V92" s="11">
        <v>0</v>
      </c>
      <c r="W92" s="11">
        <f t="shared" si="23"/>
        <v>0</v>
      </c>
      <c r="X92" s="11">
        <f t="shared" si="24"/>
        <v>0</v>
      </c>
      <c r="Y92" s="11">
        <v>0</v>
      </c>
      <c r="Z92" s="11">
        <f t="shared" si="25"/>
        <v>3136.3099648890652</v>
      </c>
    </row>
    <row r="93" spans="1:26" x14ac:dyDescent="0.2">
      <c r="A93" s="8" t="s">
        <v>141</v>
      </c>
      <c r="B93" s="11">
        <v>0</v>
      </c>
      <c r="C93" s="11">
        <v>0</v>
      </c>
      <c r="D93" s="11">
        <v>0</v>
      </c>
      <c r="E93" s="11">
        <v>0</v>
      </c>
      <c r="F93" s="11">
        <v>0</v>
      </c>
      <c r="G93" s="11">
        <v>0</v>
      </c>
      <c r="H93" s="11">
        <f t="shared" si="20"/>
        <v>0</v>
      </c>
      <c r="I93" s="11">
        <v>0</v>
      </c>
      <c r="J93" s="11">
        <v>0</v>
      </c>
      <c r="K93" s="11">
        <v>0</v>
      </c>
      <c r="L93" s="11">
        <v>0</v>
      </c>
      <c r="M93" s="11">
        <f t="shared" si="21"/>
        <v>0</v>
      </c>
      <c r="N93" s="11">
        <v>0</v>
      </c>
      <c r="O93" s="11">
        <v>0</v>
      </c>
      <c r="P93" s="11">
        <v>0</v>
      </c>
      <c r="Q93" s="11">
        <v>0</v>
      </c>
      <c r="R93" s="11">
        <f t="shared" si="22"/>
        <v>0</v>
      </c>
      <c r="S93" s="11">
        <v>0</v>
      </c>
      <c r="T93" s="11">
        <v>0</v>
      </c>
      <c r="U93" s="11">
        <v>0</v>
      </c>
      <c r="V93" s="11">
        <v>0</v>
      </c>
      <c r="W93" s="11">
        <f t="shared" si="23"/>
        <v>0</v>
      </c>
      <c r="X93" s="11">
        <f t="shared" si="24"/>
        <v>0</v>
      </c>
      <c r="Y93" s="11">
        <v>8250.84</v>
      </c>
      <c r="Z93" s="11">
        <f t="shared" si="25"/>
        <v>8250.84</v>
      </c>
    </row>
    <row r="94" spans="1:26" x14ac:dyDescent="0.2">
      <c r="A94" s="8" t="s">
        <v>142</v>
      </c>
      <c r="B94" s="11">
        <v>0</v>
      </c>
      <c r="C94" s="11">
        <v>0</v>
      </c>
      <c r="D94" s="11">
        <v>0</v>
      </c>
      <c r="E94" s="11">
        <v>0</v>
      </c>
      <c r="F94" s="11">
        <v>0</v>
      </c>
      <c r="G94" s="11">
        <v>150.50313669013195</v>
      </c>
      <c r="H94" s="11">
        <f t="shared" si="20"/>
        <v>150.50313669013195</v>
      </c>
      <c r="I94" s="11">
        <v>0</v>
      </c>
      <c r="J94" s="11">
        <v>0</v>
      </c>
      <c r="K94" s="11">
        <v>0</v>
      </c>
      <c r="L94" s="11">
        <v>0</v>
      </c>
      <c r="M94" s="11">
        <f t="shared" si="21"/>
        <v>0</v>
      </c>
      <c r="N94" s="11">
        <v>0</v>
      </c>
      <c r="O94" s="11">
        <v>0</v>
      </c>
      <c r="P94" s="11">
        <v>0</v>
      </c>
      <c r="Q94" s="11">
        <v>0</v>
      </c>
      <c r="R94" s="11">
        <f t="shared" si="22"/>
        <v>0</v>
      </c>
      <c r="S94" s="11">
        <v>0</v>
      </c>
      <c r="T94" s="11">
        <v>0</v>
      </c>
      <c r="U94" s="11">
        <v>0</v>
      </c>
      <c r="V94" s="11">
        <v>0</v>
      </c>
      <c r="W94" s="11">
        <f t="shared" si="23"/>
        <v>0</v>
      </c>
      <c r="X94" s="11">
        <f t="shared" si="24"/>
        <v>0</v>
      </c>
      <c r="Y94" s="11">
        <v>0</v>
      </c>
      <c r="Z94" s="11">
        <f t="shared" si="25"/>
        <v>150.50313669013195</v>
      </c>
    </row>
    <row r="95" spans="1:26" x14ac:dyDescent="0.2">
      <c r="A95" s="8" t="s">
        <v>143</v>
      </c>
      <c r="B95" s="11">
        <v>0</v>
      </c>
      <c r="C95" s="11">
        <v>0</v>
      </c>
      <c r="D95" s="11">
        <v>822.06175587207667</v>
      </c>
      <c r="E95" s="11">
        <v>3453.5685775504357</v>
      </c>
      <c r="F95" s="11">
        <v>0</v>
      </c>
      <c r="G95" s="11">
        <v>0</v>
      </c>
      <c r="H95" s="11">
        <f t="shared" si="20"/>
        <v>4275.6303334225122</v>
      </c>
      <c r="I95" s="11">
        <v>0</v>
      </c>
      <c r="J95" s="11">
        <v>0</v>
      </c>
      <c r="K95" s="11">
        <v>0</v>
      </c>
      <c r="L95" s="11">
        <v>31827.144098254812</v>
      </c>
      <c r="M95" s="11">
        <f t="shared" si="21"/>
        <v>31827.144098254812</v>
      </c>
      <c r="N95" s="11">
        <v>0</v>
      </c>
      <c r="O95" s="11">
        <v>0</v>
      </c>
      <c r="P95" s="11">
        <v>0</v>
      </c>
      <c r="Q95" s="11">
        <v>0</v>
      </c>
      <c r="R95" s="11">
        <f t="shared" si="22"/>
        <v>0</v>
      </c>
      <c r="S95" s="11">
        <v>0</v>
      </c>
      <c r="T95" s="11">
        <v>0</v>
      </c>
      <c r="U95" s="11">
        <v>7511.3696875035439</v>
      </c>
      <c r="V95" s="11">
        <v>385.19539518317652</v>
      </c>
      <c r="W95" s="11">
        <f t="shared" si="23"/>
        <v>7896.5650826867204</v>
      </c>
      <c r="X95" s="11">
        <f t="shared" si="24"/>
        <v>7896.5650826867204</v>
      </c>
      <c r="Y95" s="11">
        <v>97460.853201168356</v>
      </c>
      <c r="Z95" s="11">
        <f t="shared" si="25"/>
        <v>141460.19271553241</v>
      </c>
    </row>
    <row r="96" spans="1:26" x14ac:dyDescent="0.2">
      <c r="A96" s="8" t="s">
        <v>144</v>
      </c>
      <c r="B96" s="11">
        <v>0</v>
      </c>
      <c r="C96" s="11">
        <v>0</v>
      </c>
      <c r="D96" s="11">
        <v>0</v>
      </c>
      <c r="E96" s="11">
        <v>0</v>
      </c>
      <c r="F96" s="11">
        <v>0</v>
      </c>
      <c r="G96" s="11">
        <v>895.27046388546512</v>
      </c>
      <c r="H96" s="11">
        <f t="shared" si="20"/>
        <v>895.27046388546512</v>
      </c>
      <c r="I96" s="11">
        <v>0</v>
      </c>
      <c r="J96" s="11">
        <v>0</v>
      </c>
      <c r="K96" s="11">
        <v>0</v>
      </c>
      <c r="L96" s="11">
        <v>0</v>
      </c>
      <c r="M96" s="11">
        <f t="shared" si="21"/>
        <v>0</v>
      </c>
      <c r="N96" s="11">
        <v>0</v>
      </c>
      <c r="O96" s="11">
        <v>0</v>
      </c>
      <c r="P96" s="11">
        <v>0</v>
      </c>
      <c r="Q96" s="11">
        <v>0</v>
      </c>
      <c r="R96" s="11">
        <f t="shared" si="22"/>
        <v>0</v>
      </c>
      <c r="S96" s="11">
        <v>0</v>
      </c>
      <c r="T96" s="11">
        <v>0</v>
      </c>
      <c r="U96" s="11">
        <v>0</v>
      </c>
      <c r="V96" s="11">
        <v>0</v>
      </c>
      <c r="W96" s="11">
        <f t="shared" si="23"/>
        <v>0</v>
      </c>
      <c r="X96" s="11">
        <f t="shared" si="24"/>
        <v>0</v>
      </c>
      <c r="Y96" s="11">
        <v>0</v>
      </c>
      <c r="Z96" s="11">
        <f t="shared" si="25"/>
        <v>895.27046388546512</v>
      </c>
    </row>
    <row r="97" spans="1:26" x14ac:dyDescent="0.2">
      <c r="A97" s="8" t="s">
        <v>145</v>
      </c>
      <c r="B97" s="11">
        <v>0</v>
      </c>
      <c r="C97" s="11">
        <v>0</v>
      </c>
      <c r="D97" s="11">
        <v>330.92604123974434</v>
      </c>
      <c r="E97" s="11">
        <v>0</v>
      </c>
      <c r="F97" s="11">
        <v>0</v>
      </c>
      <c r="G97" s="11">
        <v>0</v>
      </c>
      <c r="H97" s="11">
        <f t="shared" si="20"/>
        <v>330.92604123974434</v>
      </c>
      <c r="I97" s="11">
        <v>0</v>
      </c>
      <c r="J97" s="11">
        <v>0</v>
      </c>
      <c r="K97" s="11">
        <v>0</v>
      </c>
      <c r="L97" s="11">
        <v>0</v>
      </c>
      <c r="M97" s="11">
        <f t="shared" si="21"/>
        <v>0</v>
      </c>
      <c r="N97" s="11">
        <v>0</v>
      </c>
      <c r="O97" s="11">
        <v>0</v>
      </c>
      <c r="P97" s="11">
        <v>0</v>
      </c>
      <c r="Q97" s="11">
        <v>0</v>
      </c>
      <c r="R97" s="11">
        <f t="shared" si="22"/>
        <v>0</v>
      </c>
      <c r="S97" s="11">
        <v>0</v>
      </c>
      <c r="T97" s="11">
        <v>0</v>
      </c>
      <c r="U97" s="11">
        <v>0</v>
      </c>
      <c r="V97" s="11">
        <v>0</v>
      </c>
      <c r="W97" s="11">
        <f t="shared" si="23"/>
        <v>0</v>
      </c>
      <c r="X97" s="11">
        <f t="shared" si="24"/>
        <v>0</v>
      </c>
      <c r="Y97" s="11">
        <v>78.723044628587672</v>
      </c>
      <c r="Z97" s="11">
        <f t="shared" si="25"/>
        <v>409.64908586833201</v>
      </c>
    </row>
    <row r="98" spans="1:26" x14ac:dyDescent="0.2">
      <c r="A98" s="8" t="s">
        <v>146</v>
      </c>
      <c r="B98" s="11">
        <v>0</v>
      </c>
      <c r="C98" s="11">
        <v>0</v>
      </c>
      <c r="D98" s="11">
        <v>0</v>
      </c>
      <c r="E98" s="11">
        <v>0</v>
      </c>
      <c r="F98" s="11">
        <v>0</v>
      </c>
      <c r="G98" s="11">
        <v>0</v>
      </c>
      <c r="H98" s="11">
        <f t="shared" si="20"/>
        <v>0</v>
      </c>
      <c r="I98" s="11">
        <v>0</v>
      </c>
      <c r="J98" s="11">
        <v>0</v>
      </c>
      <c r="K98" s="11">
        <v>0</v>
      </c>
      <c r="L98" s="11">
        <v>-209899.96029634742</v>
      </c>
      <c r="M98" s="11">
        <f t="shared" si="21"/>
        <v>-209899.96029634742</v>
      </c>
      <c r="N98" s="11">
        <v>0</v>
      </c>
      <c r="O98" s="11">
        <v>0</v>
      </c>
      <c r="P98" s="11">
        <v>0</v>
      </c>
      <c r="Q98" s="11">
        <v>0</v>
      </c>
      <c r="R98" s="11">
        <f t="shared" si="22"/>
        <v>0</v>
      </c>
      <c r="S98" s="11">
        <v>0</v>
      </c>
      <c r="T98" s="11">
        <v>0</v>
      </c>
      <c r="U98" s="11">
        <v>0</v>
      </c>
      <c r="V98" s="11">
        <v>0</v>
      </c>
      <c r="W98" s="11">
        <f t="shared" si="23"/>
        <v>0</v>
      </c>
      <c r="X98" s="11">
        <f t="shared" si="24"/>
        <v>0</v>
      </c>
      <c r="Y98" s="11">
        <v>0</v>
      </c>
      <c r="Z98" s="11">
        <f t="shared" si="25"/>
        <v>-209899.96029634742</v>
      </c>
    </row>
    <row r="99" spans="1:26" x14ac:dyDescent="0.2">
      <c r="A99" s="8" t="s">
        <v>147</v>
      </c>
      <c r="B99" s="11">
        <v>0</v>
      </c>
      <c r="C99" s="11">
        <v>0</v>
      </c>
      <c r="D99" s="11">
        <v>0</v>
      </c>
      <c r="E99" s="11">
        <v>0</v>
      </c>
      <c r="F99" s="11">
        <v>0</v>
      </c>
      <c r="G99" s="11">
        <v>0</v>
      </c>
      <c r="H99" s="11">
        <f t="shared" si="20"/>
        <v>0</v>
      </c>
      <c r="I99" s="11">
        <v>0</v>
      </c>
      <c r="J99" s="11">
        <v>0</v>
      </c>
      <c r="K99" s="11">
        <v>0</v>
      </c>
      <c r="L99" s="11">
        <v>0</v>
      </c>
      <c r="M99" s="11">
        <f t="shared" si="21"/>
        <v>0</v>
      </c>
      <c r="N99" s="11">
        <v>0</v>
      </c>
      <c r="O99" s="11">
        <v>0</v>
      </c>
      <c r="P99" s="11">
        <v>0</v>
      </c>
      <c r="Q99" s="11">
        <v>0</v>
      </c>
      <c r="R99" s="11">
        <f t="shared" si="22"/>
        <v>0</v>
      </c>
      <c r="S99" s="11">
        <v>0</v>
      </c>
      <c r="T99" s="11">
        <v>0</v>
      </c>
      <c r="U99" s="11">
        <v>-316.58395696231429</v>
      </c>
      <c r="V99" s="11">
        <v>0</v>
      </c>
      <c r="W99" s="11">
        <f t="shared" si="23"/>
        <v>-316.58395696231429</v>
      </c>
      <c r="X99" s="11">
        <f t="shared" si="24"/>
        <v>-316.58395696231429</v>
      </c>
      <c r="Y99" s="11">
        <v>-3048.9040064395817</v>
      </c>
      <c r="Z99" s="11">
        <f t="shared" si="25"/>
        <v>-3365.4879634018962</v>
      </c>
    </row>
    <row r="100" spans="1:26" ht="10.5" x14ac:dyDescent="0.25">
      <c r="A100" s="12" t="s">
        <v>148</v>
      </c>
      <c r="B100" s="13">
        <f t="shared" ref="B100:Z100" si="26">SUM(B88:B99)</f>
        <v>0</v>
      </c>
      <c r="C100" s="13">
        <f t="shared" si="26"/>
        <v>0</v>
      </c>
      <c r="D100" s="13">
        <f t="shared" si="26"/>
        <v>1152.987797111821</v>
      </c>
      <c r="E100" s="13">
        <f t="shared" si="26"/>
        <v>3453.5685775504357</v>
      </c>
      <c r="F100" s="13">
        <f t="shared" si="26"/>
        <v>0</v>
      </c>
      <c r="G100" s="13">
        <f t="shared" si="26"/>
        <v>4694.6763856324515</v>
      </c>
      <c r="H100" s="13">
        <f t="shared" si="26"/>
        <v>9301.232760294708</v>
      </c>
      <c r="I100" s="13">
        <f t="shared" si="26"/>
        <v>0</v>
      </c>
      <c r="J100" s="13">
        <f t="shared" si="26"/>
        <v>0</v>
      </c>
      <c r="K100" s="13">
        <f t="shared" si="26"/>
        <v>0</v>
      </c>
      <c r="L100" s="13">
        <f t="shared" si="26"/>
        <v>-128099.71565643442</v>
      </c>
      <c r="M100" s="13">
        <f t="shared" si="26"/>
        <v>-128099.71565643442</v>
      </c>
      <c r="N100" s="13">
        <f t="shared" si="26"/>
        <v>0</v>
      </c>
      <c r="O100" s="13">
        <f t="shared" si="26"/>
        <v>0</v>
      </c>
      <c r="P100" s="13">
        <f t="shared" si="26"/>
        <v>0</v>
      </c>
      <c r="Q100" s="13">
        <f t="shared" si="26"/>
        <v>0</v>
      </c>
      <c r="R100" s="13">
        <f t="shared" si="26"/>
        <v>0</v>
      </c>
      <c r="S100" s="13">
        <f t="shared" si="26"/>
        <v>0</v>
      </c>
      <c r="T100" s="13">
        <f t="shared" si="26"/>
        <v>0</v>
      </c>
      <c r="U100" s="13">
        <f t="shared" si="26"/>
        <v>46722.094689775149</v>
      </c>
      <c r="V100" s="13">
        <f t="shared" si="26"/>
        <v>385.19539518317652</v>
      </c>
      <c r="W100" s="13">
        <f t="shared" si="26"/>
        <v>47107.290084958324</v>
      </c>
      <c r="X100" s="13">
        <f t="shared" si="26"/>
        <v>47107.290084958324</v>
      </c>
      <c r="Y100" s="13">
        <f t="shared" si="26"/>
        <v>251686.20549436868</v>
      </c>
      <c r="Z100" s="13">
        <f t="shared" si="26"/>
        <v>179995.01268318729</v>
      </c>
    </row>
    <row r="101" spans="1:26" ht="10.5" x14ac:dyDescent="0.25">
      <c r="A101" s="7" t="s">
        <v>149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x14ac:dyDescent="0.2">
      <c r="A102" s="8" t="s">
        <v>150</v>
      </c>
      <c r="B102" s="11">
        <v>0</v>
      </c>
      <c r="C102" s="11">
        <v>0</v>
      </c>
      <c r="D102" s="11">
        <v>0</v>
      </c>
      <c r="E102" s="11">
        <v>0</v>
      </c>
      <c r="F102" s="11">
        <v>0</v>
      </c>
      <c r="G102" s="11">
        <v>1265.1641838551714</v>
      </c>
      <c r="H102" s="11">
        <f>SUM(C102:G102)</f>
        <v>1265.1641838551714</v>
      </c>
      <c r="I102" s="11">
        <v>0</v>
      </c>
      <c r="J102" s="11">
        <v>0</v>
      </c>
      <c r="K102" s="11">
        <v>0</v>
      </c>
      <c r="L102" s="11">
        <v>0</v>
      </c>
      <c r="M102" s="11">
        <f>SUM(I102:L102)</f>
        <v>0</v>
      </c>
      <c r="N102" s="11">
        <v>0</v>
      </c>
      <c r="O102" s="11">
        <v>0</v>
      </c>
      <c r="P102" s="11">
        <v>0</v>
      </c>
      <c r="Q102" s="11">
        <v>0</v>
      </c>
      <c r="R102" s="11">
        <f>SUM(O102:Q102)</f>
        <v>0</v>
      </c>
      <c r="S102" s="11">
        <v>0</v>
      </c>
      <c r="T102" s="11">
        <v>0</v>
      </c>
      <c r="U102" s="11">
        <v>0</v>
      </c>
      <c r="V102" s="11">
        <v>0</v>
      </c>
      <c r="W102" s="11">
        <f>SUM(S102:V102)</f>
        <v>0</v>
      </c>
      <c r="X102" s="11">
        <f>SUM(N102,R102,W102)</f>
        <v>0</v>
      </c>
      <c r="Y102" s="11">
        <v>0</v>
      </c>
      <c r="Z102" s="11">
        <f>SUM(B102,H102,M102,X102:Y102)</f>
        <v>1265.1641838551714</v>
      </c>
    </row>
    <row r="103" spans="1:26" ht="10.5" x14ac:dyDescent="0.25">
      <c r="A103" s="12" t="s">
        <v>151</v>
      </c>
      <c r="B103" s="13">
        <f t="shared" ref="B103:Z103" si="27">SUM(B102)</f>
        <v>0</v>
      </c>
      <c r="C103" s="13">
        <f t="shared" si="27"/>
        <v>0</v>
      </c>
      <c r="D103" s="13">
        <f t="shared" si="27"/>
        <v>0</v>
      </c>
      <c r="E103" s="13">
        <f t="shared" si="27"/>
        <v>0</v>
      </c>
      <c r="F103" s="13">
        <f t="shared" si="27"/>
        <v>0</v>
      </c>
      <c r="G103" s="13">
        <f t="shared" si="27"/>
        <v>1265.1641838551714</v>
      </c>
      <c r="H103" s="13">
        <f t="shared" si="27"/>
        <v>1265.1641838551714</v>
      </c>
      <c r="I103" s="13">
        <f t="shared" si="27"/>
        <v>0</v>
      </c>
      <c r="J103" s="13">
        <f t="shared" si="27"/>
        <v>0</v>
      </c>
      <c r="K103" s="13">
        <f t="shared" si="27"/>
        <v>0</v>
      </c>
      <c r="L103" s="13">
        <f t="shared" si="27"/>
        <v>0</v>
      </c>
      <c r="M103" s="13">
        <f t="shared" si="27"/>
        <v>0</v>
      </c>
      <c r="N103" s="13">
        <f t="shared" si="27"/>
        <v>0</v>
      </c>
      <c r="O103" s="13">
        <f t="shared" si="27"/>
        <v>0</v>
      </c>
      <c r="P103" s="13">
        <f t="shared" si="27"/>
        <v>0</v>
      </c>
      <c r="Q103" s="13">
        <f t="shared" si="27"/>
        <v>0</v>
      </c>
      <c r="R103" s="13">
        <f t="shared" si="27"/>
        <v>0</v>
      </c>
      <c r="S103" s="13">
        <f t="shared" si="27"/>
        <v>0</v>
      </c>
      <c r="T103" s="13">
        <f t="shared" si="27"/>
        <v>0</v>
      </c>
      <c r="U103" s="13">
        <f t="shared" si="27"/>
        <v>0</v>
      </c>
      <c r="V103" s="13">
        <f t="shared" si="27"/>
        <v>0</v>
      </c>
      <c r="W103" s="13">
        <f t="shared" si="27"/>
        <v>0</v>
      </c>
      <c r="X103" s="13">
        <f t="shared" si="27"/>
        <v>0</v>
      </c>
      <c r="Y103" s="13">
        <f t="shared" si="27"/>
        <v>0</v>
      </c>
      <c r="Z103" s="13">
        <f t="shared" si="27"/>
        <v>1265.1641838551714</v>
      </c>
    </row>
    <row r="104" spans="1:26" ht="10.5" x14ac:dyDescent="0.25">
      <c r="A104" s="7" t="s">
        <v>152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">
      <c r="A105" s="8" t="s">
        <v>153</v>
      </c>
      <c r="B105" s="11">
        <v>0</v>
      </c>
      <c r="C105" s="11">
        <v>0</v>
      </c>
      <c r="D105" s="11">
        <v>0</v>
      </c>
      <c r="E105" s="11">
        <v>0</v>
      </c>
      <c r="F105" s="11">
        <v>0</v>
      </c>
      <c r="G105" s="11">
        <v>0</v>
      </c>
      <c r="H105" s="11">
        <f>SUM(C105:G105)</f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f>SUM(I105:L105)</f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f>SUM(O105:Q105)</f>
        <v>0</v>
      </c>
      <c r="S105" s="11">
        <v>0</v>
      </c>
      <c r="T105" s="11">
        <v>0</v>
      </c>
      <c r="U105" s="11">
        <v>717.50465340322978</v>
      </c>
      <c r="V105" s="11">
        <v>0</v>
      </c>
      <c r="W105" s="11">
        <f>SUM(S105:V105)</f>
        <v>717.50465340322978</v>
      </c>
      <c r="X105" s="11">
        <f>SUM(N105,R105,W105)</f>
        <v>717.50465340322978</v>
      </c>
      <c r="Y105" s="11">
        <v>776.26196811565717</v>
      </c>
      <c r="Z105" s="11">
        <f>SUM(B105,H105,M105,X105:Y105)</f>
        <v>1493.766621518887</v>
      </c>
    </row>
    <row r="106" spans="1:26" x14ac:dyDescent="0.2">
      <c r="A106" s="8" t="s">
        <v>154</v>
      </c>
      <c r="B106" s="11">
        <v>0</v>
      </c>
      <c r="C106" s="11">
        <v>0</v>
      </c>
      <c r="D106" s="11">
        <v>0</v>
      </c>
      <c r="E106" s="11">
        <v>0</v>
      </c>
      <c r="F106" s="11">
        <v>0</v>
      </c>
      <c r="G106" s="11">
        <v>0</v>
      </c>
      <c r="H106" s="11">
        <f>SUM(C106:G106)</f>
        <v>0</v>
      </c>
      <c r="I106" s="11">
        <v>0</v>
      </c>
      <c r="J106" s="11">
        <v>0</v>
      </c>
      <c r="K106" s="11">
        <v>0</v>
      </c>
      <c r="L106" s="11">
        <v>0</v>
      </c>
      <c r="M106" s="11">
        <f>SUM(I106:L106)</f>
        <v>0</v>
      </c>
      <c r="N106" s="11">
        <v>0</v>
      </c>
      <c r="O106" s="11">
        <v>0</v>
      </c>
      <c r="P106" s="11">
        <v>0</v>
      </c>
      <c r="Q106" s="11">
        <v>0</v>
      </c>
      <c r="R106" s="11">
        <f>SUM(O106:Q106)</f>
        <v>0</v>
      </c>
      <c r="S106" s="11">
        <v>0</v>
      </c>
      <c r="T106" s="11">
        <v>0</v>
      </c>
      <c r="U106" s="11">
        <v>0</v>
      </c>
      <c r="V106" s="11">
        <v>0</v>
      </c>
      <c r="W106" s="11">
        <f>SUM(S106:V106)</f>
        <v>0</v>
      </c>
      <c r="X106" s="11">
        <f>SUM(N106,R106,W106)</f>
        <v>0</v>
      </c>
      <c r="Y106" s="11">
        <v>10197.019056020659</v>
      </c>
      <c r="Z106" s="11">
        <f>SUM(B106,H106,M106,X106:Y106)</f>
        <v>10197.019056020659</v>
      </c>
    </row>
    <row r="107" spans="1:26" ht="10.5" x14ac:dyDescent="0.25">
      <c r="A107" s="12" t="s">
        <v>155</v>
      </c>
      <c r="B107" s="13">
        <f t="shared" ref="B107:Z107" si="28">SUM(B105:B106)</f>
        <v>0</v>
      </c>
      <c r="C107" s="13">
        <f t="shared" si="28"/>
        <v>0</v>
      </c>
      <c r="D107" s="13">
        <f t="shared" si="28"/>
        <v>0</v>
      </c>
      <c r="E107" s="13">
        <f t="shared" si="28"/>
        <v>0</v>
      </c>
      <c r="F107" s="13">
        <f t="shared" si="28"/>
        <v>0</v>
      </c>
      <c r="G107" s="13">
        <f t="shared" si="28"/>
        <v>0</v>
      </c>
      <c r="H107" s="13">
        <f t="shared" si="28"/>
        <v>0</v>
      </c>
      <c r="I107" s="13">
        <f t="shared" si="28"/>
        <v>0</v>
      </c>
      <c r="J107" s="13">
        <f t="shared" si="28"/>
        <v>0</v>
      </c>
      <c r="K107" s="13">
        <f t="shared" si="28"/>
        <v>0</v>
      </c>
      <c r="L107" s="13">
        <f t="shared" si="28"/>
        <v>0</v>
      </c>
      <c r="M107" s="13">
        <f t="shared" si="28"/>
        <v>0</v>
      </c>
      <c r="N107" s="13">
        <f t="shared" si="28"/>
        <v>0</v>
      </c>
      <c r="O107" s="13">
        <f t="shared" si="28"/>
        <v>0</v>
      </c>
      <c r="P107" s="13">
        <f t="shared" si="28"/>
        <v>0</v>
      </c>
      <c r="Q107" s="13">
        <f t="shared" si="28"/>
        <v>0</v>
      </c>
      <c r="R107" s="13">
        <f t="shared" si="28"/>
        <v>0</v>
      </c>
      <c r="S107" s="13">
        <f t="shared" si="28"/>
        <v>0</v>
      </c>
      <c r="T107" s="13">
        <f t="shared" si="28"/>
        <v>0</v>
      </c>
      <c r="U107" s="13">
        <f t="shared" si="28"/>
        <v>717.50465340322978</v>
      </c>
      <c r="V107" s="13">
        <f t="shared" si="28"/>
        <v>0</v>
      </c>
      <c r="W107" s="13">
        <f t="shared" si="28"/>
        <v>717.50465340322978</v>
      </c>
      <c r="X107" s="13">
        <f t="shared" si="28"/>
        <v>717.50465340322978</v>
      </c>
      <c r="Y107" s="13">
        <f t="shared" si="28"/>
        <v>10973.281024136317</v>
      </c>
      <c r="Z107" s="13">
        <f t="shared" si="28"/>
        <v>11690.785677539547</v>
      </c>
    </row>
    <row r="108" spans="1:26" ht="10.5" x14ac:dyDescent="0.25">
      <c r="A108" s="7" t="s">
        <v>156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x14ac:dyDescent="0.2">
      <c r="A109" s="8" t="s">
        <v>157</v>
      </c>
      <c r="B109" s="11">
        <v>0</v>
      </c>
      <c r="C109" s="11">
        <v>0</v>
      </c>
      <c r="D109" s="11">
        <v>0</v>
      </c>
      <c r="E109" s="11">
        <v>0</v>
      </c>
      <c r="F109" s="11">
        <v>0</v>
      </c>
      <c r="G109" s="11">
        <v>601.73025359208214</v>
      </c>
      <c r="H109" s="11">
        <f t="shared" ref="H109:H123" si="29">SUM(C109:G109)</f>
        <v>601.73025359208214</v>
      </c>
      <c r="I109" s="11">
        <v>0</v>
      </c>
      <c r="J109" s="11">
        <v>0</v>
      </c>
      <c r="K109" s="11">
        <v>0</v>
      </c>
      <c r="L109" s="11">
        <v>1179.2994674710128</v>
      </c>
      <c r="M109" s="11">
        <f t="shared" ref="M109:M123" si="30">SUM(I109:L109)</f>
        <v>1179.2994674710128</v>
      </c>
      <c r="N109" s="11">
        <v>0</v>
      </c>
      <c r="O109" s="11">
        <v>0</v>
      </c>
      <c r="P109" s="11">
        <v>0</v>
      </c>
      <c r="Q109" s="11">
        <v>0</v>
      </c>
      <c r="R109" s="11">
        <f t="shared" ref="R109:R123" si="31">SUM(O109:Q109)</f>
        <v>0</v>
      </c>
      <c r="S109" s="11">
        <v>215.99582187990978</v>
      </c>
      <c r="T109" s="11">
        <v>0</v>
      </c>
      <c r="U109" s="11">
        <v>0</v>
      </c>
      <c r="V109" s="11">
        <v>0</v>
      </c>
      <c r="W109" s="11">
        <f t="shared" ref="W109:W123" si="32">SUM(S109:V109)</f>
        <v>215.99582187990978</v>
      </c>
      <c r="X109" s="11">
        <f t="shared" ref="X109:X123" si="33">SUM(N109,R109,W109)</f>
        <v>215.99582187990978</v>
      </c>
      <c r="Y109" s="11">
        <v>0</v>
      </c>
      <c r="Z109" s="11">
        <f t="shared" ref="Z109:Z123" si="34">SUM(B109,H109,M109,X109:Y109)</f>
        <v>1997.0255429430047</v>
      </c>
    </row>
    <row r="110" spans="1:26" x14ac:dyDescent="0.2">
      <c r="A110" s="8" t="s">
        <v>158</v>
      </c>
      <c r="B110" s="11">
        <v>0</v>
      </c>
      <c r="C110" s="11">
        <v>0</v>
      </c>
      <c r="D110" s="11">
        <v>0</v>
      </c>
      <c r="E110" s="11">
        <v>0</v>
      </c>
      <c r="F110" s="11">
        <v>0</v>
      </c>
      <c r="G110" s="11">
        <v>0</v>
      </c>
      <c r="H110" s="11">
        <f t="shared" si="29"/>
        <v>0</v>
      </c>
      <c r="I110" s="11">
        <v>0</v>
      </c>
      <c r="J110" s="11">
        <v>0</v>
      </c>
      <c r="K110" s="11">
        <v>0</v>
      </c>
      <c r="L110" s="11">
        <v>1807.2386231341518</v>
      </c>
      <c r="M110" s="11">
        <f t="shared" si="30"/>
        <v>1807.2386231341518</v>
      </c>
      <c r="N110" s="11">
        <v>0</v>
      </c>
      <c r="O110" s="11">
        <v>0</v>
      </c>
      <c r="P110" s="11">
        <v>0</v>
      </c>
      <c r="Q110" s="11">
        <v>0</v>
      </c>
      <c r="R110" s="11">
        <f t="shared" si="31"/>
        <v>0</v>
      </c>
      <c r="S110" s="11">
        <v>0</v>
      </c>
      <c r="T110" s="11">
        <v>0</v>
      </c>
      <c r="U110" s="11">
        <v>0</v>
      </c>
      <c r="V110" s="11">
        <v>0</v>
      </c>
      <c r="W110" s="11">
        <f t="shared" si="32"/>
        <v>0</v>
      </c>
      <c r="X110" s="11">
        <f t="shared" si="33"/>
        <v>0</v>
      </c>
      <c r="Y110" s="11">
        <v>0</v>
      </c>
      <c r="Z110" s="11">
        <f t="shared" si="34"/>
        <v>1807.2386231341518</v>
      </c>
    </row>
    <row r="111" spans="1:26" x14ac:dyDescent="0.2">
      <c r="A111" s="8" t="s">
        <v>159</v>
      </c>
      <c r="B111" s="11">
        <v>0</v>
      </c>
      <c r="C111" s="11">
        <v>0</v>
      </c>
      <c r="D111" s="11">
        <v>7065.1120387024985</v>
      </c>
      <c r="E111" s="11">
        <v>14209.297372060166</v>
      </c>
      <c r="F111" s="11">
        <v>6496.1544872652303</v>
      </c>
      <c r="G111" s="11">
        <v>541.97353649672459</v>
      </c>
      <c r="H111" s="11">
        <f t="shared" si="29"/>
        <v>28312.53743452462</v>
      </c>
      <c r="I111" s="11">
        <v>0</v>
      </c>
      <c r="J111" s="11">
        <v>0</v>
      </c>
      <c r="K111" s="11">
        <v>0</v>
      </c>
      <c r="L111" s="11">
        <v>22971.156232123125</v>
      </c>
      <c r="M111" s="11">
        <f t="shared" si="30"/>
        <v>22971.156232123125</v>
      </c>
      <c r="N111" s="11">
        <v>0</v>
      </c>
      <c r="O111" s="11">
        <v>0</v>
      </c>
      <c r="P111" s="11">
        <v>0</v>
      </c>
      <c r="Q111" s="11">
        <v>0</v>
      </c>
      <c r="R111" s="11">
        <f t="shared" si="31"/>
        <v>0</v>
      </c>
      <c r="S111" s="11">
        <v>40084.031675205253</v>
      </c>
      <c r="T111" s="11">
        <v>0</v>
      </c>
      <c r="U111" s="11">
        <v>32506.806539661426</v>
      </c>
      <c r="V111" s="11">
        <v>3021.8466359744107</v>
      </c>
      <c r="W111" s="11">
        <f t="shared" si="32"/>
        <v>75612.684850841077</v>
      </c>
      <c r="X111" s="11">
        <f t="shared" si="33"/>
        <v>75612.684850841077</v>
      </c>
      <c r="Y111" s="11">
        <v>92564.041560038269</v>
      </c>
      <c r="Z111" s="11">
        <f t="shared" si="34"/>
        <v>219460.42007752709</v>
      </c>
    </row>
    <row r="112" spans="1:26" x14ac:dyDescent="0.2">
      <c r="A112" s="8" t="s">
        <v>160</v>
      </c>
      <c r="B112" s="11">
        <v>0</v>
      </c>
      <c r="C112" s="11">
        <v>0</v>
      </c>
      <c r="D112" s="11">
        <v>0</v>
      </c>
      <c r="E112" s="11">
        <v>0</v>
      </c>
      <c r="F112" s="11">
        <v>0</v>
      </c>
      <c r="G112" s="11">
        <v>0</v>
      </c>
      <c r="H112" s="11">
        <f t="shared" si="29"/>
        <v>0</v>
      </c>
      <c r="I112" s="11">
        <v>0</v>
      </c>
      <c r="J112" s="11">
        <v>0</v>
      </c>
      <c r="K112" s="11">
        <v>0</v>
      </c>
      <c r="L112" s="11">
        <v>1287.8520460814641</v>
      </c>
      <c r="M112" s="11">
        <f t="shared" si="30"/>
        <v>1287.8520460814641</v>
      </c>
      <c r="N112" s="11">
        <v>0</v>
      </c>
      <c r="O112" s="11">
        <v>0</v>
      </c>
      <c r="P112" s="11">
        <v>0</v>
      </c>
      <c r="Q112" s="11">
        <v>0</v>
      </c>
      <c r="R112" s="11">
        <f t="shared" si="31"/>
        <v>0</v>
      </c>
      <c r="S112" s="11">
        <v>0</v>
      </c>
      <c r="T112" s="11">
        <v>0</v>
      </c>
      <c r="U112" s="11">
        <v>11.95841089005383</v>
      </c>
      <c r="V112" s="11">
        <v>0</v>
      </c>
      <c r="W112" s="11">
        <f t="shared" si="32"/>
        <v>11.95841089005383</v>
      </c>
      <c r="X112" s="11">
        <f t="shared" si="33"/>
        <v>11.95841089005383</v>
      </c>
      <c r="Y112" s="11">
        <v>0</v>
      </c>
      <c r="Z112" s="11">
        <f t="shared" si="34"/>
        <v>1299.8104569715179</v>
      </c>
    </row>
    <row r="113" spans="1:26" x14ac:dyDescent="0.2">
      <c r="A113" s="8" t="s">
        <v>161</v>
      </c>
      <c r="B113" s="11">
        <v>0</v>
      </c>
      <c r="C113" s="11">
        <v>633.58788315953132</v>
      </c>
      <c r="D113" s="11">
        <v>291.36129688923239</v>
      </c>
      <c r="E113" s="11">
        <v>0</v>
      </c>
      <c r="F113" s="11">
        <v>0</v>
      </c>
      <c r="G113" s="11">
        <v>0</v>
      </c>
      <c r="H113" s="11">
        <f t="shared" si="29"/>
        <v>924.94918004876376</v>
      </c>
      <c r="I113" s="11">
        <v>0</v>
      </c>
      <c r="J113" s="11">
        <v>0</v>
      </c>
      <c r="K113" s="11">
        <v>0</v>
      </c>
      <c r="L113" s="11">
        <v>0</v>
      </c>
      <c r="M113" s="11">
        <f t="shared" si="30"/>
        <v>0</v>
      </c>
      <c r="N113" s="11">
        <v>0</v>
      </c>
      <c r="O113" s="11">
        <v>0</v>
      </c>
      <c r="P113" s="11">
        <v>0</v>
      </c>
      <c r="Q113" s="11">
        <v>0</v>
      </c>
      <c r="R113" s="11">
        <f t="shared" si="31"/>
        <v>0</v>
      </c>
      <c r="S113" s="11">
        <v>648.63619809092916</v>
      </c>
      <c r="T113" s="11">
        <v>0</v>
      </c>
      <c r="U113" s="11">
        <v>4288.3573952923271</v>
      </c>
      <c r="V113" s="11">
        <v>0</v>
      </c>
      <c r="W113" s="11">
        <f t="shared" si="32"/>
        <v>4936.9935933832567</v>
      </c>
      <c r="X113" s="11">
        <f t="shared" si="33"/>
        <v>4936.9935933832567</v>
      </c>
      <c r="Y113" s="11">
        <v>1035.0216733111026</v>
      </c>
      <c r="Z113" s="11">
        <f t="shared" si="34"/>
        <v>6896.9644467431235</v>
      </c>
    </row>
    <row r="114" spans="1:26" x14ac:dyDescent="0.2">
      <c r="A114" s="8" t="s">
        <v>162</v>
      </c>
      <c r="B114" s="11">
        <v>0</v>
      </c>
      <c r="C114" s="11">
        <v>0</v>
      </c>
      <c r="D114" s="11">
        <v>0</v>
      </c>
      <c r="E114" s="11">
        <v>0</v>
      </c>
      <c r="F114" s="11">
        <v>0</v>
      </c>
      <c r="G114" s="11">
        <v>0</v>
      </c>
      <c r="H114" s="11">
        <f t="shared" si="29"/>
        <v>0</v>
      </c>
      <c r="I114" s="11">
        <v>0</v>
      </c>
      <c r="J114" s="11">
        <v>0</v>
      </c>
      <c r="K114" s="11">
        <v>0</v>
      </c>
      <c r="L114" s="11">
        <v>4135.7434403212092</v>
      </c>
      <c r="M114" s="11">
        <f t="shared" si="30"/>
        <v>4135.7434403212092</v>
      </c>
      <c r="N114" s="11">
        <v>0</v>
      </c>
      <c r="O114" s="11">
        <v>0</v>
      </c>
      <c r="P114" s="11">
        <v>0</v>
      </c>
      <c r="Q114" s="11">
        <v>0</v>
      </c>
      <c r="R114" s="11">
        <f t="shared" si="31"/>
        <v>0</v>
      </c>
      <c r="S114" s="11">
        <v>0</v>
      </c>
      <c r="T114" s="11">
        <v>0</v>
      </c>
      <c r="U114" s="11">
        <v>0</v>
      </c>
      <c r="V114" s="11">
        <v>0</v>
      </c>
      <c r="W114" s="11">
        <f t="shared" si="32"/>
        <v>0</v>
      </c>
      <c r="X114" s="11">
        <f t="shared" si="33"/>
        <v>0</v>
      </c>
      <c r="Y114" s="11">
        <v>1129.5754266674187</v>
      </c>
      <c r="Z114" s="11">
        <f t="shared" si="34"/>
        <v>5265.3188669886276</v>
      </c>
    </row>
    <row r="115" spans="1:26" x14ac:dyDescent="0.2">
      <c r="A115" s="8" t="s">
        <v>163</v>
      </c>
      <c r="B115" s="11">
        <v>0</v>
      </c>
      <c r="C115" s="11">
        <v>0</v>
      </c>
      <c r="D115" s="11">
        <v>0</v>
      </c>
      <c r="E115" s="11">
        <v>0</v>
      </c>
      <c r="F115" s="11">
        <v>0</v>
      </c>
      <c r="G115" s="11">
        <v>0</v>
      </c>
      <c r="H115" s="11">
        <f t="shared" si="29"/>
        <v>0</v>
      </c>
      <c r="I115" s="11">
        <v>250</v>
      </c>
      <c r="J115" s="11">
        <v>0</v>
      </c>
      <c r="K115" s="11">
        <v>0</v>
      </c>
      <c r="L115" s="11">
        <v>1974.2996433968954</v>
      </c>
      <c r="M115" s="11">
        <f t="shared" si="30"/>
        <v>2224.2996433968956</v>
      </c>
      <c r="N115" s="11">
        <v>0</v>
      </c>
      <c r="O115" s="11">
        <v>0</v>
      </c>
      <c r="P115" s="11">
        <v>0</v>
      </c>
      <c r="Q115" s="11">
        <v>0</v>
      </c>
      <c r="R115" s="11">
        <f t="shared" si="31"/>
        <v>0</v>
      </c>
      <c r="S115" s="11">
        <v>0</v>
      </c>
      <c r="T115" s="11">
        <v>0</v>
      </c>
      <c r="U115" s="11">
        <v>0</v>
      </c>
      <c r="V115" s="11">
        <v>0</v>
      </c>
      <c r="W115" s="11">
        <f t="shared" si="32"/>
        <v>0</v>
      </c>
      <c r="X115" s="11">
        <f t="shared" si="33"/>
        <v>0</v>
      </c>
      <c r="Y115" s="11">
        <v>800</v>
      </c>
      <c r="Z115" s="11">
        <f t="shared" si="34"/>
        <v>3024.2996433968956</v>
      </c>
    </row>
    <row r="116" spans="1:26" x14ac:dyDescent="0.2">
      <c r="A116" s="8" t="s">
        <v>164</v>
      </c>
      <c r="B116" s="11">
        <v>0</v>
      </c>
      <c r="C116" s="11">
        <v>0</v>
      </c>
      <c r="D116" s="11">
        <v>0</v>
      </c>
      <c r="E116" s="11">
        <v>0</v>
      </c>
      <c r="F116" s="11">
        <v>0</v>
      </c>
      <c r="G116" s="11">
        <v>0</v>
      </c>
      <c r="H116" s="11">
        <f t="shared" si="29"/>
        <v>0</v>
      </c>
      <c r="I116" s="11">
        <v>0</v>
      </c>
      <c r="J116" s="11">
        <v>0</v>
      </c>
      <c r="K116" s="11">
        <v>0</v>
      </c>
      <c r="L116" s="11">
        <v>0</v>
      </c>
      <c r="M116" s="11">
        <f t="shared" si="30"/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f t="shared" si="31"/>
        <v>0</v>
      </c>
      <c r="S116" s="11">
        <v>674.20993539185156</v>
      </c>
      <c r="T116" s="11">
        <v>0</v>
      </c>
      <c r="U116" s="11">
        <v>0</v>
      </c>
      <c r="V116" s="11">
        <v>0</v>
      </c>
      <c r="W116" s="11">
        <f t="shared" si="32"/>
        <v>674.20993539185156</v>
      </c>
      <c r="X116" s="11">
        <f t="shared" si="33"/>
        <v>674.20993539185156</v>
      </c>
      <c r="Y116" s="11">
        <v>0</v>
      </c>
      <c r="Z116" s="11">
        <f t="shared" si="34"/>
        <v>674.20993539185156</v>
      </c>
    </row>
    <row r="117" spans="1:26" x14ac:dyDescent="0.2">
      <c r="A117" s="8" t="s">
        <v>165</v>
      </c>
      <c r="B117" s="11">
        <v>0</v>
      </c>
      <c r="C117" s="11">
        <v>0</v>
      </c>
      <c r="D117" s="11">
        <v>0</v>
      </c>
      <c r="E117" s="11">
        <v>0</v>
      </c>
      <c r="F117" s="11">
        <v>0</v>
      </c>
      <c r="G117" s="11">
        <v>0</v>
      </c>
      <c r="H117" s="11">
        <f t="shared" si="29"/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f t="shared" si="30"/>
        <v>0</v>
      </c>
      <c r="N117" s="11">
        <v>0</v>
      </c>
      <c r="O117" s="11">
        <v>0</v>
      </c>
      <c r="P117" s="11">
        <v>0</v>
      </c>
      <c r="Q117" s="11">
        <v>0</v>
      </c>
      <c r="R117" s="11">
        <f t="shared" si="31"/>
        <v>0</v>
      </c>
      <c r="S117" s="11">
        <v>0</v>
      </c>
      <c r="T117" s="11">
        <v>0</v>
      </c>
      <c r="U117" s="11">
        <v>9.1267447052198722</v>
      </c>
      <c r="V117" s="11">
        <v>0</v>
      </c>
      <c r="W117" s="11">
        <f t="shared" si="32"/>
        <v>9.1267447052198722</v>
      </c>
      <c r="X117" s="11">
        <f t="shared" si="33"/>
        <v>9.1267447052198722</v>
      </c>
      <c r="Y117" s="11">
        <v>0</v>
      </c>
      <c r="Z117" s="11">
        <f t="shared" si="34"/>
        <v>9.1267447052198722</v>
      </c>
    </row>
    <row r="118" spans="1:26" x14ac:dyDescent="0.2">
      <c r="A118" s="8" t="s">
        <v>166</v>
      </c>
      <c r="B118" s="11">
        <v>0</v>
      </c>
      <c r="C118" s="11">
        <v>0</v>
      </c>
      <c r="D118" s="11">
        <v>0</v>
      </c>
      <c r="E118" s="11">
        <v>0</v>
      </c>
      <c r="F118" s="11">
        <v>0</v>
      </c>
      <c r="G118" s="11">
        <v>0</v>
      </c>
      <c r="H118" s="11">
        <f t="shared" si="29"/>
        <v>0</v>
      </c>
      <c r="I118" s="11">
        <v>0</v>
      </c>
      <c r="J118" s="11">
        <v>0</v>
      </c>
      <c r="K118" s="11">
        <v>0</v>
      </c>
      <c r="L118" s="11">
        <v>50772.389798146694</v>
      </c>
      <c r="M118" s="11">
        <f t="shared" si="30"/>
        <v>50772.389798146694</v>
      </c>
      <c r="N118" s="11">
        <v>0</v>
      </c>
      <c r="O118" s="11">
        <v>0</v>
      </c>
      <c r="P118" s="11">
        <v>0</v>
      </c>
      <c r="Q118" s="11">
        <v>0</v>
      </c>
      <c r="R118" s="11">
        <f t="shared" si="31"/>
        <v>0</v>
      </c>
      <c r="S118" s="11">
        <v>0</v>
      </c>
      <c r="T118" s="11">
        <v>0</v>
      </c>
      <c r="U118" s="11">
        <v>649.35886013586105</v>
      </c>
      <c r="V118" s="11">
        <v>0</v>
      </c>
      <c r="W118" s="11">
        <f t="shared" si="32"/>
        <v>649.35886013586105</v>
      </c>
      <c r="X118" s="11">
        <f t="shared" si="33"/>
        <v>649.35886013586105</v>
      </c>
      <c r="Y118" s="11">
        <v>5593.5624027668873</v>
      </c>
      <c r="Z118" s="11">
        <f t="shared" si="34"/>
        <v>57015.311061049448</v>
      </c>
    </row>
    <row r="119" spans="1:26" x14ac:dyDescent="0.2">
      <c r="A119" s="8" t="s">
        <v>167</v>
      </c>
      <c r="B119" s="11">
        <v>0</v>
      </c>
      <c r="C119" s="11">
        <v>0</v>
      </c>
      <c r="D119" s="11">
        <v>0</v>
      </c>
      <c r="E119" s="11">
        <v>0</v>
      </c>
      <c r="F119" s="11">
        <v>0</v>
      </c>
      <c r="G119" s="11">
        <v>0</v>
      </c>
      <c r="H119" s="11">
        <f t="shared" si="29"/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f t="shared" si="30"/>
        <v>0</v>
      </c>
      <c r="N119" s="11">
        <v>0</v>
      </c>
      <c r="O119" s="11">
        <v>0</v>
      </c>
      <c r="P119" s="11">
        <v>0</v>
      </c>
      <c r="Q119" s="11">
        <v>0</v>
      </c>
      <c r="R119" s="11">
        <f t="shared" si="31"/>
        <v>0</v>
      </c>
      <c r="S119" s="11">
        <v>0</v>
      </c>
      <c r="T119" s="11">
        <v>0</v>
      </c>
      <c r="U119" s="11">
        <v>118.01755707394125</v>
      </c>
      <c r="V119" s="11">
        <v>0</v>
      </c>
      <c r="W119" s="11">
        <f t="shared" si="32"/>
        <v>118.01755707394125</v>
      </c>
      <c r="X119" s="11">
        <f t="shared" si="33"/>
        <v>118.01755707394125</v>
      </c>
      <c r="Y119" s="11">
        <v>1277.7761462747737</v>
      </c>
      <c r="Z119" s="11">
        <f t="shared" si="34"/>
        <v>1395.7937033487151</v>
      </c>
    </row>
    <row r="120" spans="1:26" x14ac:dyDescent="0.2">
      <c r="A120" s="8" t="s">
        <v>168</v>
      </c>
      <c r="B120" s="11">
        <v>0</v>
      </c>
      <c r="C120" s="11">
        <v>0</v>
      </c>
      <c r="D120" s="11">
        <v>29368.763501389742</v>
      </c>
      <c r="E120" s="11">
        <v>0</v>
      </c>
      <c r="F120" s="11">
        <v>0</v>
      </c>
      <c r="G120" s="11">
        <v>0</v>
      </c>
      <c r="H120" s="11">
        <f t="shared" si="29"/>
        <v>29368.763501389742</v>
      </c>
      <c r="I120" s="11">
        <v>0</v>
      </c>
      <c r="J120" s="11">
        <v>0</v>
      </c>
      <c r="K120" s="11">
        <v>0</v>
      </c>
      <c r="L120" s="11">
        <v>0</v>
      </c>
      <c r="M120" s="11">
        <f t="shared" si="30"/>
        <v>0</v>
      </c>
      <c r="N120" s="11">
        <v>0</v>
      </c>
      <c r="O120" s="11">
        <v>0</v>
      </c>
      <c r="P120" s="11">
        <v>0</v>
      </c>
      <c r="Q120" s="11">
        <v>0</v>
      </c>
      <c r="R120" s="11">
        <f t="shared" si="31"/>
        <v>0</v>
      </c>
      <c r="S120" s="11">
        <v>0</v>
      </c>
      <c r="T120" s="11">
        <v>0</v>
      </c>
      <c r="U120" s="11">
        <v>0</v>
      </c>
      <c r="V120" s="11">
        <v>0</v>
      </c>
      <c r="W120" s="11">
        <f t="shared" si="32"/>
        <v>0</v>
      </c>
      <c r="X120" s="11">
        <f t="shared" si="33"/>
        <v>0</v>
      </c>
      <c r="Y120" s="11">
        <v>0</v>
      </c>
      <c r="Z120" s="11">
        <f t="shared" si="34"/>
        <v>29368.763501389742</v>
      </c>
    </row>
    <row r="121" spans="1:26" x14ac:dyDescent="0.2">
      <c r="A121" s="8" t="s">
        <v>169</v>
      </c>
      <c r="B121" s="11">
        <v>0</v>
      </c>
      <c r="C121" s="11">
        <v>0</v>
      </c>
      <c r="D121" s="11">
        <v>0</v>
      </c>
      <c r="E121" s="11">
        <v>0</v>
      </c>
      <c r="F121" s="11">
        <v>0</v>
      </c>
      <c r="G121" s="11">
        <v>0</v>
      </c>
      <c r="H121" s="11">
        <f t="shared" si="29"/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f t="shared" si="30"/>
        <v>0</v>
      </c>
      <c r="N121" s="11">
        <v>0</v>
      </c>
      <c r="O121" s="11">
        <v>0</v>
      </c>
      <c r="P121" s="11">
        <v>0</v>
      </c>
      <c r="Q121" s="11">
        <v>11304.171676393587</v>
      </c>
      <c r="R121" s="11">
        <f t="shared" si="31"/>
        <v>11304.171676393587</v>
      </c>
      <c r="S121" s="11">
        <v>0</v>
      </c>
      <c r="T121" s="11">
        <v>0</v>
      </c>
      <c r="U121" s="11">
        <v>0</v>
      </c>
      <c r="V121" s="11">
        <v>0</v>
      </c>
      <c r="W121" s="11">
        <f t="shared" si="32"/>
        <v>0</v>
      </c>
      <c r="X121" s="11">
        <f t="shared" si="33"/>
        <v>11304.171676393587</v>
      </c>
      <c r="Y121" s="11">
        <v>0</v>
      </c>
      <c r="Z121" s="11">
        <f t="shared" si="34"/>
        <v>11304.171676393587</v>
      </c>
    </row>
    <row r="122" spans="1:26" x14ac:dyDescent="0.2">
      <c r="A122" s="8" t="s">
        <v>170</v>
      </c>
      <c r="B122" s="11">
        <v>0</v>
      </c>
      <c r="C122" s="11">
        <v>0</v>
      </c>
      <c r="D122" s="11">
        <v>0</v>
      </c>
      <c r="E122" s="11">
        <v>0</v>
      </c>
      <c r="F122" s="11">
        <v>0</v>
      </c>
      <c r="G122" s="11">
        <v>0</v>
      </c>
      <c r="H122" s="11">
        <f t="shared" si="29"/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f t="shared" si="30"/>
        <v>0</v>
      </c>
      <c r="N122" s="11">
        <v>0</v>
      </c>
      <c r="O122" s="11">
        <v>0</v>
      </c>
      <c r="P122" s="11">
        <v>0</v>
      </c>
      <c r="Q122" s="11">
        <v>0</v>
      </c>
      <c r="R122" s="11">
        <f t="shared" si="31"/>
        <v>0</v>
      </c>
      <c r="S122" s="11">
        <v>62298.604235600578</v>
      </c>
      <c r="T122" s="11">
        <v>0</v>
      </c>
      <c r="U122" s="11">
        <v>0</v>
      </c>
      <c r="V122" s="11">
        <v>0</v>
      </c>
      <c r="W122" s="11">
        <f t="shared" si="32"/>
        <v>62298.604235600578</v>
      </c>
      <c r="X122" s="11">
        <f t="shared" si="33"/>
        <v>62298.604235600578</v>
      </c>
      <c r="Y122" s="11">
        <v>0</v>
      </c>
      <c r="Z122" s="11">
        <f t="shared" si="34"/>
        <v>62298.604235600578</v>
      </c>
    </row>
    <row r="123" spans="1:26" x14ac:dyDescent="0.2">
      <c r="A123" s="8" t="s">
        <v>171</v>
      </c>
      <c r="B123" s="11">
        <v>0</v>
      </c>
      <c r="C123" s="11">
        <v>0</v>
      </c>
      <c r="D123" s="11">
        <v>0</v>
      </c>
      <c r="E123" s="11">
        <v>0</v>
      </c>
      <c r="F123" s="11">
        <v>0</v>
      </c>
      <c r="G123" s="11">
        <v>0</v>
      </c>
      <c r="H123" s="11">
        <f t="shared" si="29"/>
        <v>0</v>
      </c>
      <c r="I123" s="11">
        <v>0</v>
      </c>
      <c r="J123" s="11">
        <v>21277.695801292739</v>
      </c>
      <c r="K123" s="11">
        <v>0</v>
      </c>
      <c r="L123" s="11">
        <v>0</v>
      </c>
      <c r="M123" s="11">
        <f t="shared" si="30"/>
        <v>21277.695801292739</v>
      </c>
      <c r="N123" s="11">
        <v>0</v>
      </c>
      <c r="O123" s="11">
        <v>0</v>
      </c>
      <c r="P123" s="11">
        <v>0</v>
      </c>
      <c r="Q123" s="11">
        <v>0</v>
      </c>
      <c r="R123" s="11">
        <f t="shared" si="31"/>
        <v>0</v>
      </c>
      <c r="S123" s="11">
        <v>0</v>
      </c>
      <c r="T123" s="11">
        <v>0</v>
      </c>
      <c r="U123" s="11">
        <v>0</v>
      </c>
      <c r="V123" s="11">
        <v>0</v>
      </c>
      <c r="W123" s="11">
        <f t="shared" si="32"/>
        <v>0</v>
      </c>
      <c r="X123" s="11">
        <f t="shared" si="33"/>
        <v>0</v>
      </c>
      <c r="Y123" s="11">
        <v>0</v>
      </c>
      <c r="Z123" s="11">
        <f t="shared" si="34"/>
        <v>21277.695801292739</v>
      </c>
    </row>
    <row r="124" spans="1:26" ht="10.5" x14ac:dyDescent="0.25">
      <c r="A124" s="46" t="s">
        <v>172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x14ac:dyDescent="0.2">
      <c r="A125" s="47" t="s">
        <v>172</v>
      </c>
      <c r="B125" s="11">
        <v>0</v>
      </c>
      <c r="C125" s="11">
        <v>0</v>
      </c>
      <c r="D125" s="11">
        <v>0</v>
      </c>
      <c r="E125" s="11">
        <v>0</v>
      </c>
      <c r="F125" s="11">
        <v>0</v>
      </c>
      <c r="G125" s="11">
        <v>0</v>
      </c>
      <c r="H125" s="11">
        <f>SUM(C125:G125)</f>
        <v>0</v>
      </c>
      <c r="I125" s="11">
        <v>0</v>
      </c>
      <c r="J125" s="11">
        <v>0</v>
      </c>
      <c r="K125" s="11">
        <v>0</v>
      </c>
      <c r="L125" s="11">
        <v>3572.4301161210869</v>
      </c>
      <c r="M125" s="11">
        <f>SUM(I125:L125)</f>
        <v>3572.4301161210869</v>
      </c>
      <c r="N125" s="11">
        <v>0</v>
      </c>
      <c r="O125" s="11">
        <v>0</v>
      </c>
      <c r="P125" s="11">
        <v>0</v>
      </c>
      <c r="Q125" s="11">
        <v>0</v>
      </c>
      <c r="R125" s="11">
        <f>SUM(O125:Q125)</f>
        <v>0</v>
      </c>
      <c r="S125" s="11">
        <v>0</v>
      </c>
      <c r="T125" s="11">
        <v>0</v>
      </c>
      <c r="U125" s="11">
        <v>0</v>
      </c>
      <c r="V125" s="11">
        <v>0</v>
      </c>
      <c r="W125" s="11">
        <f>SUM(S125:V125)</f>
        <v>0</v>
      </c>
      <c r="X125" s="11">
        <f>SUM(N125,R125,W125)</f>
        <v>0</v>
      </c>
      <c r="Y125" s="11">
        <v>0</v>
      </c>
      <c r="Z125" s="11">
        <f>SUM(B125,H125,M125,X125:Y125)</f>
        <v>3572.4301161210869</v>
      </c>
    </row>
    <row r="126" spans="1:26" x14ac:dyDescent="0.2">
      <c r="A126" s="47" t="s">
        <v>173</v>
      </c>
      <c r="B126" s="11">
        <v>0</v>
      </c>
      <c r="C126" s="11">
        <v>0</v>
      </c>
      <c r="D126" s="11">
        <v>0</v>
      </c>
      <c r="E126" s="11">
        <v>0</v>
      </c>
      <c r="F126" s="11">
        <v>0</v>
      </c>
      <c r="G126" s="11">
        <v>0</v>
      </c>
      <c r="H126" s="11">
        <f>SUM(C126:G126)</f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f>SUM(I126:L126)</f>
        <v>0</v>
      </c>
      <c r="N126" s="11">
        <v>0</v>
      </c>
      <c r="O126" s="11">
        <v>0</v>
      </c>
      <c r="P126" s="11">
        <v>0</v>
      </c>
      <c r="Q126" s="11">
        <v>0</v>
      </c>
      <c r="R126" s="11">
        <f>SUM(O126:Q126)</f>
        <v>0</v>
      </c>
      <c r="S126" s="11">
        <v>0</v>
      </c>
      <c r="T126" s="11">
        <v>0</v>
      </c>
      <c r="U126" s="11">
        <v>0</v>
      </c>
      <c r="V126" s="11">
        <v>0</v>
      </c>
      <c r="W126" s="11">
        <f>SUM(S126:V126)</f>
        <v>0</v>
      </c>
      <c r="X126" s="11">
        <f>SUM(N126,R126,W126)</f>
        <v>0</v>
      </c>
      <c r="Y126" s="11">
        <v>231.22128694350545</v>
      </c>
      <c r="Z126" s="11">
        <f>SUM(B126,H126,M126,X126:Y126)</f>
        <v>231.22128694350545</v>
      </c>
    </row>
    <row r="127" spans="1:26" ht="10.5" x14ac:dyDescent="0.25">
      <c r="A127" s="48" t="s">
        <v>174</v>
      </c>
      <c r="B127" s="13">
        <f t="shared" ref="B127:Z127" si="35">SUM(B125:B126)</f>
        <v>0</v>
      </c>
      <c r="C127" s="13">
        <f t="shared" si="35"/>
        <v>0</v>
      </c>
      <c r="D127" s="13">
        <f t="shared" si="35"/>
        <v>0</v>
      </c>
      <c r="E127" s="13">
        <f t="shared" si="35"/>
        <v>0</v>
      </c>
      <c r="F127" s="13">
        <f t="shared" si="35"/>
        <v>0</v>
      </c>
      <c r="G127" s="13">
        <f t="shared" si="35"/>
        <v>0</v>
      </c>
      <c r="H127" s="13">
        <f t="shared" si="35"/>
        <v>0</v>
      </c>
      <c r="I127" s="13">
        <f t="shared" si="35"/>
        <v>0</v>
      </c>
      <c r="J127" s="13">
        <f t="shared" si="35"/>
        <v>0</v>
      </c>
      <c r="K127" s="13">
        <f t="shared" si="35"/>
        <v>0</v>
      </c>
      <c r="L127" s="13">
        <f t="shared" si="35"/>
        <v>3572.4301161210869</v>
      </c>
      <c r="M127" s="13">
        <f t="shared" si="35"/>
        <v>3572.4301161210869</v>
      </c>
      <c r="N127" s="13">
        <f t="shared" si="35"/>
        <v>0</v>
      </c>
      <c r="O127" s="13">
        <f t="shared" si="35"/>
        <v>0</v>
      </c>
      <c r="P127" s="13">
        <f t="shared" si="35"/>
        <v>0</v>
      </c>
      <c r="Q127" s="13">
        <f t="shared" si="35"/>
        <v>0</v>
      </c>
      <c r="R127" s="13">
        <f t="shared" si="35"/>
        <v>0</v>
      </c>
      <c r="S127" s="13">
        <f t="shared" si="35"/>
        <v>0</v>
      </c>
      <c r="T127" s="13">
        <f t="shared" si="35"/>
        <v>0</v>
      </c>
      <c r="U127" s="13">
        <f t="shared" si="35"/>
        <v>0</v>
      </c>
      <c r="V127" s="13">
        <f t="shared" si="35"/>
        <v>0</v>
      </c>
      <c r="W127" s="13">
        <f t="shared" si="35"/>
        <v>0</v>
      </c>
      <c r="X127" s="13">
        <f t="shared" si="35"/>
        <v>0</v>
      </c>
      <c r="Y127" s="13">
        <f t="shared" si="35"/>
        <v>231.22128694350545</v>
      </c>
      <c r="Z127" s="13">
        <f t="shared" si="35"/>
        <v>3803.6514030645922</v>
      </c>
    </row>
    <row r="128" spans="1:26" ht="10.5" x14ac:dyDescent="0.25">
      <c r="A128" s="12" t="s">
        <v>175</v>
      </c>
      <c r="B128" s="13">
        <f t="shared" ref="B128:Z128" si="36">SUM(B109:B123,B127)</f>
        <v>0</v>
      </c>
      <c r="C128" s="13">
        <f t="shared" si="36"/>
        <v>633.58788315953132</v>
      </c>
      <c r="D128" s="13">
        <f t="shared" si="36"/>
        <v>36725.236836981472</v>
      </c>
      <c r="E128" s="13">
        <f t="shared" si="36"/>
        <v>14209.297372060166</v>
      </c>
      <c r="F128" s="13">
        <f t="shared" si="36"/>
        <v>6496.1544872652303</v>
      </c>
      <c r="G128" s="13">
        <f t="shared" si="36"/>
        <v>1143.7037900888067</v>
      </c>
      <c r="H128" s="13">
        <f t="shared" si="36"/>
        <v>59207.980369555211</v>
      </c>
      <c r="I128" s="13">
        <f t="shared" si="36"/>
        <v>250</v>
      </c>
      <c r="J128" s="13">
        <f t="shared" si="36"/>
        <v>21277.695801292739</v>
      </c>
      <c r="K128" s="13">
        <f t="shared" si="36"/>
        <v>0</v>
      </c>
      <c r="L128" s="13">
        <f t="shared" si="36"/>
        <v>87700.409366795648</v>
      </c>
      <c r="M128" s="13">
        <f t="shared" si="36"/>
        <v>109228.10516808838</v>
      </c>
      <c r="N128" s="13">
        <f t="shared" si="36"/>
        <v>0</v>
      </c>
      <c r="O128" s="13">
        <f t="shared" si="36"/>
        <v>0</v>
      </c>
      <c r="P128" s="13">
        <f t="shared" si="36"/>
        <v>0</v>
      </c>
      <c r="Q128" s="13">
        <f t="shared" si="36"/>
        <v>11304.171676393587</v>
      </c>
      <c r="R128" s="13">
        <f t="shared" si="36"/>
        <v>11304.171676393587</v>
      </c>
      <c r="S128" s="13">
        <f t="shared" si="36"/>
        <v>103921.47786616851</v>
      </c>
      <c r="T128" s="13">
        <f t="shared" si="36"/>
        <v>0</v>
      </c>
      <c r="U128" s="13">
        <f t="shared" si="36"/>
        <v>37583.625507758836</v>
      </c>
      <c r="V128" s="13">
        <f t="shared" si="36"/>
        <v>3021.8466359744107</v>
      </c>
      <c r="W128" s="13">
        <f t="shared" si="36"/>
        <v>144526.95000990178</v>
      </c>
      <c r="X128" s="13">
        <f t="shared" si="36"/>
        <v>155831.12168629534</v>
      </c>
      <c r="Y128" s="13">
        <f t="shared" si="36"/>
        <v>102631.19849600195</v>
      </c>
      <c r="Z128" s="13">
        <f t="shared" si="36"/>
        <v>426898.4057199409</v>
      </c>
    </row>
    <row r="129" spans="1:26" ht="10.5" x14ac:dyDescent="0.25">
      <c r="A129" s="7" t="s">
        <v>176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x14ac:dyDescent="0.2">
      <c r="A130" s="8" t="s">
        <v>177</v>
      </c>
      <c r="B130" s="11">
        <v>0</v>
      </c>
      <c r="C130" s="11">
        <v>0</v>
      </c>
      <c r="D130" s="11">
        <v>60.620397259175789</v>
      </c>
      <c r="E130" s="11">
        <v>21.548679204900829</v>
      </c>
      <c r="F130" s="11">
        <v>0</v>
      </c>
      <c r="G130" s="11">
        <v>164.23091835715826</v>
      </c>
      <c r="H130" s="11">
        <f>SUM(C130:G130)</f>
        <v>246.39999482123488</v>
      </c>
      <c r="I130" s="11">
        <v>0</v>
      </c>
      <c r="J130" s="11">
        <v>0</v>
      </c>
      <c r="K130" s="11">
        <v>0</v>
      </c>
      <c r="L130" s="11">
        <v>10284.827209531128</v>
      </c>
      <c r="M130" s="11">
        <f>SUM(I130:L130)</f>
        <v>10284.827209531128</v>
      </c>
      <c r="N130" s="11">
        <v>0</v>
      </c>
      <c r="O130" s="11">
        <v>0</v>
      </c>
      <c r="P130" s="11">
        <v>0</v>
      </c>
      <c r="Q130" s="11">
        <v>0</v>
      </c>
      <c r="R130" s="11">
        <f>SUM(O130:Q130)</f>
        <v>0</v>
      </c>
      <c r="S130" s="11">
        <v>-0.45246570508978118</v>
      </c>
      <c r="T130" s="11">
        <v>0</v>
      </c>
      <c r="U130" s="11">
        <v>3916.4509921014942</v>
      </c>
      <c r="V130" s="11">
        <v>0</v>
      </c>
      <c r="W130" s="11">
        <f>SUM(S130:V130)</f>
        <v>3915.9985263964045</v>
      </c>
      <c r="X130" s="11">
        <f>SUM(N130,R130,W130)</f>
        <v>3915.9985263964045</v>
      </c>
      <c r="Y130" s="11">
        <v>6769.6540020355969</v>
      </c>
      <c r="Z130" s="11">
        <f>SUM(B130,H130,M130,X130:Y130)</f>
        <v>21216.879732784364</v>
      </c>
    </row>
    <row r="131" spans="1:26" x14ac:dyDescent="0.2">
      <c r="A131" s="8" t="s">
        <v>178</v>
      </c>
      <c r="B131" s="11">
        <v>0</v>
      </c>
      <c r="C131" s="11">
        <v>0</v>
      </c>
      <c r="D131" s="11">
        <v>0</v>
      </c>
      <c r="E131" s="11">
        <v>0</v>
      </c>
      <c r="F131" s="11">
        <v>0</v>
      </c>
      <c r="G131" s="11">
        <v>0</v>
      </c>
      <c r="H131" s="11">
        <f>SUM(C131:G131)</f>
        <v>0</v>
      </c>
      <c r="I131" s="11">
        <v>0</v>
      </c>
      <c r="J131" s="11">
        <v>0</v>
      </c>
      <c r="K131" s="11">
        <v>0</v>
      </c>
      <c r="L131" s="11">
        <v>8931.2903082612793</v>
      </c>
      <c r="M131" s="11">
        <f>SUM(I131:L131)</f>
        <v>8931.2903082612793</v>
      </c>
      <c r="N131" s="11">
        <v>0</v>
      </c>
      <c r="O131" s="11">
        <v>0</v>
      </c>
      <c r="P131" s="11">
        <v>0</v>
      </c>
      <c r="Q131" s="11">
        <v>0</v>
      </c>
      <c r="R131" s="11">
        <f>SUM(O131:Q131)</f>
        <v>0</v>
      </c>
      <c r="S131" s="11">
        <v>0</v>
      </c>
      <c r="T131" s="11">
        <v>0</v>
      </c>
      <c r="U131" s="11">
        <v>637.34894574913324</v>
      </c>
      <c r="V131" s="11">
        <v>0</v>
      </c>
      <c r="W131" s="11">
        <f>SUM(S131:V131)</f>
        <v>637.34894574913324</v>
      </c>
      <c r="X131" s="11">
        <f>SUM(N131,R131,W131)</f>
        <v>637.34894574913324</v>
      </c>
      <c r="Y131" s="11">
        <v>176734.53706590901</v>
      </c>
      <c r="Z131" s="11">
        <f>SUM(B131,H131,M131,X131:Y131)</f>
        <v>186303.17631991941</v>
      </c>
    </row>
    <row r="132" spans="1:26" x14ac:dyDescent="0.2">
      <c r="A132" s="8" t="s">
        <v>179</v>
      </c>
      <c r="B132" s="11">
        <v>0</v>
      </c>
      <c r="C132" s="11">
        <v>0</v>
      </c>
      <c r="D132" s="11">
        <v>0</v>
      </c>
      <c r="E132" s="11">
        <v>0</v>
      </c>
      <c r="F132" s="11">
        <v>0</v>
      </c>
      <c r="G132" s="11">
        <v>0</v>
      </c>
      <c r="H132" s="11">
        <f>SUM(C132:G132)</f>
        <v>0</v>
      </c>
      <c r="I132" s="11">
        <v>0</v>
      </c>
      <c r="J132" s="11">
        <v>0</v>
      </c>
      <c r="K132" s="11">
        <v>0</v>
      </c>
      <c r="L132" s="11">
        <v>0</v>
      </c>
      <c r="M132" s="11">
        <f>SUM(I132:L132)</f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f>SUM(O132:Q132)</f>
        <v>0</v>
      </c>
      <c r="S132" s="11">
        <v>0</v>
      </c>
      <c r="T132" s="11">
        <v>0</v>
      </c>
      <c r="U132" s="11">
        <v>187.53572311708706</v>
      </c>
      <c r="V132" s="11">
        <v>0</v>
      </c>
      <c r="W132" s="11">
        <f>SUM(S132:V132)</f>
        <v>187.53572311708706</v>
      </c>
      <c r="X132" s="11">
        <f>SUM(N132,R132,W132)</f>
        <v>187.53572311708706</v>
      </c>
      <c r="Y132" s="11">
        <v>46768.367128018181</v>
      </c>
      <c r="Z132" s="11">
        <f>SUM(B132,H132,M132,X132:Y132)</f>
        <v>46955.902851135266</v>
      </c>
    </row>
    <row r="133" spans="1:26" x14ac:dyDescent="0.2">
      <c r="A133" s="8" t="s">
        <v>180</v>
      </c>
      <c r="B133" s="11">
        <v>0</v>
      </c>
      <c r="C133" s="11">
        <v>0</v>
      </c>
      <c r="D133" s="11">
        <v>0</v>
      </c>
      <c r="E133" s="11">
        <v>0</v>
      </c>
      <c r="F133" s="11">
        <v>0</v>
      </c>
      <c r="G133" s="11">
        <v>0</v>
      </c>
      <c r="H133" s="11">
        <f>SUM(C133:G133)</f>
        <v>0</v>
      </c>
      <c r="I133" s="11">
        <v>0</v>
      </c>
      <c r="J133" s="11">
        <v>0</v>
      </c>
      <c r="K133" s="11">
        <v>91.205774503472639</v>
      </c>
      <c r="L133" s="11">
        <v>-1.57</v>
      </c>
      <c r="M133" s="11">
        <f>SUM(I133:L133)</f>
        <v>89.635774503472646</v>
      </c>
      <c r="N133" s="11">
        <v>0</v>
      </c>
      <c r="O133" s="11">
        <v>0</v>
      </c>
      <c r="P133" s="11">
        <v>0</v>
      </c>
      <c r="Q133" s="11">
        <v>0</v>
      </c>
      <c r="R133" s="11">
        <f>SUM(O133:Q133)</f>
        <v>0</v>
      </c>
      <c r="S133" s="11">
        <v>0</v>
      </c>
      <c r="T133" s="11">
        <v>0</v>
      </c>
      <c r="U133" s="11">
        <v>0</v>
      </c>
      <c r="V133" s="11">
        <v>53.407160548282064</v>
      </c>
      <c r="W133" s="11">
        <f>SUM(S133:V133)</f>
        <v>53.407160548282064</v>
      </c>
      <c r="X133" s="11">
        <f>SUM(N133,R133,W133)</f>
        <v>53.407160548282064</v>
      </c>
      <c r="Y133" s="11">
        <v>93.152428840956034</v>
      </c>
      <c r="Z133" s="11">
        <f>SUM(B133,H133,M133,X133:Y133)</f>
        <v>236.19536389271076</v>
      </c>
    </row>
    <row r="134" spans="1:26" ht="10.5" x14ac:dyDescent="0.25">
      <c r="A134" s="12" t="s">
        <v>181</v>
      </c>
      <c r="B134" s="13">
        <f t="shared" ref="B134:Z134" si="37">SUM(B130:B133)</f>
        <v>0</v>
      </c>
      <c r="C134" s="13">
        <f t="shared" si="37"/>
        <v>0</v>
      </c>
      <c r="D134" s="13">
        <f t="shared" si="37"/>
        <v>60.620397259175789</v>
      </c>
      <c r="E134" s="13">
        <f t="shared" si="37"/>
        <v>21.548679204900829</v>
      </c>
      <c r="F134" s="13">
        <f t="shared" si="37"/>
        <v>0</v>
      </c>
      <c r="G134" s="13">
        <f t="shared" si="37"/>
        <v>164.23091835715826</v>
      </c>
      <c r="H134" s="13">
        <f t="shared" si="37"/>
        <v>246.39999482123488</v>
      </c>
      <c r="I134" s="13">
        <f t="shared" si="37"/>
        <v>0</v>
      </c>
      <c r="J134" s="13">
        <f t="shared" si="37"/>
        <v>0</v>
      </c>
      <c r="K134" s="13">
        <f t="shared" si="37"/>
        <v>91.205774503472639</v>
      </c>
      <c r="L134" s="13">
        <f t="shared" si="37"/>
        <v>19214.547517792409</v>
      </c>
      <c r="M134" s="13">
        <f t="shared" si="37"/>
        <v>19305.753292295882</v>
      </c>
      <c r="N134" s="13">
        <f t="shared" si="37"/>
        <v>0</v>
      </c>
      <c r="O134" s="13">
        <f t="shared" si="37"/>
        <v>0</v>
      </c>
      <c r="P134" s="13">
        <f t="shared" si="37"/>
        <v>0</v>
      </c>
      <c r="Q134" s="13">
        <f t="shared" si="37"/>
        <v>0</v>
      </c>
      <c r="R134" s="13">
        <f t="shared" si="37"/>
        <v>0</v>
      </c>
      <c r="S134" s="13">
        <f t="shared" si="37"/>
        <v>-0.45246570508978118</v>
      </c>
      <c r="T134" s="13">
        <f t="shared" si="37"/>
        <v>0</v>
      </c>
      <c r="U134" s="13">
        <f t="shared" si="37"/>
        <v>4741.3356609677148</v>
      </c>
      <c r="V134" s="13">
        <f t="shared" si="37"/>
        <v>53.407160548282064</v>
      </c>
      <c r="W134" s="13">
        <f t="shared" si="37"/>
        <v>4794.2903558109074</v>
      </c>
      <c r="X134" s="13">
        <f t="shared" si="37"/>
        <v>4794.2903558109074</v>
      </c>
      <c r="Y134" s="13">
        <f t="shared" si="37"/>
        <v>230365.71062480373</v>
      </c>
      <c r="Z134" s="13">
        <f t="shared" si="37"/>
        <v>254712.15426773173</v>
      </c>
    </row>
    <row r="135" spans="1:26" ht="10.5" x14ac:dyDescent="0.25">
      <c r="A135" s="14" t="s">
        <v>182</v>
      </c>
      <c r="B135" s="13">
        <f t="shared" ref="B135:Z135" si="38">SUM(B41,B47,B53,B57,B61,B72,B79,B86,B100,B103,B107,B128,B134)</f>
        <v>1482665.1512880267</v>
      </c>
      <c r="C135" s="13">
        <f t="shared" si="38"/>
        <v>16846.833583260192</v>
      </c>
      <c r="D135" s="13">
        <f t="shared" si="38"/>
        <v>81111.851140179744</v>
      </c>
      <c r="E135" s="13">
        <f t="shared" si="38"/>
        <v>166117.4118045581</v>
      </c>
      <c r="F135" s="13">
        <f t="shared" si="38"/>
        <v>6496.1544872652303</v>
      </c>
      <c r="G135" s="13">
        <f t="shared" si="38"/>
        <v>241174.41459026845</v>
      </c>
      <c r="H135" s="13">
        <f t="shared" si="38"/>
        <v>511746.66560553171</v>
      </c>
      <c r="I135" s="13">
        <f t="shared" si="38"/>
        <v>15769.601701576583</v>
      </c>
      <c r="J135" s="13">
        <f t="shared" si="38"/>
        <v>21874.888964603699</v>
      </c>
      <c r="K135" s="13">
        <f t="shared" si="38"/>
        <v>1162.0470137381767</v>
      </c>
      <c r="L135" s="13">
        <f t="shared" si="38"/>
        <v>444225.80920921185</v>
      </c>
      <c r="M135" s="13">
        <f t="shared" si="38"/>
        <v>483032.34688913031</v>
      </c>
      <c r="N135" s="13">
        <f t="shared" si="38"/>
        <v>0</v>
      </c>
      <c r="O135" s="13">
        <f t="shared" si="38"/>
        <v>2854.122774296698</v>
      </c>
      <c r="P135" s="13">
        <f t="shared" si="38"/>
        <v>0</v>
      </c>
      <c r="Q135" s="13">
        <f t="shared" si="38"/>
        <v>15560.598989352093</v>
      </c>
      <c r="R135" s="13">
        <f t="shared" si="38"/>
        <v>18414.721763648791</v>
      </c>
      <c r="S135" s="13">
        <f t="shared" si="38"/>
        <v>155286.96754931213</v>
      </c>
      <c r="T135" s="13">
        <f t="shared" si="38"/>
        <v>0</v>
      </c>
      <c r="U135" s="13">
        <f t="shared" si="38"/>
        <v>343900.19330153958</v>
      </c>
      <c r="V135" s="13">
        <f t="shared" si="38"/>
        <v>19718.943799400251</v>
      </c>
      <c r="W135" s="13">
        <f t="shared" si="38"/>
        <v>518906.10465025192</v>
      </c>
      <c r="X135" s="13">
        <f t="shared" si="38"/>
        <v>537320.82641390071</v>
      </c>
      <c r="Y135" s="13">
        <f t="shared" si="38"/>
        <v>1381345.4940091891</v>
      </c>
      <c r="Z135" s="13">
        <f t="shared" si="38"/>
        <v>4396110.4842057787</v>
      </c>
    </row>
    <row r="136" spans="1:26" ht="10.5" x14ac:dyDescent="0.25">
      <c r="A136" s="6" t="s">
        <v>183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x14ac:dyDescent="0.2">
      <c r="A137" s="45" t="s">
        <v>184</v>
      </c>
      <c r="B137" s="11">
        <v>0</v>
      </c>
      <c r="C137" s="11">
        <v>0</v>
      </c>
      <c r="D137" s="11">
        <v>34.367452349842928</v>
      </c>
      <c r="E137" s="11">
        <v>0</v>
      </c>
      <c r="F137" s="11">
        <v>0</v>
      </c>
      <c r="G137" s="11">
        <v>479.12823429190502</v>
      </c>
      <c r="H137" s="11">
        <f t="shared" ref="H137:H152" si="39">SUM(C137:G137)</f>
        <v>513.49568664174797</v>
      </c>
      <c r="I137" s="11">
        <v>0</v>
      </c>
      <c r="J137" s="11">
        <v>0</v>
      </c>
      <c r="K137" s="11">
        <v>0</v>
      </c>
      <c r="L137" s="11">
        <v>0</v>
      </c>
      <c r="M137" s="11">
        <f t="shared" ref="M137:M152" si="40">SUM(I137:L137)</f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f t="shared" ref="R137:R152" si="41">SUM(O137:Q137)</f>
        <v>0</v>
      </c>
      <c r="S137" s="11">
        <v>2419.4828851552084</v>
      </c>
      <c r="T137" s="11">
        <v>0</v>
      </c>
      <c r="U137" s="11">
        <v>0</v>
      </c>
      <c r="V137" s="11">
        <v>132.73062927221895</v>
      </c>
      <c r="W137" s="11">
        <f t="shared" ref="W137:W152" si="42">SUM(S137:V137)</f>
        <v>2552.2135144274271</v>
      </c>
      <c r="X137" s="11">
        <f t="shared" ref="X137:X152" si="43">SUM(N137,R137,W137)</f>
        <v>2552.2135144274271</v>
      </c>
      <c r="Y137" s="11">
        <v>0</v>
      </c>
      <c r="Z137" s="11">
        <f t="shared" ref="Z137:Z152" si="44">SUM(B137,H137,M137,X137:Y137)</f>
        <v>3065.7092010691749</v>
      </c>
    </row>
    <row r="138" spans="1:26" x14ac:dyDescent="0.2">
      <c r="A138" s="45" t="s">
        <v>185</v>
      </c>
      <c r="B138" s="11">
        <v>0</v>
      </c>
      <c r="C138" s="11">
        <v>0</v>
      </c>
      <c r="D138" s="11">
        <v>0</v>
      </c>
      <c r="E138" s="11">
        <v>13934.573220332331</v>
      </c>
      <c r="F138" s="11">
        <v>0</v>
      </c>
      <c r="G138" s="11">
        <v>0</v>
      </c>
      <c r="H138" s="11">
        <f t="shared" si="39"/>
        <v>13934.573220332331</v>
      </c>
      <c r="I138" s="11">
        <v>0</v>
      </c>
      <c r="J138" s="11">
        <v>0</v>
      </c>
      <c r="K138" s="11">
        <v>0</v>
      </c>
      <c r="L138" s="11">
        <v>2498.2442010023351</v>
      </c>
      <c r="M138" s="11">
        <f t="shared" si="40"/>
        <v>2498.2442010023351</v>
      </c>
      <c r="N138" s="11">
        <v>0</v>
      </c>
      <c r="O138" s="11">
        <v>0</v>
      </c>
      <c r="P138" s="11">
        <v>0</v>
      </c>
      <c r="Q138" s="11">
        <v>0</v>
      </c>
      <c r="R138" s="11">
        <f t="shared" si="41"/>
        <v>0</v>
      </c>
      <c r="S138" s="11">
        <v>-11962.07564252191</v>
      </c>
      <c r="T138" s="11">
        <v>0</v>
      </c>
      <c r="U138" s="11">
        <v>0</v>
      </c>
      <c r="V138" s="11">
        <v>8795.0497242484107</v>
      </c>
      <c r="W138" s="11">
        <f t="shared" si="42"/>
        <v>-3167.025918273499</v>
      </c>
      <c r="X138" s="11">
        <f t="shared" si="43"/>
        <v>-3167.025918273499</v>
      </c>
      <c r="Y138" s="11">
        <v>365.56573590730051</v>
      </c>
      <c r="Z138" s="11">
        <f t="shared" si="44"/>
        <v>13631.357238968467</v>
      </c>
    </row>
    <row r="139" spans="1:26" x14ac:dyDescent="0.2">
      <c r="A139" s="45" t="s">
        <v>186</v>
      </c>
      <c r="B139" s="11">
        <v>0</v>
      </c>
      <c r="C139" s="11">
        <v>0</v>
      </c>
      <c r="D139" s="11">
        <v>0</v>
      </c>
      <c r="E139" s="11">
        <v>0</v>
      </c>
      <c r="F139" s="11">
        <v>0</v>
      </c>
      <c r="G139" s="11">
        <v>0</v>
      </c>
      <c r="H139" s="11">
        <f t="shared" si="39"/>
        <v>0</v>
      </c>
      <c r="I139" s="11">
        <v>0</v>
      </c>
      <c r="J139" s="11">
        <v>0</v>
      </c>
      <c r="K139" s="11">
        <v>0</v>
      </c>
      <c r="L139" s="11">
        <v>9984.2583511894954</v>
      </c>
      <c r="M139" s="11">
        <f t="shared" si="40"/>
        <v>9984.2583511894954</v>
      </c>
      <c r="N139" s="11">
        <v>0</v>
      </c>
      <c r="O139" s="11">
        <v>0</v>
      </c>
      <c r="P139" s="11">
        <v>0</v>
      </c>
      <c r="Q139" s="11">
        <v>0</v>
      </c>
      <c r="R139" s="11">
        <f t="shared" si="41"/>
        <v>0</v>
      </c>
      <c r="S139" s="11">
        <v>0</v>
      </c>
      <c r="T139" s="11">
        <v>0</v>
      </c>
      <c r="U139" s="11">
        <v>0</v>
      </c>
      <c r="V139" s="11">
        <v>0</v>
      </c>
      <c r="W139" s="11">
        <f t="shared" si="42"/>
        <v>0</v>
      </c>
      <c r="X139" s="11">
        <f t="shared" si="43"/>
        <v>0</v>
      </c>
      <c r="Y139" s="11">
        <v>0</v>
      </c>
      <c r="Z139" s="11">
        <f t="shared" si="44"/>
        <v>9984.2583511894954</v>
      </c>
    </row>
    <row r="140" spans="1:26" x14ac:dyDescent="0.2">
      <c r="A140" s="45" t="s">
        <v>187</v>
      </c>
      <c r="B140" s="11">
        <v>0</v>
      </c>
      <c r="C140" s="11">
        <v>0</v>
      </c>
      <c r="D140" s="11">
        <v>0</v>
      </c>
      <c r="E140" s="11">
        <v>0</v>
      </c>
      <c r="F140" s="11">
        <v>0</v>
      </c>
      <c r="G140" s="11">
        <v>0</v>
      </c>
      <c r="H140" s="11">
        <f t="shared" si="39"/>
        <v>0</v>
      </c>
      <c r="I140" s="11">
        <v>0</v>
      </c>
      <c r="J140" s="11">
        <v>0</v>
      </c>
      <c r="K140" s="11">
        <v>0</v>
      </c>
      <c r="L140" s="11">
        <v>29.837497590497808</v>
      </c>
      <c r="M140" s="11">
        <f t="shared" si="40"/>
        <v>29.837497590497808</v>
      </c>
      <c r="N140" s="11">
        <v>0</v>
      </c>
      <c r="O140" s="11">
        <v>0</v>
      </c>
      <c r="P140" s="11">
        <v>0</v>
      </c>
      <c r="Q140" s="11">
        <v>0</v>
      </c>
      <c r="R140" s="11">
        <f t="shared" si="41"/>
        <v>0</v>
      </c>
      <c r="S140" s="11">
        <v>0</v>
      </c>
      <c r="T140" s="11">
        <v>0</v>
      </c>
      <c r="U140" s="11">
        <v>0</v>
      </c>
      <c r="V140" s="11">
        <v>0</v>
      </c>
      <c r="W140" s="11">
        <f t="shared" si="42"/>
        <v>0</v>
      </c>
      <c r="X140" s="11">
        <f t="shared" si="43"/>
        <v>0</v>
      </c>
      <c r="Y140" s="11">
        <v>0</v>
      </c>
      <c r="Z140" s="11">
        <f t="shared" si="44"/>
        <v>29.837497590497808</v>
      </c>
    </row>
    <row r="141" spans="1:26" x14ac:dyDescent="0.2">
      <c r="A141" s="45" t="s">
        <v>188</v>
      </c>
      <c r="B141" s="11">
        <v>509.19135313811159</v>
      </c>
      <c r="C141" s="11">
        <v>0</v>
      </c>
      <c r="D141" s="11">
        <v>3279.9861982610519</v>
      </c>
      <c r="E141" s="11">
        <v>0</v>
      </c>
      <c r="F141" s="11">
        <v>0</v>
      </c>
      <c r="G141" s="11">
        <v>3841.0829440959014</v>
      </c>
      <c r="H141" s="11">
        <f t="shared" si="39"/>
        <v>7121.0691423569533</v>
      </c>
      <c r="I141" s="11">
        <v>0</v>
      </c>
      <c r="J141" s="11">
        <v>0</v>
      </c>
      <c r="K141" s="11">
        <v>2465.639356619015</v>
      </c>
      <c r="L141" s="11">
        <v>1252.9686097619347</v>
      </c>
      <c r="M141" s="11">
        <f t="shared" si="40"/>
        <v>3718.6079663809496</v>
      </c>
      <c r="N141" s="11">
        <v>0</v>
      </c>
      <c r="O141" s="11">
        <v>0</v>
      </c>
      <c r="P141" s="11">
        <v>0</v>
      </c>
      <c r="Q141" s="11">
        <v>0</v>
      </c>
      <c r="R141" s="11">
        <f t="shared" si="41"/>
        <v>0</v>
      </c>
      <c r="S141" s="11">
        <v>0</v>
      </c>
      <c r="T141" s="11">
        <v>0</v>
      </c>
      <c r="U141" s="11">
        <v>0</v>
      </c>
      <c r="V141" s="11">
        <v>0</v>
      </c>
      <c r="W141" s="11">
        <f t="shared" si="42"/>
        <v>0</v>
      </c>
      <c r="X141" s="11">
        <f t="shared" si="43"/>
        <v>0</v>
      </c>
      <c r="Y141" s="11">
        <v>-117.73135825587805</v>
      </c>
      <c r="Z141" s="11">
        <f t="shared" si="44"/>
        <v>11231.137103620136</v>
      </c>
    </row>
    <row r="142" spans="1:26" x14ac:dyDescent="0.2">
      <c r="A142" s="45" t="s">
        <v>189</v>
      </c>
      <c r="B142" s="11">
        <v>0</v>
      </c>
      <c r="C142" s="11">
        <v>0</v>
      </c>
      <c r="D142" s="11">
        <v>2149.0577688341527</v>
      </c>
      <c r="E142" s="11">
        <v>0</v>
      </c>
      <c r="F142" s="11">
        <v>0</v>
      </c>
      <c r="G142" s="11">
        <v>3696.3010857006302</v>
      </c>
      <c r="H142" s="11">
        <f t="shared" si="39"/>
        <v>5845.3588545347829</v>
      </c>
      <c r="I142" s="11">
        <v>0</v>
      </c>
      <c r="J142" s="11">
        <v>0</v>
      </c>
      <c r="K142" s="11">
        <v>0</v>
      </c>
      <c r="L142" s="11">
        <v>1.696412692485</v>
      </c>
      <c r="M142" s="11">
        <f t="shared" si="40"/>
        <v>1.696412692485</v>
      </c>
      <c r="N142" s="11">
        <v>0</v>
      </c>
      <c r="O142" s="11">
        <v>0</v>
      </c>
      <c r="P142" s="11">
        <v>0</v>
      </c>
      <c r="Q142" s="11">
        <v>0</v>
      </c>
      <c r="R142" s="11">
        <f t="shared" si="41"/>
        <v>0</v>
      </c>
      <c r="S142" s="11">
        <v>0</v>
      </c>
      <c r="T142" s="11">
        <v>0</v>
      </c>
      <c r="U142" s="11">
        <v>11209.011004975924</v>
      </c>
      <c r="V142" s="11">
        <v>69.410874732090093</v>
      </c>
      <c r="W142" s="11">
        <f t="shared" si="42"/>
        <v>11278.421879708014</v>
      </c>
      <c r="X142" s="11">
        <f t="shared" si="43"/>
        <v>11278.421879708014</v>
      </c>
      <c r="Y142" s="11">
        <v>2505.2159579146455</v>
      </c>
      <c r="Z142" s="11">
        <f t="shared" si="44"/>
        <v>19630.693104849928</v>
      </c>
    </row>
    <row r="143" spans="1:26" x14ac:dyDescent="0.2">
      <c r="A143" s="45" t="s">
        <v>190</v>
      </c>
      <c r="B143" s="11">
        <v>0</v>
      </c>
      <c r="C143" s="11">
        <v>0</v>
      </c>
      <c r="D143" s="11">
        <v>0</v>
      </c>
      <c r="E143" s="11">
        <v>0</v>
      </c>
      <c r="F143" s="11">
        <v>0</v>
      </c>
      <c r="G143" s="11">
        <v>0</v>
      </c>
      <c r="H143" s="11">
        <f t="shared" si="39"/>
        <v>0</v>
      </c>
      <c r="I143" s="11">
        <v>0</v>
      </c>
      <c r="J143" s="11">
        <v>0</v>
      </c>
      <c r="K143" s="11">
        <v>0</v>
      </c>
      <c r="L143" s="11">
        <v>22523.566395327598</v>
      </c>
      <c r="M143" s="11">
        <f t="shared" si="40"/>
        <v>22523.566395327598</v>
      </c>
      <c r="N143" s="11">
        <v>0</v>
      </c>
      <c r="O143" s="11">
        <v>0</v>
      </c>
      <c r="P143" s="11">
        <v>0</v>
      </c>
      <c r="Q143" s="11">
        <v>0</v>
      </c>
      <c r="R143" s="11">
        <f t="shared" si="41"/>
        <v>0</v>
      </c>
      <c r="S143" s="11">
        <v>0</v>
      </c>
      <c r="T143" s="11">
        <v>0</v>
      </c>
      <c r="U143" s="11">
        <v>0</v>
      </c>
      <c r="V143" s="11">
        <v>0</v>
      </c>
      <c r="W143" s="11">
        <f t="shared" si="42"/>
        <v>0</v>
      </c>
      <c r="X143" s="11">
        <f t="shared" si="43"/>
        <v>0</v>
      </c>
      <c r="Y143" s="11">
        <v>0</v>
      </c>
      <c r="Z143" s="11">
        <f t="shared" si="44"/>
        <v>22523.566395327598</v>
      </c>
    </row>
    <row r="144" spans="1:26" x14ac:dyDescent="0.2">
      <c r="A144" s="45" t="s">
        <v>191</v>
      </c>
      <c r="B144" s="11">
        <v>0</v>
      </c>
      <c r="C144" s="11">
        <v>0</v>
      </c>
      <c r="D144" s="11">
        <v>0</v>
      </c>
      <c r="E144" s="11">
        <v>0</v>
      </c>
      <c r="F144" s="11">
        <v>0</v>
      </c>
      <c r="G144" s="11">
        <v>0</v>
      </c>
      <c r="H144" s="11">
        <f t="shared" si="39"/>
        <v>0</v>
      </c>
      <c r="I144" s="11">
        <v>0</v>
      </c>
      <c r="J144" s="11">
        <v>0</v>
      </c>
      <c r="K144" s="11">
        <v>0</v>
      </c>
      <c r="L144" s="11">
        <v>191001.67622754484</v>
      </c>
      <c r="M144" s="11">
        <f t="shared" si="40"/>
        <v>191001.67622754484</v>
      </c>
      <c r="N144" s="11">
        <v>0</v>
      </c>
      <c r="O144" s="11">
        <v>0</v>
      </c>
      <c r="P144" s="11">
        <v>0</v>
      </c>
      <c r="Q144" s="11">
        <v>0</v>
      </c>
      <c r="R144" s="11">
        <f t="shared" si="41"/>
        <v>0</v>
      </c>
      <c r="S144" s="11">
        <v>0</v>
      </c>
      <c r="T144" s="11">
        <v>0</v>
      </c>
      <c r="U144" s="11">
        <v>0</v>
      </c>
      <c r="V144" s="11">
        <v>0</v>
      </c>
      <c r="W144" s="11">
        <f t="shared" si="42"/>
        <v>0</v>
      </c>
      <c r="X144" s="11">
        <f t="shared" si="43"/>
        <v>0</v>
      </c>
      <c r="Y144" s="11">
        <v>29.482370172457877</v>
      </c>
      <c r="Z144" s="11">
        <f t="shared" si="44"/>
        <v>191031.15859771729</v>
      </c>
    </row>
    <row r="145" spans="1:26" x14ac:dyDescent="0.2">
      <c r="A145" s="45" t="s">
        <v>192</v>
      </c>
      <c r="B145" s="11">
        <v>0</v>
      </c>
      <c r="C145" s="11">
        <v>0</v>
      </c>
      <c r="D145" s="11">
        <v>0</v>
      </c>
      <c r="E145" s="11">
        <v>0</v>
      </c>
      <c r="F145" s="11">
        <v>0</v>
      </c>
      <c r="G145" s="11">
        <v>0</v>
      </c>
      <c r="H145" s="11">
        <f t="shared" si="39"/>
        <v>0</v>
      </c>
      <c r="I145" s="11">
        <v>0</v>
      </c>
      <c r="J145" s="11">
        <v>0</v>
      </c>
      <c r="K145" s="11">
        <v>0</v>
      </c>
      <c r="L145" s="11">
        <v>391.26642767434964</v>
      </c>
      <c r="M145" s="11">
        <f t="shared" si="40"/>
        <v>391.26642767434964</v>
      </c>
      <c r="N145" s="11">
        <v>0</v>
      </c>
      <c r="O145" s="11">
        <v>0</v>
      </c>
      <c r="P145" s="11">
        <v>0</v>
      </c>
      <c r="Q145" s="11">
        <v>0</v>
      </c>
      <c r="R145" s="11">
        <f t="shared" si="41"/>
        <v>0</v>
      </c>
      <c r="S145" s="11">
        <v>0</v>
      </c>
      <c r="T145" s="11">
        <v>0</v>
      </c>
      <c r="U145" s="11">
        <v>1222.1769054649287</v>
      </c>
      <c r="V145" s="11">
        <v>0</v>
      </c>
      <c r="W145" s="11">
        <f t="shared" si="42"/>
        <v>1222.1769054649287</v>
      </c>
      <c r="X145" s="11">
        <f t="shared" si="43"/>
        <v>1222.1769054649287</v>
      </c>
      <c r="Y145" s="11">
        <v>0</v>
      </c>
      <c r="Z145" s="11">
        <f t="shared" si="44"/>
        <v>1613.4433331392784</v>
      </c>
    </row>
    <row r="146" spans="1:26" x14ac:dyDescent="0.2">
      <c r="A146" s="45" t="s">
        <v>193</v>
      </c>
      <c r="B146" s="11">
        <v>0</v>
      </c>
      <c r="C146" s="11">
        <v>0</v>
      </c>
      <c r="D146" s="11">
        <v>346.88958089479735</v>
      </c>
      <c r="E146" s="11">
        <v>26329.374715420232</v>
      </c>
      <c r="F146" s="11">
        <v>0</v>
      </c>
      <c r="G146" s="11">
        <v>860.56854541573296</v>
      </c>
      <c r="H146" s="11">
        <f t="shared" si="39"/>
        <v>27536.83284173076</v>
      </c>
      <c r="I146" s="11">
        <v>0</v>
      </c>
      <c r="J146" s="11">
        <v>0</v>
      </c>
      <c r="K146" s="11">
        <v>0</v>
      </c>
      <c r="L146" s="11">
        <v>80848.405327733286</v>
      </c>
      <c r="M146" s="11">
        <f t="shared" si="40"/>
        <v>80848.405327733286</v>
      </c>
      <c r="N146" s="11">
        <v>0</v>
      </c>
      <c r="O146" s="11">
        <v>0</v>
      </c>
      <c r="P146" s="11">
        <v>0</v>
      </c>
      <c r="Q146" s="11">
        <v>0</v>
      </c>
      <c r="R146" s="11">
        <f t="shared" si="41"/>
        <v>0</v>
      </c>
      <c r="S146" s="11">
        <v>0</v>
      </c>
      <c r="T146" s="11">
        <v>0</v>
      </c>
      <c r="U146" s="11">
        <v>1080.4563398223384</v>
      </c>
      <c r="V146" s="11">
        <v>2724.3197106960338</v>
      </c>
      <c r="W146" s="11">
        <f t="shared" si="42"/>
        <v>3804.7760505183724</v>
      </c>
      <c r="X146" s="11">
        <f t="shared" si="43"/>
        <v>3804.7760505183724</v>
      </c>
      <c r="Y146" s="11">
        <v>-8156.2677796695634</v>
      </c>
      <c r="Z146" s="11">
        <f t="shared" si="44"/>
        <v>104033.74644031285</v>
      </c>
    </row>
    <row r="147" spans="1:26" x14ac:dyDescent="0.2">
      <c r="A147" s="45" t="s">
        <v>194</v>
      </c>
      <c r="B147" s="11">
        <v>0</v>
      </c>
      <c r="C147" s="11">
        <v>0</v>
      </c>
      <c r="D147" s="11">
        <v>0</v>
      </c>
      <c r="E147" s="11">
        <v>0</v>
      </c>
      <c r="F147" s="11">
        <v>0</v>
      </c>
      <c r="G147" s="11">
        <v>0</v>
      </c>
      <c r="H147" s="11">
        <f t="shared" si="39"/>
        <v>0</v>
      </c>
      <c r="I147" s="11">
        <v>0</v>
      </c>
      <c r="J147" s="11">
        <v>0</v>
      </c>
      <c r="K147" s="11">
        <v>0</v>
      </c>
      <c r="L147" s="11">
        <v>2457.4198613853246</v>
      </c>
      <c r="M147" s="11">
        <f t="shared" si="40"/>
        <v>2457.4198613853246</v>
      </c>
      <c r="N147" s="11">
        <v>0</v>
      </c>
      <c r="O147" s="11">
        <v>0</v>
      </c>
      <c r="P147" s="11">
        <v>0</v>
      </c>
      <c r="Q147" s="11">
        <v>0</v>
      </c>
      <c r="R147" s="11">
        <f t="shared" si="41"/>
        <v>0</v>
      </c>
      <c r="S147" s="11">
        <v>0</v>
      </c>
      <c r="T147" s="11">
        <v>0</v>
      </c>
      <c r="U147" s="11">
        <v>0</v>
      </c>
      <c r="V147" s="11">
        <v>0</v>
      </c>
      <c r="W147" s="11">
        <f t="shared" si="42"/>
        <v>0</v>
      </c>
      <c r="X147" s="11">
        <f t="shared" si="43"/>
        <v>0</v>
      </c>
      <c r="Y147" s="11">
        <v>0</v>
      </c>
      <c r="Z147" s="11">
        <f t="shared" si="44"/>
        <v>2457.4198613853246</v>
      </c>
    </row>
    <row r="148" spans="1:26" x14ac:dyDescent="0.2">
      <c r="A148" s="45" t="s">
        <v>195</v>
      </c>
      <c r="B148" s="11">
        <v>0</v>
      </c>
      <c r="C148" s="11">
        <v>0</v>
      </c>
      <c r="D148" s="11">
        <v>34789.235941986044</v>
      </c>
      <c r="E148" s="11">
        <v>0</v>
      </c>
      <c r="F148" s="11">
        <v>0</v>
      </c>
      <c r="G148" s="11">
        <v>0</v>
      </c>
      <c r="H148" s="11">
        <f t="shared" si="39"/>
        <v>34789.235941986044</v>
      </c>
      <c r="I148" s="11">
        <v>0</v>
      </c>
      <c r="J148" s="11">
        <v>0</v>
      </c>
      <c r="K148" s="11">
        <v>0</v>
      </c>
      <c r="L148" s="11">
        <v>45481.737991949682</v>
      </c>
      <c r="M148" s="11">
        <f t="shared" si="40"/>
        <v>45481.737991949682</v>
      </c>
      <c r="N148" s="11">
        <v>0</v>
      </c>
      <c r="O148" s="11">
        <v>0</v>
      </c>
      <c r="P148" s="11">
        <v>0</v>
      </c>
      <c r="Q148" s="11">
        <v>0</v>
      </c>
      <c r="R148" s="11">
        <f t="shared" si="41"/>
        <v>0</v>
      </c>
      <c r="S148" s="11">
        <v>0</v>
      </c>
      <c r="T148" s="11">
        <v>0</v>
      </c>
      <c r="U148" s="11">
        <v>18217.671401812764</v>
      </c>
      <c r="V148" s="11">
        <v>42315.498092550115</v>
      </c>
      <c r="W148" s="11">
        <f t="shared" si="42"/>
        <v>60533.169494362883</v>
      </c>
      <c r="X148" s="11">
        <f t="shared" si="43"/>
        <v>60533.169494362883</v>
      </c>
      <c r="Y148" s="11">
        <v>60630.276412230371</v>
      </c>
      <c r="Z148" s="11">
        <f t="shared" si="44"/>
        <v>201434.41984052895</v>
      </c>
    </row>
    <row r="149" spans="1:26" x14ac:dyDescent="0.2">
      <c r="A149" s="45" t="s">
        <v>196</v>
      </c>
      <c r="B149" s="11">
        <v>0</v>
      </c>
      <c r="C149" s="11">
        <v>0</v>
      </c>
      <c r="D149" s="11">
        <v>0</v>
      </c>
      <c r="E149" s="11">
        <v>0</v>
      </c>
      <c r="F149" s="11">
        <v>0</v>
      </c>
      <c r="G149" s="11">
        <v>0</v>
      </c>
      <c r="H149" s="11">
        <f t="shared" si="39"/>
        <v>0</v>
      </c>
      <c r="I149" s="11">
        <v>0</v>
      </c>
      <c r="J149" s="11">
        <v>0</v>
      </c>
      <c r="K149" s="11">
        <v>0</v>
      </c>
      <c r="L149" s="11">
        <v>12008.346017201886</v>
      </c>
      <c r="M149" s="11">
        <f t="shared" si="40"/>
        <v>12008.346017201886</v>
      </c>
      <c r="N149" s="11">
        <v>0</v>
      </c>
      <c r="O149" s="11">
        <v>0</v>
      </c>
      <c r="P149" s="11">
        <v>0</v>
      </c>
      <c r="Q149" s="11">
        <v>0</v>
      </c>
      <c r="R149" s="11">
        <f t="shared" si="41"/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f t="shared" si="42"/>
        <v>0</v>
      </c>
      <c r="X149" s="11">
        <f t="shared" si="43"/>
        <v>0</v>
      </c>
      <c r="Y149" s="11">
        <v>0</v>
      </c>
      <c r="Z149" s="11">
        <f t="shared" si="44"/>
        <v>12008.346017201886</v>
      </c>
    </row>
    <row r="150" spans="1:26" x14ac:dyDescent="0.2">
      <c r="A150" s="45" t="s">
        <v>197</v>
      </c>
      <c r="B150" s="11">
        <v>0</v>
      </c>
      <c r="C150" s="11">
        <v>7718.5897637311155</v>
      </c>
      <c r="D150" s="11">
        <v>3082.6357247236942</v>
      </c>
      <c r="E150" s="11">
        <v>15548.915496783853</v>
      </c>
      <c r="F150" s="11">
        <v>0</v>
      </c>
      <c r="G150" s="11">
        <v>0</v>
      </c>
      <c r="H150" s="11">
        <f t="shared" si="39"/>
        <v>26350.140985238664</v>
      </c>
      <c r="I150" s="11">
        <v>0</v>
      </c>
      <c r="J150" s="11">
        <v>0</v>
      </c>
      <c r="K150" s="11">
        <v>0</v>
      </c>
      <c r="L150" s="11">
        <v>363071.58651584061</v>
      </c>
      <c r="M150" s="11">
        <f t="shared" si="40"/>
        <v>363071.58651584061</v>
      </c>
      <c r="N150" s="11">
        <v>0</v>
      </c>
      <c r="O150" s="11">
        <v>821.40702346978844</v>
      </c>
      <c r="P150" s="11">
        <v>0</v>
      </c>
      <c r="Q150" s="11">
        <v>0</v>
      </c>
      <c r="R150" s="11">
        <f t="shared" si="41"/>
        <v>821.40702346978844</v>
      </c>
      <c r="S150" s="11">
        <v>0</v>
      </c>
      <c r="T150" s="11">
        <v>0</v>
      </c>
      <c r="U150" s="11">
        <v>33743.769552076817</v>
      </c>
      <c r="V150" s="11">
        <v>88524.754888719588</v>
      </c>
      <c r="W150" s="11">
        <f t="shared" si="42"/>
        <v>122268.52444079641</v>
      </c>
      <c r="X150" s="11">
        <f t="shared" si="43"/>
        <v>123089.93146426619</v>
      </c>
      <c r="Y150" s="11">
        <v>272984.50347869785</v>
      </c>
      <c r="Z150" s="11">
        <f t="shared" si="44"/>
        <v>785496.16244404332</v>
      </c>
    </row>
    <row r="151" spans="1:26" x14ac:dyDescent="0.2">
      <c r="A151" s="45" t="s">
        <v>198</v>
      </c>
      <c r="B151" s="11">
        <v>0</v>
      </c>
      <c r="C151" s="11">
        <v>0</v>
      </c>
      <c r="D151" s="11">
        <v>0</v>
      </c>
      <c r="E151" s="11">
        <v>0</v>
      </c>
      <c r="F151" s="11">
        <v>0</v>
      </c>
      <c r="G151" s="11">
        <v>62216.067976990511</v>
      </c>
      <c r="H151" s="11">
        <f t="shared" si="39"/>
        <v>62216.067976990511</v>
      </c>
      <c r="I151" s="11">
        <v>1467.5182207633675</v>
      </c>
      <c r="J151" s="11">
        <v>0</v>
      </c>
      <c r="K151" s="11">
        <v>13552.146994970859</v>
      </c>
      <c r="L151" s="11">
        <v>0</v>
      </c>
      <c r="M151" s="11">
        <f t="shared" si="40"/>
        <v>15019.665215734227</v>
      </c>
      <c r="N151" s="11">
        <v>0</v>
      </c>
      <c r="O151" s="11">
        <v>0</v>
      </c>
      <c r="P151" s="11">
        <v>0</v>
      </c>
      <c r="Q151" s="11">
        <v>0</v>
      </c>
      <c r="R151" s="11">
        <f t="shared" si="41"/>
        <v>0</v>
      </c>
      <c r="S151" s="11">
        <v>3563.1674275820269</v>
      </c>
      <c r="T151" s="11">
        <v>0</v>
      </c>
      <c r="U151" s="11">
        <v>1217.0227127885596</v>
      </c>
      <c r="V151" s="11">
        <v>9429.5341235613269</v>
      </c>
      <c r="W151" s="11">
        <f t="shared" si="42"/>
        <v>14209.724263931914</v>
      </c>
      <c r="X151" s="11">
        <f t="shared" si="43"/>
        <v>14209.724263931914</v>
      </c>
      <c r="Y151" s="11">
        <v>166651.39847170582</v>
      </c>
      <c r="Z151" s="11">
        <f t="shared" si="44"/>
        <v>258096.85592836246</v>
      </c>
    </row>
    <row r="152" spans="1:26" x14ac:dyDescent="0.2">
      <c r="A152" s="45" t="s">
        <v>199</v>
      </c>
      <c r="B152" s="11">
        <v>0</v>
      </c>
      <c r="C152" s="11">
        <v>0</v>
      </c>
      <c r="D152" s="11">
        <v>1394.294562158776</v>
      </c>
      <c r="E152" s="11">
        <v>0</v>
      </c>
      <c r="F152" s="11">
        <v>0</v>
      </c>
      <c r="G152" s="11">
        <v>11788.298983846862</v>
      </c>
      <c r="H152" s="11">
        <f t="shared" si="39"/>
        <v>13182.593546005639</v>
      </c>
      <c r="I152" s="11">
        <v>0</v>
      </c>
      <c r="J152" s="11">
        <v>0</v>
      </c>
      <c r="K152" s="11">
        <v>0</v>
      </c>
      <c r="L152" s="11">
        <v>59272.265929421541</v>
      </c>
      <c r="M152" s="11">
        <f t="shared" si="40"/>
        <v>59272.265929421541</v>
      </c>
      <c r="N152" s="11">
        <v>0</v>
      </c>
      <c r="O152" s="11">
        <v>0</v>
      </c>
      <c r="P152" s="11">
        <v>0</v>
      </c>
      <c r="Q152" s="11">
        <v>0</v>
      </c>
      <c r="R152" s="11">
        <f t="shared" si="41"/>
        <v>0</v>
      </c>
      <c r="S152" s="11">
        <v>805.30793284670187</v>
      </c>
      <c r="T152" s="11">
        <v>0</v>
      </c>
      <c r="U152" s="11">
        <v>20897.540523404892</v>
      </c>
      <c r="V152" s="11">
        <v>0</v>
      </c>
      <c r="W152" s="11">
        <f t="shared" si="42"/>
        <v>21702.848456251595</v>
      </c>
      <c r="X152" s="11">
        <f t="shared" si="43"/>
        <v>21702.848456251595</v>
      </c>
      <c r="Y152" s="11">
        <v>8569.1017681333651</v>
      </c>
      <c r="Z152" s="11">
        <f t="shared" si="44"/>
        <v>102726.80969981213</v>
      </c>
    </row>
    <row r="153" spans="1:26" ht="10.5" x14ac:dyDescent="0.25">
      <c r="A153" s="7" t="s">
        <v>200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x14ac:dyDescent="0.2">
      <c r="A154" s="8" t="s">
        <v>201</v>
      </c>
      <c r="B154" s="11">
        <v>0</v>
      </c>
      <c r="C154" s="11">
        <v>0</v>
      </c>
      <c r="D154" s="11">
        <v>0</v>
      </c>
      <c r="E154" s="11">
        <v>0</v>
      </c>
      <c r="F154" s="11">
        <v>0</v>
      </c>
      <c r="G154" s="11">
        <v>0</v>
      </c>
      <c r="H154" s="11">
        <f>SUM(C154:G154)</f>
        <v>0</v>
      </c>
      <c r="I154" s="11">
        <v>0</v>
      </c>
      <c r="J154" s="11">
        <v>0</v>
      </c>
      <c r="K154" s="11">
        <v>0</v>
      </c>
      <c r="L154" s="11">
        <v>3524.1875070885421</v>
      </c>
      <c r="M154" s="11">
        <f>SUM(I154:L154)</f>
        <v>3524.1875070885421</v>
      </c>
      <c r="N154" s="11">
        <v>0</v>
      </c>
      <c r="O154" s="11">
        <v>0</v>
      </c>
      <c r="P154" s="11">
        <v>0</v>
      </c>
      <c r="Q154" s="11">
        <v>0</v>
      </c>
      <c r="R154" s="11">
        <f>SUM(O154:Q154)</f>
        <v>0</v>
      </c>
      <c r="S154" s="11">
        <v>0</v>
      </c>
      <c r="T154" s="11">
        <v>0</v>
      </c>
      <c r="U154" s="11">
        <v>0</v>
      </c>
      <c r="V154" s="11">
        <v>0</v>
      </c>
      <c r="W154" s="11">
        <f>SUM(S154:V154)</f>
        <v>0</v>
      </c>
      <c r="X154" s="11">
        <f>SUM(N154,R154,W154)</f>
        <v>0</v>
      </c>
      <c r="Y154" s="11">
        <v>105461.55883329862</v>
      </c>
      <c r="Z154" s="11">
        <f>SUM(B154,H154,M154,X154:Y154)</f>
        <v>108985.74634038717</v>
      </c>
    </row>
    <row r="155" spans="1:26" x14ac:dyDescent="0.2">
      <c r="A155" s="8" t="s">
        <v>202</v>
      </c>
      <c r="B155" s="11">
        <v>0</v>
      </c>
      <c r="C155" s="11">
        <v>0</v>
      </c>
      <c r="D155" s="11">
        <v>0</v>
      </c>
      <c r="E155" s="11">
        <v>0</v>
      </c>
      <c r="F155" s="11">
        <v>0</v>
      </c>
      <c r="G155" s="11">
        <v>0</v>
      </c>
      <c r="H155" s="11">
        <f>SUM(C155:G155)</f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f>SUM(I155:L155)</f>
        <v>0</v>
      </c>
      <c r="N155" s="11">
        <v>0</v>
      </c>
      <c r="O155" s="11">
        <v>0</v>
      </c>
      <c r="P155" s="11">
        <v>0</v>
      </c>
      <c r="Q155" s="11">
        <v>0</v>
      </c>
      <c r="R155" s="11">
        <f>SUM(O155:Q155)</f>
        <v>0</v>
      </c>
      <c r="S155" s="11">
        <v>0</v>
      </c>
      <c r="T155" s="11">
        <v>0</v>
      </c>
      <c r="U155" s="11">
        <v>0</v>
      </c>
      <c r="V155" s="11">
        <v>0</v>
      </c>
      <c r="W155" s="11">
        <f>SUM(S155:V155)</f>
        <v>0</v>
      </c>
      <c r="X155" s="11">
        <f>SUM(N155,R155,W155)</f>
        <v>0</v>
      </c>
      <c r="Y155" s="11">
        <v>30.815631614654119</v>
      </c>
      <c r="Z155" s="11">
        <f>SUM(B155,H155,M155,X155:Y155)</f>
        <v>30.815631614654119</v>
      </c>
    </row>
    <row r="156" spans="1:26" ht="10.5" x14ac:dyDescent="0.25">
      <c r="A156" s="12" t="s">
        <v>203</v>
      </c>
      <c r="B156" s="13">
        <f t="shared" ref="B156:Z156" si="45">SUM(B154:B155)</f>
        <v>0</v>
      </c>
      <c r="C156" s="13">
        <f t="shared" si="45"/>
        <v>0</v>
      </c>
      <c r="D156" s="13">
        <f t="shared" si="45"/>
        <v>0</v>
      </c>
      <c r="E156" s="13">
        <f t="shared" si="45"/>
        <v>0</v>
      </c>
      <c r="F156" s="13">
        <f t="shared" si="45"/>
        <v>0</v>
      </c>
      <c r="G156" s="13">
        <f t="shared" si="45"/>
        <v>0</v>
      </c>
      <c r="H156" s="13">
        <f t="shared" si="45"/>
        <v>0</v>
      </c>
      <c r="I156" s="13">
        <f t="shared" si="45"/>
        <v>0</v>
      </c>
      <c r="J156" s="13">
        <f t="shared" si="45"/>
        <v>0</v>
      </c>
      <c r="K156" s="13">
        <f t="shared" si="45"/>
        <v>0</v>
      </c>
      <c r="L156" s="13">
        <f t="shared" si="45"/>
        <v>3524.1875070885421</v>
      </c>
      <c r="M156" s="13">
        <f t="shared" si="45"/>
        <v>3524.1875070885421</v>
      </c>
      <c r="N156" s="13">
        <f t="shared" si="45"/>
        <v>0</v>
      </c>
      <c r="O156" s="13">
        <f t="shared" si="45"/>
        <v>0</v>
      </c>
      <c r="P156" s="13">
        <f t="shared" si="45"/>
        <v>0</v>
      </c>
      <c r="Q156" s="13">
        <f t="shared" si="45"/>
        <v>0</v>
      </c>
      <c r="R156" s="13">
        <f t="shared" si="45"/>
        <v>0</v>
      </c>
      <c r="S156" s="13">
        <f t="shared" si="45"/>
        <v>0</v>
      </c>
      <c r="T156" s="13">
        <f t="shared" si="45"/>
        <v>0</v>
      </c>
      <c r="U156" s="13">
        <f t="shared" si="45"/>
        <v>0</v>
      </c>
      <c r="V156" s="13">
        <f t="shared" si="45"/>
        <v>0</v>
      </c>
      <c r="W156" s="13">
        <f t="shared" si="45"/>
        <v>0</v>
      </c>
      <c r="X156" s="13">
        <f t="shared" si="45"/>
        <v>0</v>
      </c>
      <c r="Y156" s="13">
        <f t="shared" si="45"/>
        <v>105492.37446491327</v>
      </c>
      <c r="Z156" s="13">
        <f t="shared" si="45"/>
        <v>109016.56197200181</v>
      </c>
    </row>
    <row r="157" spans="1:26" ht="10.5" x14ac:dyDescent="0.25">
      <c r="A157" s="7" t="s">
        <v>204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x14ac:dyDescent="0.2">
      <c r="A158" s="8" t="s">
        <v>205</v>
      </c>
      <c r="B158" s="11">
        <v>0</v>
      </c>
      <c r="C158" s="11">
        <v>0</v>
      </c>
      <c r="D158" s="11">
        <v>0</v>
      </c>
      <c r="E158" s="11">
        <v>42996.394563435548</v>
      </c>
      <c r="F158" s="11">
        <v>0</v>
      </c>
      <c r="G158" s="11">
        <v>390784.11930922203</v>
      </c>
      <c r="H158" s="11">
        <f>SUM(C158:G158)</f>
        <v>433780.51387265755</v>
      </c>
      <c r="I158" s="11">
        <v>0</v>
      </c>
      <c r="J158" s="11">
        <v>0</v>
      </c>
      <c r="K158" s="11">
        <v>2692.7303485450284</v>
      </c>
      <c r="L158" s="11">
        <v>30421.907061444246</v>
      </c>
      <c r="M158" s="11">
        <f>SUM(I158:L158)</f>
        <v>33114.637409989271</v>
      </c>
      <c r="N158" s="11">
        <v>0</v>
      </c>
      <c r="O158" s="11">
        <v>0</v>
      </c>
      <c r="P158" s="11">
        <v>0</v>
      </c>
      <c r="Q158" s="11">
        <v>967.47490350837177</v>
      </c>
      <c r="R158" s="11">
        <f>SUM(O158:Q158)</f>
        <v>967.47490350837177</v>
      </c>
      <c r="S158" s="11">
        <v>-23506.6727765326</v>
      </c>
      <c r="T158" s="11">
        <v>12236.295741471917</v>
      </c>
      <c r="U158" s="11">
        <v>46659.417842498246</v>
      </c>
      <c r="V158" s="11">
        <v>39478.272309515873</v>
      </c>
      <c r="W158" s="11">
        <f>SUM(S158:V158)</f>
        <v>74867.313116953432</v>
      </c>
      <c r="X158" s="11">
        <f>SUM(N158,R158,W158)</f>
        <v>75834.788020461798</v>
      </c>
      <c r="Y158" s="11">
        <v>7393.0038891466302</v>
      </c>
      <c r="Z158" s="11">
        <f>SUM(B158,H158,M158,X158:Y158)</f>
        <v>550122.94319225522</v>
      </c>
    </row>
    <row r="159" spans="1:26" x14ac:dyDescent="0.2">
      <c r="A159" s="8" t="s">
        <v>206</v>
      </c>
      <c r="B159" s="11">
        <v>0</v>
      </c>
      <c r="C159" s="11">
        <v>0</v>
      </c>
      <c r="D159" s="11">
        <v>2288.4557960173324</v>
      </c>
      <c r="E159" s="11">
        <v>281531.99435751367</v>
      </c>
      <c r="F159" s="11">
        <v>0</v>
      </c>
      <c r="G159" s="11">
        <v>-53370.756852675171</v>
      </c>
      <c r="H159" s="11">
        <f>SUM(C159:G159)</f>
        <v>230449.69330085581</v>
      </c>
      <c r="I159" s="11">
        <v>0</v>
      </c>
      <c r="J159" s="11">
        <v>0</v>
      </c>
      <c r="K159" s="11">
        <v>0</v>
      </c>
      <c r="L159" s="11">
        <v>62558.486504596804</v>
      </c>
      <c r="M159" s="11">
        <f>SUM(I159:L159)</f>
        <v>62558.486504596804</v>
      </c>
      <c r="N159" s="11">
        <v>-11360.490345551139</v>
      </c>
      <c r="O159" s="11">
        <v>0</v>
      </c>
      <c r="P159" s="11">
        <v>0</v>
      </c>
      <c r="Q159" s="11">
        <v>0</v>
      </c>
      <c r="R159" s="11">
        <f>SUM(O159:Q159)</f>
        <v>0</v>
      </c>
      <c r="S159" s="11">
        <v>-6990.2682349213201</v>
      </c>
      <c r="T159" s="11">
        <v>0</v>
      </c>
      <c r="U159" s="11">
        <v>460.09182828498473</v>
      </c>
      <c r="V159" s="11">
        <v>31372.979024214947</v>
      </c>
      <c r="W159" s="11">
        <f>SUM(S159:V159)</f>
        <v>24842.802617578611</v>
      </c>
      <c r="X159" s="11">
        <f>SUM(N159,R159,W159)</f>
        <v>13482.312272027471</v>
      </c>
      <c r="Y159" s="11">
        <v>-12243.872227540885</v>
      </c>
      <c r="Z159" s="11">
        <f>SUM(B159,H159,M159,X159:Y159)</f>
        <v>294246.61984993919</v>
      </c>
    </row>
    <row r="160" spans="1:26" ht="10.5" x14ac:dyDescent="0.25">
      <c r="A160" s="12" t="s">
        <v>207</v>
      </c>
      <c r="B160" s="13">
        <f t="shared" ref="B160:Z160" si="46">SUM(B158:B159)</f>
        <v>0</v>
      </c>
      <c r="C160" s="13">
        <f t="shared" si="46"/>
        <v>0</v>
      </c>
      <c r="D160" s="13">
        <f t="shared" si="46"/>
        <v>2288.4557960173324</v>
      </c>
      <c r="E160" s="13">
        <f t="shared" si="46"/>
        <v>324528.38892094919</v>
      </c>
      <c r="F160" s="13">
        <f t="shared" si="46"/>
        <v>0</v>
      </c>
      <c r="G160" s="13">
        <f t="shared" si="46"/>
        <v>337413.36245654686</v>
      </c>
      <c r="H160" s="13">
        <f t="shared" si="46"/>
        <v>664230.20717351336</v>
      </c>
      <c r="I160" s="13">
        <f t="shared" si="46"/>
        <v>0</v>
      </c>
      <c r="J160" s="13">
        <f t="shared" si="46"/>
        <v>0</v>
      </c>
      <c r="K160" s="13">
        <f t="shared" si="46"/>
        <v>2692.7303485450284</v>
      </c>
      <c r="L160" s="13">
        <f t="shared" si="46"/>
        <v>92980.39356604105</v>
      </c>
      <c r="M160" s="13">
        <f t="shared" si="46"/>
        <v>95673.123914586075</v>
      </c>
      <c r="N160" s="13">
        <f t="shared" si="46"/>
        <v>-11360.490345551139</v>
      </c>
      <c r="O160" s="13">
        <f t="shared" si="46"/>
        <v>0</v>
      </c>
      <c r="P160" s="13">
        <f t="shared" si="46"/>
        <v>0</v>
      </c>
      <c r="Q160" s="13">
        <f t="shared" si="46"/>
        <v>967.47490350837177</v>
      </c>
      <c r="R160" s="13">
        <f t="shared" si="46"/>
        <v>967.47490350837177</v>
      </c>
      <c r="S160" s="13">
        <f t="shared" si="46"/>
        <v>-30496.941011453921</v>
      </c>
      <c r="T160" s="13">
        <f t="shared" si="46"/>
        <v>12236.295741471917</v>
      </c>
      <c r="U160" s="13">
        <f t="shared" si="46"/>
        <v>47119.509670783227</v>
      </c>
      <c r="V160" s="13">
        <f t="shared" si="46"/>
        <v>70851.251333730819</v>
      </c>
      <c r="W160" s="13">
        <f t="shared" si="46"/>
        <v>99710.115734532039</v>
      </c>
      <c r="X160" s="13">
        <f t="shared" si="46"/>
        <v>89317.100292489267</v>
      </c>
      <c r="Y160" s="13">
        <f t="shared" si="46"/>
        <v>-4850.8683383942553</v>
      </c>
      <c r="Z160" s="13">
        <f t="shared" si="46"/>
        <v>844369.56304219435</v>
      </c>
    </row>
    <row r="161" spans="1:26" ht="10.5" x14ac:dyDescent="0.25">
      <c r="A161" s="14" t="s">
        <v>208</v>
      </c>
      <c r="B161" s="13">
        <f t="shared" ref="B161:Z161" si="47">SUM(B137:B152,B156,B160)</f>
        <v>509.19135313811159</v>
      </c>
      <c r="C161" s="13">
        <f t="shared" si="47"/>
        <v>7718.5897637311155</v>
      </c>
      <c r="D161" s="13">
        <f t="shared" si="47"/>
        <v>47364.923025225697</v>
      </c>
      <c r="E161" s="13">
        <f t="shared" si="47"/>
        <v>380341.25235348562</v>
      </c>
      <c r="F161" s="13">
        <f t="shared" si="47"/>
        <v>0</v>
      </c>
      <c r="G161" s="13">
        <f t="shared" si="47"/>
        <v>420294.8102268884</v>
      </c>
      <c r="H161" s="13">
        <f t="shared" si="47"/>
        <v>855719.57536933082</v>
      </c>
      <c r="I161" s="13">
        <f t="shared" si="47"/>
        <v>1467.5182207633675</v>
      </c>
      <c r="J161" s="13">
        <f t="shared" si="47"/>
        <v>0</v>
      </c>
      <c r="K161" s="13">
        <f t="shared" si="47"/>
        <v>18710.516700134904</v>
      </c>
      <c r="L161" s="13">
        <f t="shared" si="47"/>
        <v>887327.8568394453</v>
      </c>
      <c r="M161" s="13">
        <f t="shared" si="47"/>
        <v>907505.89176034369</v>
      </c>
      <c r="N161" s="13">
        <f t="shared" si="47"/>
        <v>-11360.490345551139</v>
      </c>
      <c r="O161" s="13">
        <f t="shared" si="47"/>
        <v>821.40702346978844</v>
      </c>
      <c r="P161" s="13">
        <f t="shared" si="47"/>
        <v>0</v>
      </c>
      <c r="Q161" s="13">
        <f t="shared" si="47"/>
        <v>967.47490350837177</v>
      </c>
      <c r="R161" s="13">
        <f t="shared" si="47"/>
        <v>1788.8819269781602</v>
      </c>
      <c r="S161" s="13">
        <f t="shared" si="47"/>
        <v>-35671.058408391895</v>
      </c>
      <c r="T161" s="13">
        <f t="shared" si="47"/>
        <v>12236.295741471917</v>
      </c>
      <c r="U161" s="13">
        <f t="shared" si="47"/>
        <v>134707.15811112945</v>
      </c>
      <c r="V161" s="13">
        <f t="shared" si="47"/>
        <v>222842.54937751059</v>
      </c>
      <c r="W161" s="13">
        <f t="shared" si="47"/>
        <v>334114.94482172013</v>
      </c>
      <c r="X161" s="13">
        <f t="shared" si="47"/>
        <v>324543.33640314714</v>
      </c>
      <c r="Y161" s="13">
        <f t="shared" si="47"/>
        <v>604103.05118335539</v>
      </c>
      <c r="Z161" s="13">
        <f t="shared" si="47"/>
        <v>2692381.0460693147</v>
      </c>
    </row>
    <row r="162" spans="1:26" ht="10.5" x14ac:dyDescent="0.25">
      <c r="A162" s="15" t="s">
        <v>235</v>
      </c>
      <c r="B162" s="13">
        <f t="shared" ref="B162:Z162" si="48">SUM(B135,B161)</f>
        <v>1483174.3426411648</v>
      </c>
      <c r="C162" s="13">
        <f t="shared" si="48"/>
        <v>24565.423346991309</v>
      </c>
      <c r="D162" s="13">
        <f t="shared" si="48"/>
        <v>128476.77416540544</v>
      </c>
      <c r="E162" s="13">
        <f t="shared" si="48"/>
        <v>546458.66415804368</v>
      </c>
      <c r="F162" s="13">
        <f t="shared" si="48"/>
        <v>6496.1544872652303</v>
      </c>
      <c r="G162" s="13">
        <f t="shared" si="48"/>
        <v>661469.22481715679</v>
      </c>
      <c r="H162" s="13">
        <f t="shared" si="48"/>
        <v>1367466.2409748626</v>
      </c>
      <c r="I162" s="13">
        <f t="shared" si="48"/>
        <v>17237.119922339949</v>
      </c>
      <c r="J162" s="13">
        <f t="shared" si="48"/>
        <v>21874.888964603699</v>
      </c>
      <c r="K162" s="13">
        <f t="shared" si="48"/>
        <v>19872.563713873082</v>
      </c>
      <c r="L162" s="13">
        <f t="shared" si="48"/>
        <v>1331553.6660486571</v>
      </c>
      <c r="M162" s="13">
        <f t="shared" si="48"/>
        <v>1390538.238649474</v>
      </c>
      <c r="N162" s="13">
        <f t="shared" si="48"/>
        <v>-11360.490345551139</v>
      </c>
      <c r="O162" s="13">
        <f t="shared" si="48"/>
        <v>3675.5297977664864</v>
      </c>
      <c r="P162" s="13">
        <f t="shared" si="48"/>
        <v>0</v>
      </c>
      <c r="Q162" s="13">
        <f t="shared" si="48"/>
        <v>16528.073892860466</v>
      </c>
      <c r="R162" s="13">
        <f t="shared" si="48"/>
        <v>20203.603690626951</v>
      </c>
      <c r="S162" s="13">
        <f t="shared" si="48"/>
        <v>119615.90914092024</v>
      </c>
      <c r="T162" s="13">
        <f t="shared" si="48"/>
        <v>12236.295741471917</v>
      </c>
      <c r="U162" s="13">
        <f t="shared" si="48"/>
        <v>478607.35141266906</v>
      </c>
      <c r="V162" s="13">
        <f t="shared" si="48"/>
        <v>242561.49317691085</v>
      </c>
      <c r="W162" s="13">
        <f t="shared" si="48"/>
        <v>853021.04947197204</v>
      </c>
      <c r="X162" s="13">
        <f t="shared" si="48"/>
        <v>861864.16281704791</v>
      </c>
      <c r="Y162" s="13">
        <f t="shared" si="48"/>
        <v>1985448.5451925443</v>
      </c>
      <c r="Z162" s="13">
        <f t="shared" si="48"/>
        <v>7088491.5302750934</v>
      </c>
    </row>
    <row r="163" spans="1:26" ht="10.5" x14ac:dyDescent="0.2">
      <c r="A163" s="17" t="s">
        <v>59</v>
      </c>
      <c r="B163" s="18">
        <f t="shared" ref="B163:Z163" si="49">B38-B162</f>
        <v>-1665653.3461167286</v>
      </c>
      <c r="C163" s="18">
        <f t="shared" si="49"/>
        <v>-27421.184967800342</v>
      </c>
      <c r="D163" s="18">
        <f t="shared" si="49"/>
        <v>-29882.62808046765</v>
      </c>
      <c r="E163" s="18">
        <f t="shared" si="49"/>
        <v>-329000.32946004107</v>
      </c>
      <c r="F163" s="18">
        <f t="shared" si="49"/>
        <v>-6496.1544872652303</v>
      </c>
      <c r="G163" s="18">
        <f t="shared" si="49"/>
        <v>2399386.8131451402</v>
      </c>
      <c r="H163" s="18">
        <f t="shared" si="49"/>
        <v>2006586.516149566</v>
      </c>
      <c r="I163" s="18">
        <f t="shared" si="49"/>
        <v>-17237.119922339949</v>
      </c>
      <c r="J163" s="18">
        <f t="shared" si="49"/>
        <v>-19275.656816114271</v>
      </c>
      <c r="K163" s="18">
        <f t="shared" si="49"/>
        <v>-512.36085174724212</v>
      </c>
      <c r="L163" s="18">
        <f t="shared" si="49"/>
        <v>-927751.47175213718</v>
      </c>
      <c r="M163" s="18">
        <f t="shared" si="49"/>
        <v>-964776.60934233887</v>
      </c>
      <c r="N163" s="18">
        <f t="shared" si="49"/>
        <v>11360.490345551139</v>
      </c>
      <c r="O163" s="18">
        <f t="shared" si="49"/>
        <v>-3680.2961923435955</v>
      </c>
      <c r="P163" s="18">
        <f t="shared" si="49"/>
        <v>-10.746060495882304</v>
      </c>
      <c r="Q163" s="18">
        <f t="shared" si="49"/>
        <v>-16532.562510866956</v>
      </c>
      <c r="R163" s="18">
        <f t="shared" si="49"/>
        <v>-20223.604763706429</v>
      </c>
      <c r="S163" s="18">
        <f t="shared" si="49"/>
        <v>189176.87642340516</v>
      </c>
      <c r="T163" s="18">
        <f t="shared" si="49"/>
        <v>-65.46858788075042</v>
      </c>
      <c r="U163" s="18">
        <f t="shared" si="49"/>
        <v>-413025.31488000171</v>
      </c>
      <c r="V163" s="18">
        <f t="shared" si="49"/>
        <v>-159171.12009219767</v>
      </c>
      <c r="W163" s="18">
        <f t="shared" si="49"/>
        <v>-383085.02713667508</v>
      </c>
      <c r="X163" s="18">
        <f t="shared" si="49"/>
        <v>-391948.14155483036</v>
      </c>
      <c r="Y163" s="18">
        <f t="shared" si="49"/>
        <v>-1634979.9127047712</v>
      </c>
      <c r="Z163" s="18">
        <f t="shared" si="49"/>
        <v>-2650771.493569104</v>
      </c>
    </row>
    <row r="164" spans="1:26" ht="10.5" x14ac:dyDescent="0.2">
      <c r="A164" s="3" t="s">
        <v>236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0.5" x14ac:dyDescent="0.25">
      <c r="A165" s="5" t="s">
        <v>209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0.5" x14ac:dyDescent="0.25">
      <c r="A166" s="6" t="s">
        <v>210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x14ac:dyDescent="0.2">
      <c r="A167" s="45" t="s">
        <v>211</v>
      </c>
      <c r="B167" s="11">
        <v>0</v>
      </c>
      <c r="C167" s="11">
        <v>0</v>
      </c>
      <c r="D167" s="11">
        <v>0</v>
      </c>
      <c r="E167" s="11">
        <v>0</v>
      </c>
      <c r="F167" s="11">
        <v>0</v>
      </c>
      <c r="G167" s="11">
        <v>7.2241794890296002E-2</v>
      </c>
      <c r="H167" s="11">
        <f>SUM(C167:G167)</f>
        <v>7.2241794890296002E-2</v>
      </c>
      <c r="I167" s="11">
        <v>0</v>
      </c>
      <c r="J167" s="11">
        <v>0</v>
      </c>
      <c r="K167" s="11">
        <v>0</v>
      </c>
      <c r="L167" s="11">
        <v>30.29</v>
      </c>
      <c r="M167" s="11">
        <f>SUM(I167:L167)</f>
        <v>30.29</v>
      </c>
      <c r="N167" s="11">
        <v>0</v>
      </c>
      <c r="O167" s="11">
        <v>0</v>
      </c>
      <c r="P167" s="11">
        <v>0</v>
      </c>
      <c r="Q167" s="11">
        <v>0</v>
      </c>
      <c r="R167" s="11">
        <f>SUM(O167:Q167)</f>
        <v>0</v>
      </c>
      <c r="S167" s="11">
        <v>0</v>
      </c>
      <c r="T167" s="11">
        <v>0</v>
      </c>
      <c r="U167" s="11">
        <v>0</v>
      </c>
      <c r="V167" s="11">
        <v>0</v>
      </c>
      <c r="W167" s="11">
        <f>SUM(S167:V167)</f>
        <v>0</v>
      </c>
      <c r="X167" s="11">
        <f>SUM(N167,R167,W167)</f>
        <v>0</v>
      </c>
      <c r="Y167" s="11">
        <v>0</v>
      </c>
      <c r="Z167" s="11">
        <f>SUM(B167,H167,M167,X167:Y167)</f>
        <v>30.362241794890295</v>
      </c>
    </row>
    <row r="168" spans="1:26" x14ac:dyDescent="0.2">
      <c r="A168" s="45" t="s">
        <v>212</v>
      </c>
      <c r="B168" s="11">
        <v>0</v>
      </c>
      <c r="C168" s="11">
        <v>0</v>
      </c>
      <c r="D168" s="11">
        <v>0</v>
      </c>
      <c r="E168" s="11">
        <v>0</v>
      </c>
      <c r="F168" s="11">
        <v>0</v>
      </c>
      <c r="G168" s="11">
        <v>165.63898630593241</v>
      </c>
      <c r="H168" s="11">
        <f>SUM(C168:G168)</f>
        <v>165.63898630593241</v>
      </c>
      <c r="I168" s="11">
        <v>0</v>
      </c>
      <c r="J168" s="11">
        <v>0</v>
      </c>
      <c r="K168" s="11">
        <v>0</v>
      </c>
      <c r="L168" s="11">
        <v>0</v>
      </c>
      <c r="M168" s="11">
        <f>SUM(I168:L168)</f>
        <v>0</v>
      </c>
      <c r="N168" s="11">
        <v>0</v>
      </c>
      <c r="O168" s="11">
        <v>0</v>
      </c>
      <c r="P168" s="11">
        <v>0</v>
      </c>
      <c r="Q168" s="11">
        <v>0</v>
      </c>
      <c r="R168" s="11">
        <f>SUM(O168:Q168)</f>
        <v>0</v>
      </c>
      <c r="S168" s="11">
        <v>0</v>
      </c>
      <c r="T168" s="11">
        <v>0</v>
      </c>
      <c r="U168" s="11">
        <v>0</v>
      </c>
      <c r="V168" s="11">
        <v>0</v>
      </c>
      <c r="W168" s="11">
        <f>SUM(S168:V168)</f>
        <v>0</v>
      </c>
      <c r="X168" s="11">
        <f>SUM(N168,R168,W168)</f>
        <v>0</v>
      </c>
      <c r="Y168" s="11">
        <v>0</v>
      </c>
      <c r="Z168" s="11">
        <f>SUM(B168,H168,M168,X168:Y168)</f>
        <v>165.63898630593241</v>
      </c>
    </row>
    <row r="169" spans="1:26" ht="10.5" x14ac:dyDescent="0.25">
      <c r="A169" s="14" t="s">
        <v>213</v>
      </c>
      <c r="B169" s="13">
        <f t="shared" ref="B169:Z169" si="50">SUM(B167:B168)</f>
        <v>0</v>
      </c>
      <c r="C169" s="13">
        <f t="shared" si="50"/>
        <v>0</v>
      </c>
      <c r="D169" s="13">
        <f t="shared" si="50"/>
        <v>0</v>
      </c>
      <c r="E169" s="13">
        <f t="shared" si="50"/>
        <v>0</v>
      </c>
      <c r="F169" s="13">
        <f t="shared" si="50"/>
        <v>0</v>
      </c>
      <c r="G169" s="13">
        <f t="shared" si="50"/>
        <v>165.71122810082269</v>
      </c>
      <c r="H169" s="13">
        <f t="shared" si="50"/>
        <v>165.71122810082269</v>
      </c>
      <c r="I169" s="13">
        <f t="shared" si="50"/>
        <v>0</v>
      </c>
      <c r="J169" s="13">
        <f t="shared" si="50"/>
        <v>0</v>
      </c>
      <c r="K169" s="13">
        <f t="shared" si="50"/>
        <v>0</v>
      </c>
      <c r="L169" s="13">
        <f t="shared" si="50"/>
        <v>30.29</v>
      </c>
      <c r="M169" s="13">
        <f t="shared" si="50"/>
        <v>30.29</v>
      </c>
      <c r="N169" s="13">
        <f t="shared" si="50"/>
        <v>0</v>
      </c>
      <c r="O169" s="13">
        <f t="shared" si="50"/>
        <v>0</v>
      </c>
      <c r="P169" s="13">
        <f t="shared" si="50"/>
        <v>0</v>
      </c>
      <c r="Q169" s="13">
        <f t="shared" si="50"/>
        <v>0</v>
      </c>
      <c r="R169" s="13">
        <f t="shared" si="50"/>
        <v>0</v>
      </c>
      <c r="S169" s="13">
        <f t="shared" si="50"/>
        <v>0</v>
      </c>
      <c r="T169" s="13">
        <f t="shared" si="50"/>
        <v>0</v>
      </c>
      <c r="U169" s="13">
        <f t="shared" si="50"/>
        <v>0</v>
      </c>
      <c r="V169" s="13">
        <f t="shared" si="50"/>
        <v>0</v>
      </c>
      <c r="W169" s="13">
        <f t="shared" si="50"/>
        <v>0</v>
      </c>
      <c r="X169" s="13">
        <f t="shared" si="50"/>
        <v>0</v>
      </c>
      <c r="Y169" s="13">
        <f t="shared" si="50"/>
        <v>0</v>
      </c>
      <c r="Z169" s="13">
        <f t="shared" si="50"/>
        <v>196.00122810082269</v>
      </c>
    </row>
    <row r="170" spans="1:26" ht="10.5" x14ac:dyDescent="0.25">
      <c r="A170" s="15" t="s">
        <v>214</v>
      </c>
      <c r="B170" s="13">
        <f t="shared" ref="B170:Z170" si="51">SUM(B169)</f>
        <v>0</v>
      </c>
      <c r="C170" s="13">
        <f t="shared" si="51"/>
        <v>0</v>
      </c>
      <c r="D170" s="13">
        <f t="shared" si="51"/>
        <v>0</v>
      </c>
      <c r="E170" s="13">
        <f t="shared" si="51"/>
        <v>0</v>
      </c>
      <c r="F170" s="13">
        <f t="shared" si="51"/>
        <v>0</v>
      </c>
      <c r="G170" s="13">
        <f t="shared" si="51"/>
        <v>165.71122810082269</v>
      </c>
      <c r="H170" s="13">
        <f t="shared" si="51"/>
        <v>165.71122810082269</v>
      </c>
      <c r="I170" s="13">
        <f t="shared" si="51"/>
        <v>0</v>
      </c>
      <c r="J170" s="13">
        <f t="shared" si="51"/>
        <v>0</v>
      </c>
      <c r="K170" s="13">
        <f t="shared" si="51"/>
        <v>0</v>
      </c>
      <c r="L170" s="13">
        <f t="shared" si="51"/>
        <v>30.29</v>
      </c>
      <c r="M170" s="13">
        <f t="shared" si="51"/>
        <v>30.29</v>
      </c>
      <c r="N170" s="13">
        <f t="shared" si="51"/>
        <v>0</v>
      </c>
      <c r="O170" s="13">
        <f t="shared" si="51"/>
        <v>0</v>
      </c>
      <c r="P170" s="13">
        <f t="shared" si="51"/>
        <v>0</v>
      </c>
      <c r="Q170" s="13">
        <f t="shared" si="51"/>
        <v>0</v>
      </c>
      <c r="R170" s="13">
        <f t="shared" si="51"/>
        <v>0</v>
      </c>
      <c r="S170" s="13">
        <f t="shared" si="51"/>
        <v>0</v>
      </c>
      <c r="T170" s="13">
        <f t="shared" si="51"/>
        <v>0</v>
      </c>
      <c r="U170" s="13">
        <f t="shared" si="51"/>
        <v>0</v>
      </c>
      <c r="V170" s="13">
        <f t="shared" si="51"/>
        <v>0</v>
      </c>
      <c r="W170" s="13">
        <f t="shared" si="51"/>
        <v>0</v>
      </c>
      <c r="X170" s="13">
        <f t="shared" si="51"/>
        <v>0</v>
      </c>
      <c r="Y170" s="13">
        <f t="shared" si="51"/>
        <v>0</v>
      </c>
      <c r="Z170" s="13">
        <f t="shared" si="51"/>
        <v>196.00122810082269</v>
      </c>
    </row>
    <row r="171" spans="1:26" ht="10.5" x14ac:dyDescent="0.25">
      <c r="A171" s="5" t="s">
        <v>237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x14ac:dyDescent="0.2">
      <c r="A172" s="49" t="s">
        <v>215</v>
      </c>
      <c r="B172" s="11">
        <v>0</v>
      </c>
      <c r="C172" s="11">
        <v>0</v>
      </c>
      <c r="D172" s="11">
        <v>0</v>
      </c>
      <c r="E172" s="11">
        <v>0</v>
      </c>
      <c r="F172" s="11">
        <v>0</v>
      </c>
      <c r="G172" s="11">
        <v>1702.830456095872</v>
      </c>
      <c r="H172" s="11">
        <f>SUM(C172:G172)</f>
        <v>1702.830456095872</v>
      </c>
      <c r="I172" s="11">
        <v>0</v>
      </c>
      <c r="J172" s="11">
        <v>0</v>
      </c>
      <c r="K172" s="11">
        <v>0</v>
      </c>
      <c r="L172" s="11">
        <v>0</v>
      </c>
      <c r="M172" s="11">
        <f>SUM(I172:L172)</f>
        <v>0</v>
      </c>
      <c r="N172" s="11">
        <v>0</v>
      </c>
      <c r="O172" s="11">
        <v>0</v>
      </c>
      <c r="P172" s="11">
        <v>0</v>
      </c>
      <c r="Q172" s="11">
        <v>0</v>
      </c>
      <c r="R172" s="11">
        <f>SUM(O172:Q172)</f>
        <v>0</v>
      </c>
      <c r="S172" s="11">
        <v>0</v>
      </c>
      <c r="T172" s="11">
        <v>0</v>
      </c>
      <c r="U172" s="11">
        <v>0</v>
      </c>
      <c r="V172" s="11">
        <v>0</v>
      </c>
      <c r="W172" s="11">
        <f>SUM(S172:V172)</f>
        <v>0</v>
      </c>
      <c r="X172" s="11">
        <f>SUM(N172,R172,W172)</f>
        <v>0</v>
      </c>
      <c r="Y172" s="11">
        <v>0</v>
      </c>
      <c r="Z172" s="11">
        <f>SUM(B172,H172,M172,X172:Y172)</f>
        <v>1702.830456095872</v>
      </c>
    </row>
    <row r="173" spans="1:26" ht="10.5" x14ac:dyDescent="0.25">
      <c r="A173" s="6" t="s">
        <v>216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x14ac:dyDescent="0.2">
      <c r="A174" s="45" t="s">
        <v>217</v>
      </c>
      <c r="B174" s="11">
        <v>0</v>
      </c>
      <c r="C174" s="11">
        <v>0</v>
      </c>
      <c r="D174" s="11">
        <v>0</v>
      </c>
      <c r="E174" s="11">
        <v>0</v>
      </c>
      <c r="F174" s="11">
        <v>0</v>
      </c>
      <c r="G174" s="11">
        <v>405.95228578186862</v>
      </c>
      <c r="H174" s="11">
        <f>SUM(C174:G174)</f>
        <v>405.95228578186862</v>
      </c>
      <c r="I174" s="11">
        <v>0</v>
      </c>
      <c r="J174" s="11">
        <v>0</v>
      </c>
      <c r="K174" s="11">
        <v>0</v>
      </c>
      <c r="L174" s="11">
        <v>0</v>
      </c>
      <c r="M174" s="11">
        <f>SUM(I174:L174)</f>
        <v>0</v>
      </c>
      <c r="N174" s="11">
        <v>0</v>
      </c>
      <c r="O174" s="11">
        <v>0</v>
      </c>
      <c r="P174" s="11">
        <v>0</v>
      </c>
      <c r="Q174" s="11">
        <v>0</v>
      </c>
      <c r="R174" s="11">
        <f>SUM(O174:Q174)</f>
        <v>0</v>
      </c>
      <c r="S174" s="11">
        <v>0</v>
      </c>
      <c r="T174" s="11">
        <v>0</v>
      </c>
      <c r="U174" s="11">
        <v>0</v>
      </c>
      <c r="V174" s="11">
        <v>0</v>
      </c>
      <c r="W174" s="11">
        <f>SUM(S174:V174)</f>
        <v>0</v>
      </c>
      <c r="X174" s="11">
        <f>SUM(N174,R174,W174)</f>
        <v>0</v>
      </c>
      <c r="Y174" s="11">
        <v>0</v>
      </c>
      <c r="Z174" s="11">
        <f>SUM(B174,H174,M174,X174:Y174)</f>
        <v>405.95228578186862</v>
      </c>
    </row>
    <row r="175" spans="1:26" ht="10.5" x14ac:dyDescent="0.25">
      <c r="A175" s="14" t="s">
        <v>218</v>
      </c>
      <c r="B175" s="13">
        <f t="shared" ref="B175:Z175" si="52">SUM(B174)</f>
        <v>0</v>
      </c>
      <c r="C175" s="13">
        <f t="shared" si="52"/>
        <v>0</v>
      </c>
      <c r="D175" s="13">
        <f t="shared" si="52"/>
        <v>0</v>
      </c>
      <c r="E175" s="13">
        <f t="shared" si="52"/>
        <v>0</v>
      </c>
      <c r="F175" s="13">
        <f t="shared" si="52"/>
        <v>0</v>
      </c>
      <c r="G175" s="13">
        <f t="shared" si="52"/>
        <v>405.95228578186862</v>
      </c>
      <c r="H175" s="13">
        <f t="shared" si="52"/>
        <v>405.95228578186862</v>
      </c>
      <c r="I175" s="13">
        <f t="shared" si="52"/>
        <v>0</v>
      </c>
      <c r="J175" s="13">
        <f t="shared" si="52"/>
        <v>0</v>
      </c>
      <c r="K175" s="13">
        <f t="shared" si="52"/>
        <v>0</v>
      </c>
      <c r="L175" s="13">
        <f t="shared" si="52"/>
        <v>0</v>
      </c>
      <c r="M175" s="13">
        <f t="shared" si="52"/>
        <v>0</v>
      </c>
      <c r="N175" s="13">
        <f t="shared" si="52"/>
        <v>0</v>
      </c>
      <c r="O175" s="13">
        <f t="shared" si="52"/>
        <v>0</v>
      </c>
      <c r="P175" s="13">
        <f t="shared" si="52"/>
        <v>0</v>
      </c>
      <c r="Q175" s="13">
        <f t="shared" si="52"/>
        <v>0</v>
      </c>
      <c r="R175" s="13">
        <f t="shared" si="52"/>
        <v>0</v>
      </c>
      <c r="S175" s="13">
        <f t="shared" si="52"/>
        <v>0</v>
      </c>
      <c r="T175" s="13">
        <f t="shared" si="52"/>
        <v>0</v>
      </c>
      <c r="U175" s="13">
        <f t="shared" si="52"/>
        <v>0</v>
      </c>
      <c r="V175" s="13">
        <f t="shared" si="52"/>
        <v>0</v>
      </c>
      <c r="W175" s="13">
        <f t="shared" si="52"/>
        <v>0</v>
      </c>
      <c r="X175" s="13">
        <f t="shared" si="52"/>
        <v>0</v>
      </c>
      <c r="Y175" s="13">
        <f t="shared" si="52"/>
        <v>0</v>
      </c>
      <c r="Z175" s="13">
        <f t="shared" si="52"/>
        <v>405.95228578186862</v>
      </c>
    </row>
    <row r="176" spans="1:26" x14ac:dyDescent="0.2">
      <c r="A176" s="49" t="s">
        <v>219</v>
      </c>
      <c r="B176" s="11">
        <v>0</v>
      </c>
      <c r="C176" s="11">
        <v>0</v>
      </c>
      <c r="D176" s="11">
        <v>-1.6462218871929481E-2</v>
      </c>
      <c r="E176" s="11">
        <v>1.140843088152484E-2</v>
      </c>
      <c r="F176" s="11">
        <v>0</v>
      </c>
      <c r="G176" s="11">
        <v>-2.4264089380992442E-2</v>
      </c>
      <c r="H176" s="11">
        <f>SUM(C176:G176)</f>
        <v>-2.9317877371397082E-2</v>
      </c>
      <c r="I176" s="11">
        <v>0</v>
      </c>
      <c r="J176" s="11">
        <v>0</v>
      </c>
      <c r="K176" s="11">
        <v>-1.189764736580221E-2</v>
      </c>
      <c r="L176" s="11">
        <v>-1.081301138025185E-2</v>
      </c>
      <c r="M176" s="11">
        <f>SUM(I176:L176)</f>
        <v>-2.271065874605406E-2</v>
      </c>
      <c r="N176" s="11">
        <v>0</v>
      </c>
      <c r="O176" s="11">
        <v>0</v>
      </c>
      <c r="P176" s="11">
        <v>0</v>
      </c>
      <c r="Q176" s="11">
        <v>0</v>
      </c>
      <c r="R176" s="11">
        <f>SUM(O176:Q176)</f>
        <v>0</v>
      </c>
      <c r="S176" s="11">
        <v>0</v>
      </c>
      <c r="T176" s="11">
        <v>0</v>
      </c>
      <c r="U176" s="11">
        <v>2.9029897702306808</v>
      </c>
      <c r="V176" s="11">
        <v>2.0082512870722539E-2</v>
      </c>
      <c r="W176" s="11">
        <f>SUM(S176:V176)</f>
        <v>2.9230722831014035</v>
      </c>
      <c r="X176" s="11">
        <f>SUM(N176,R176,W176)</f>
        <v>2.9230722831014035</v>
      </c>
      <c r="Y176" s="11">
        <v>0.29198999513472601</v>
      </c>
      <c r="Z176" s="11">
        <f>SUM(B176,H176,M176,X176:Y176)</f>
        <v>3.163033742118678</v>
      </c>
    </row>
    <row r="177" spans="1:26" x14ac:dyDescent="0.2">
      <c r="A177" s="49" t="s">
        <v>220</v>
      </c>
      <c r="B177" s="11">
        <v>0</v>
      </c>
      <c r="C177" s="11">
        <v>320.49654160950485</v>
      </c>
      <c r="D177" s="11">
        <v>-884.26517693088408</v>
      </c>
      <c r="E177" s="11">
        <v>-20.482272692764528</v>
      </c>
      <c r="F177" s="11">
        <v>0</v>
      </c>
      <c r="G177" s="11">
        <v>180.2278795837284</v>
      </c>
      <c r="H177" s="11">
        <f>SUM(C177:G177)</f>
        <v>-404.02302843041537</v>
      </c>
      <c r="I177" s="11">
        <v>18.522422800006549</v>
      </c>
      <c r="J177" s="11">
        <v>0</v>
      </c>
      <c r="K177" s="11">
        <v>981.8155327440702</v>
      </c>
      <c r="L177" s="11">
        <v>-1172.1787443519809</v>
      </c>
      <c r="M177" s="11">
        <f>SUM(I177:L177)</f>
        <v>-171.84078880790412</v>
      </c>
      <c r="N177" s="11">
        <v>0</v>
      </c>
      <c r="O177" s="11">
        <v>62.953421510600165</v>
      </c>
      <c r="P177" s="11">
        <v>0</v>
      </c>
      <c r="Q177" s="11">
        <v>0</v>
      </c>
      <c r="R177" s="11">
        <f>SUM(O177:Q177)</f>
        <v>62.953421510600165</v>
      </c>
      <c r="S177" s="11">
        <v>9.1975499508321477</v>
      </c>
      <c r="T177" s="11">
        <v>0</v>
      </c>
      <c r="U177" s="11">
        <v>-29.118730517281076</v>
      </c>
      <c r="V177" s="11">
        <v>1659.0074513678514</v>
      </c>
      <c r="W177" s="11">
        <f>SUM(S177:V177)</f>
        <v>1639.0862708014024</v>
      </c>
      <c r="X177" s="11">
        <f>SUM(N177,R177,W177)</f>
        <v>1702.0396923120027</v>
      </c>
      <c r="Y177" s="11">
        <v>24764.783601546646</v>
      </c>
      <c r="Z177" s="11">
        <f>SUM(B177,H177,M177,X177:Y177)</f>
        <v>25890.95947662033</v>
      </c>
    </row>
    <row r="178" spans="1:26" ht="10.5" x14ac:dyDescent="0.25">
      <c r="A178" s="15" t="s">
        <v>238</v>
      </c>
      <c r="B178" s="13">
        <f t="shared" ref="B178:Z178" si="53">SUM(B172,B175:B177)</f>
        <v>0</v>
      </c>
      <c r="C178" s="13">
        <f t="shared" si="53"/>
        <v>320.49654160950485</v>
      </c>
      <c r="D178" s="13">
        <f t="shared" si="53"/>
        <v>-884.28163914975596</v>
      </c>
      <c r="E178" s="13">
        <f t="shared" si="53"/>
        <v>-20.470864261883005</v>
      </c>
      <c r="F178" s="13">
        <f t="shared" si="53"/>
        <v>0</v>
      </c>
      <c r="G178" s="13">
        <f t="shared" si="53"/>
        <v>2288.9863573720877</v>
      </c>
      <c r="H178" s="13">
        <f t="shared" si="53"/>
        <v>1704.730395569954</v>
      </c>
      <c r="I178" s="13">
        <f t="shared" si="53"/>
        <v>18.522422800006549</v>
      </c>
      <c r="J178" s="13">
        <f t="shared" si="53"/>
        <v>0</v>
      </c>
      <c r="K178" s="13">
        <f t="shared" si="53"/>
        <v>981.8036350967044</v>
      </c>
      <c r="L178" s="13">
        <f t="shared" si="53"/>
        <v>-1172.189557363361</v>
      </c>
      <c r="M178" s="13">
        <f t="shared" si="53"/>
        <v>-171.86349946665018</v>
      </c>
      <c r="N178" s="13">
        <f t="shared" si="53"/>
        <v>0</v>
      </c>
      <c r="O178" s="13">
        <f t="shared" si="53"/>
        <v>62.953421510600165</v>
      </c>
      <c r="P178" s="13">
        <f t="shared" si="53"/>
        <v>0</v>
      </c>
      <c r="Q178" s="13">
        <f t="shared" si="53"/>
        <v>0</v>
      </c>
      <c r="R178" s="13">
        <f t="shared" si="53"/>
        <v>62.953421510600165</v>
      </c>
      <c r="S178" s="13">
        <f t="shared" si="53"/>
        <v>9.1975499508321477</v>
      </c>
      <c r="T178" s="13">
        <f t="shared" si="53"/>
        <v>0</v>
      </c>
      <c r="U178" s="13">
        <f t="shared" si="53"/>
        <v>-26.215740747050397</v>
      </c>
      <c r="V178" s="13">
        <f t="shared" si="53"/>
        <v>1659.0275338807221</v>
      </c>
      <c r="W178" s="13">
        <f t="shared" si="53"/>
        <v>1642.0093430845038</v>
      </c>
      <c r="X178" s="13">
        <f t="shared" si="53"/>
        <v>1704.9627645951041</v>
      </c>
      <c r="Y178" s="13">
        <f t="shared" si="53"/>
        <v>24765.075591541779</v>
      </c>
      <c r="Z178" s="13">
        <f t="shared" si="53"/>
        <v>28002.905252240191</v>
      </c>
    </row>
    <row r="179" spans="1:26" ht="10.5" x14ac:dyDescent="0.2">
      <c r="A179" s="17" t="s">
        <v>239</v>
      </c>
      <c r="B179" s="18">
        <f t="shared" ref="B179:Z179" si="54">B170-B178</f>
        <v>0</v>
      </c>
      <c r="C179" s="18">
        <f t="shared" si="54"/>
        <v>-320.49654160950485</v>
      </c>
      <c r="D179" s="18">
        <f t="shared" si="54"/>
        <v>884.28163914975596</v>
      </c>
      <c r="E179" s="18">
        <f t="shared" si="54"/>
        <v>20.470864261883005</v>
      </c>
      <c r="F179" s="18">
        <f t="shared" si="54"/>
        <v>0</v>
      </c>
      <c r="G179" s="18">
        <f t="shared" si="54"/>
        <v>-2123.2751292712651</v>
      </c>
      <c r="H179" s="18">
        <f t="shared" si="54"/>
        <v>-1539.0191674691314</v>
      </c>
      <c r="I179" s="18">
        <f t="shared" si="54"/>
        <v>-18.522422800006549</v>
      </c>
      <c r="J179" s="18">
        <f t="shared" si="54"/>
        <v>0</v>
      </c>
      <c r="K179" s="18">
        <f t="shared" si="54"/>
        <v>-981.8036350967044</v>
      </c>
      <c r="L179" s="18">
        <f t="shared" si="54"/>
        <v>1202.479557363361</v>
      </c>
      <c r="M179" s="18">
        <f t="shared" si="54"/>
        <v>202.15349946665017</v>
      </c>
      <c r="N179" s="18">
        <f t="shared" si="54"/>
        <v>0</v>
      </c>
      <c r="O179" s="18">
        <f t="shared" si="54"/>
        <v>-62.953421510600165</v>
      </c>
      <c r="P179" s="18">
        <f t="shared" si="54"/>
        <v>0</v>
      </c>
      <c r="Q179" s="18">
        <f t="shared" si="54"/>
        <v>0</v>
      </c>
      <c r="R179" s="18">
        <f t="shared" si="54"/>
        <v>-62.953421510600165</v>
      </c>
      <c r="S179" s="18">
        <f t="shared" si="54"/>
        <v>-9.1975499508321477</v>
      </c>
      <c r="T179" s="18">
        <f t="shared" si="54"/>
        <v>0</v>
      </c>
      <c r="U179" s="18">
        <f t="shared" si="54"/>
        <v>26.215740747050397</v>
      </c>
      <c r="V179" s="18">
        <f t="shared" si="54"/>
        <v>-1659.0275338807221</v>
      </c>
      <c r="W179" s="18">
        <f t="shared" si="54"/>
        <v>-1642.0093430845038</v>
      </c>
      <c r="X179" s="18">
        <f t="shared" si="54"/>
        <v>-1704.9627645951041</v>
      </c>
      <c r="Y179" s="18">
        <f t="shared" si="54"/>
        <v>-24765.075591541779</v>
      </c>
      <c r="Z179" s="18">
        <f t="shared" si="54"/>
        <v>-27806.904024139367</v>
      </c>
    </row>
    <row r="180" spans="1:26" ht="10.5" x14ac:dyDescent="0.2">
      <c r="A180" s="17" t="s">
        <v>60</v>
      </c>
      <c r="B180" s="18">
        <f t="shared" ref="B180:Z180" si="55">B163+B179</f>
        <v>-1665653.3461167286</v>
      </c>
      <c r="C180" s="18">
        <f t="shared" si="55"/>
        <v>-27741.681509409846</v>
      </c>
      <c r="D180" s="18">
        <f t="shared" si="55"/>
        <v>-28998.346441317895</v>
      </c>
      <c r="E180" s="18">
        <f t="shared" si="55"/>
        <v>-328979.85859577917</v>
      </c>
      <c r="F180" s="18">
        <f t="shared" si="55"/>
        <v>-6496.1544872652303</v>
      </c>
      <c r="G180" s="18">
        <f t="shared" si="55"/>
        <v>2397263.538015869</v>
      </c>
      <c r="H180" s="18">
        <f t="shared" si="55"/>
        <v>2005047.4969820969</v>
      </c>
      <c r="I180" s="18">
        <f t="shared" si="55"/>
        <v>-17255.642345139957</v>
      </c>
      <c r="J180" s="18">
        <f t="shared" si="55"/>
        <v>-19275.656816114271</v>
      </c>
      <c r="K180" s="18">
        <f t="shared" si="55"/>
        <v>-1494.1644868439466</v>
      </c>
      <c r="L180" s="18">
        <f t="shared" si="55"/>
        <v>-926548.99219477386</v>
      </c>
      <c r="M180" s="18">
        <f t="shared" si="55"/>
        <v>-964574.45584287227</v>
      </c>
      <c r="N180" s="18">
        <f t="shared" si="55"/>
        <v>11360.490345551139</v>
      </c>
      <c r="O180" s="18">
        <f t="shared" si="55"/>
        <v>-3743.2496138541956</v>
      </c>
      <c r="P180" s="18">
        <f t="shared" si="55"/>
        <v>-10.746060495882304</v>
      </c>
      <c r="Q180" s="18">
        <f t="shared" si="55"/>
        <v>-16532.562510866956</v>
      </c>
      <c r="R180" s="18">
        <f t="shared" si="55"/>
        <v>-20286.558185217029</v>
      </c>
      <c r="S180" s="18">
        <f t="shared" si="55"/>
        <v>189167.67887345434</v>
      </c>
      <c r="T180" s="18">
        <f t="shared" si="55"/>
        <v>-65.46858788075042</v>
      </c>
      <c r="U180" s="18">
        <f t="shared" si="55"/>
        <v>-412999.09913925466</v>
      </c>
      <c r="V180" s="18">
        <f t="shared" si="55"/>
        <v>-160830.1476260784</v>
      </c>
      <c r="W180" s="18">
        <f t="shared" si="55"/>
        <v>-384727.03647975961</v>
      </c>
      <c r="X180" s="18">
        <f t="shared" si="55"/>
        <v>-393653.10431942547</v>
      </c>
      <c r="Y180" s="18">
        <f t="shared" si="55"/>
        <v>-1659744.988296313</v>
      </c>
      <c r="Z180" s="18">
        <f t="shared" si="55"/>
        <v>-2678578.3975932435</v>
      </c>
    </row>
  </sheetData>
  <mergeCells count="29">
    <mergeCell ref="O9:O10"/>
    <mergeCell ref="S9:S10"/>
    <mergeCell ref="X9:X10"/>
    <mergeCell ref="Y8:Y10"/>
    <mergeCell ref="Z8:Z10"/>
    <mergeCell ref="D9:D10"/>
    <mergeCell ref="E9:E10"/>
    <mergeCell ref="F9:F10"/>
    <mergeCell ref="G9:G10"/>
    <mergeCell ref="H9:H10"/>
    <mergeCell ref="J9:J10"/>
    <mergeCell ref="K9:K10"/>
    <mergeCell ref="L9:L10"/>
    <mergeCell ref="C7:H7"/>
    <mergeCell ref="I7:M7"/>
    <mergeCell ref="N7:X7"/>
    <mergeCell ref="B8:B10"/>
    <mergeCell ref="C8:C10"/>
    <mergeCell ref="I8:I10"/>
    <mergeCell ref="N8:N10"/>
    <mergeCell ref="O8:R8"/>
    <mergeCell ref="S8:W8"/>
    <mergeCell ref="M9:M10"/>
    <mergeCell ref="A1:Z1"/>
    <mergeCell ref="A2:Z2"/>
    <mergeCell ref="A3:Z3"/>
    <mergeCell ref="A4:Z4"/>
    <mergeCell ref="A5:Z5"/>
    <mergeCell ref="A6:Z6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9F79D-24D7-4830-9A7F-6DEBF16F17BE}">
  <sheetPr codeName="Sheet11"/>
  <dimension ref="A1:E3"/>
  <sheetViews>
    <sheetView workbookViewId="0"/>
  </sheetViews>
  <sheetFormatPr defaultRowHeight="14.5" x14ac:dyDescent="0.35"/>
  <cols>
    <col min="1" max="1" width="23.26953125" bestFit="1" customWidth="1"/>
    <col min="2" max="2" width="19.54296875" bestFit="1" customWidth="1"/>
    <col min="3" max="3" width="11.81640625" bestFit="1" customWidth="1"/>
    <col min="4" max="4" width="15" bestFit="1" customWidth="1"/>
    <col min="5" max="5" width="11.81640625" bestFit="1" customWidth="1"/>
  </cols>
  <sheetData>
    <row r="1" spans="1:5" x14ac:dyDescent="0.35">
      <c r="A1" t="s">
        <v>257</v>
      </c>
      <c r="B1" t="s">
        <v>258</v>
      </c>
      <c r="C1" t="s">
        <v>20</v>
      </c>
      <c r="D1" t="s">
        <v>22</v>
      </c>
      <c r="E1" t="s">
        <v>23</v>
      </c>
    </row>
    <row r="2" spans="1:5" x14ac:dyDescent="0.35">
      <c r="A2" t="s">
        <v>15</v>
      </c>
      <c r="B2">
        <v>347622.91367801727</v>
      </c>
      <c r="C2">
        <v>286136.32738667144</v>
      </c>
      <c r="D2">
        <v>11402.135768262486</v>
      </c>
      <c r="E2">
        <v>82011.580882907278</v>
      </c>
    </row>
    <row r="3" spans="1:5" x14ac:dyDescent="0.35">
      <c r="A3" t="s">
        <v>74</v>
      </c>
      <c r="B3">
        <v>0</v>
      </c>
      <c r="C3">
        <v>200987.56624623563</v>
      </c>
      <c r="D3">
        <v>3908.4326954934118</v>
      </c>
      <c r="E3">
        <v>57219.423894355605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1F40A-FA1B-464A-916B-44EA2A21D10A}">
  <sheetPr codeName="Sheet12"/>
  <dimension ref="A1:F3"/>
  <sheetViews>
    <sheetView workbookViewId="0"/>
  </sheetViews>
  <sheetFormatPr defaultRowHeight="14.5" x14ac:dyDescent="0.35"/>
  <cols>
    <col min="1" max="1" width="23.26953125" bestFit="1" customWidth="1"/>
    <col min="2" max="3" width="11.81640625" bestFit="1" customWidth="1"/>
    <col min="4" max="4" width="18.81640625" bestFit="1" customWidth="1"/>
    <col min="5" max="6" width="11.81640625" bestFit="1" customWidth="1"/>
  </cols>
  <sheetData>
    <row r="1" spans="1:6" x14ac:dyDescent="0.35">
      <c r="A1" t="s">
        <v>257</v>
      </c>
      <c r="B1" t="s">
        <v>31</v>
      </c>
      <c r="C1" t="s">
        <v>21</v>
      </c>
      <c r="D1" t="s">
        <v>19</v>
      </c>
      <c r="E1" t="s">
        <v>28</v>
      </c>
      <c r="F1" t="s">
        <v>27</v>
      </c>
    </row>
    <row r="2" spans="1:6" x14ac:dyDescent="0.35">
      <c r="A2" t="s">
        <v>15</v>
      </c>
      <c r="B2">
        <v>348616.22488010739</v>
      </c>
      <c r="C2">
        <v>237803.38658749167</v>
      </c>
      <c r="D2">
        <v>71917.828934153091</v>
      </c>
      <c r="E2">
        <v>11249.980794477267</v>
      </c>
      <c r="F2">
        <v>57585.536519629</v>
      </c>
    </row>
    <row r="3" spans="1:6" x14ac:dyDescent="0.35">
      <c r="A3" t="s">
        <v>74</v>
      </c>
      <c r="B3">
        <v>24777.363564114163</v>
      </c>
      <c r="C3">
        <v>171339.34940601035</v>
      </c>
      <c r="D3">
        <v>0</v>
      </c>
      <c r="E3">
        <v>4870.8532761111319</v>
      </c>
      <c r="F3">
        <v>61127.85658984902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18A09-4986-45FA-B99E-628EC1B46AE0}">
  <sheetPr codeName="Sheet2"/>
  <dimension ref="A1:S178"/>
  <sheetViews>
    <sheetView workbookViewId="0">
      <selection sqref="A1:S1"/>
    </sheetView>
  </sheetViews>
  <sheetFormatPr defaultRowHeight="10" x14ac:dyDescent="0.2"/>
  <cols>
    <col min="1" max="1" width="41.1796875" style="1" bestFit="1" customWidth="1"/>
    <col min="2" max="2" width="15" style="1" bestFit="1" customWidth="1"/>
    <col min="3" max="3" width="8.1796875" style="1" bestFit="1" customWidth="1"/>
    <col min="4" max="4" width="8.54296875" style="1" bestFit="1" customWidth="1"/>
    <col min="5" max="5" width="10.54296875" style="1" bestFit="1" customWidth="1"/>
    <col min="6" max="6" width="9" style="1" bestFit="1" customWidth="1"/>
    <col min="7" max="7" width="9.36328125" style="1" bestFit="1" customWidth="1"/>
    <col min="8" max="8" width="8.54296875" style="1" bestFit="1" customWidth="1"/>
    <col min="9" max="9" width="7.7265625" style="1" bestFit="1" customWidth="1"/>
    <col min="10" max="10" width="8.81640625" style="1" bestFit="1" customWidth="1"/>
    <col min="11" max="11" width="8.54296875" style="1" bestFit="1" customWidth="1"/>
    <col min="12" max="12" width="11.08984375" style="1" bestFit="1" customWidth="1"/>
    <col min="13" max="13" width="6.54296875" style="1" bestFit="1" customWidth="1"/>
    <col min="14" max="14" width="8.54296875" style="1" bestFit="1" customWidth="1"/>
    <col min="15" max="15" width="9.36328125" style="1" bestFit="1" customWidth="1"/>
    <col min="16" max="17" width="8.54296875" style="1" bestFit="1" customWidth="1"/>
    <col min="18" max="18" width="9.81640625" style="1" bestFit="1" customWidth="1"/>
    <col min="19" max="19" width="11" style="1" bestFit="1" customWidth="1"/>
    <col min="20" max="16384" width="8.7265625" style="1"/>
  </cols>
  <sheetData>
    <row r="1" spans="1:19" ht="15.5" x14ac:dyDescent="0.35">
      <c r="A1" s="58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</row>
    <row r="2" spans="1:19" ht="15.5" x14ac:dyDescent="0.35">
      <c r="A2" s="58" t="s">
        <v>1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</row>
    <row r="3" spans="1:19" ht="18" x14ac:dyDescent="0.4">
      <c r="A3" s="59" t="s">
        <v>61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</row>
    <row r="4" spans="1:19" ht="18" x14ac:dyDescent="0.4">
      <c r="A4" s="59" t="s">
        <v>2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</row>
    <row r="5" spans="1:19" ht="18" x14ac:dyDescent="0.4">
      <c r="A5" s="59" t="s">
        <v>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</row>
    <row r="6" spans="1:19" ht="18" x14ac:dyDescent="0.4">
      <c r="A6" s="59" t="s">
        <v>3</v>
      </c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</row>
    <row r="7" spans="1:19" x14ac:dyDescent="0.2">
      <c r="A7" s="2" t="s">
        <v>4</v>
      </c>
      <c r="B7" s="53" t="s">
        <v>258</v>
      </c>
      <c r="C7" s="53" t="s">
        <v>233</v>
      </c>
      <c r="D7" s="53" t="s">
        <v>32</v>
      </c>
      <c r="E7" s="53" t="s">
        <v>18</v>
      </c>
      <c r="F7" s="53" t="s">
        <v>46</v>
      </c>
      <c r="G7" s="53" t="s">
        <v>23</v>
      </c>
      <c r="H7" s="53" t="s">
        <v>34</v>
      </c>
      <c r="I7" s="53" t="s">
        <v>33</v>
      </c>
      <c r="J7" s="53" t="s">
        <v>25</v>
      </c>
      <c r="K7" s="53" t="s">
        <v>26</v>
      </c>
      <c r="L7" s="53" t="s">
        <v>22</v>
      </c>
      <c r="M7" s="53" t="s">
        <v>43</v>
      </c>
      <c r="N7" s="53" t="s">
        <v>24</v>
      </c>
      <c r="O7" s="53" t="s">
        <v>41</v>
      </c>
      <c r="P7" s="53" t="s">
        <v>40</v>
      </c>
      <c r="Q7" s="53" t="s">
        <v>35</v>
      </c>
      <c r="R7" s="53" t="s">
        <v>20</v>
      </c>
      <c r="S7" s="53" t="s">
        <v>64</v>
      </c>
    </row>
    <row r="8" spans="1:19" x14ac:dyDescent="0.2">
      <c r="A8" s="2" t="s">
        <v>62</v>
      </c>
      <c r="B8" s="53" t="s">
        <v>11</v>
      </c>
      <c r="C8" s="53" t="s">
        <v>11</v>
      </c>
      <c r="D8" s="53" t="s">
        <v>11</v>
      </c>
      <c r="E8" s="53" t="s">
        <v>11</v>
      </c>
      <c r="F8" s="53" t="s">
        <v>11</v>
      </c>
      <c r="G8" s="53" t="s">
        <v>11</v>
      </c>
      <c r="H8" s="53" t="s">
        <v>11</v>
      </c>
      <c r="I8" s="53" t="s">
        <v>11</v>
      </c>
      <c r="J8" s="53" t="s">
        <v>11</v>
      </c>
      <c r="K8" s="53" t="s">
        <v>11</v>
      </c>
      <c r="L8" s="53" t="s">
        <v>11</v>
      </c>
      <c r="M8" s="53" t="s">
        <v>11</v>
      </c>
      <c r="N8" s="53" t="s">
        <v>11</v>
      </c>
      <c r="O8" s="53" t="s">
        <v>11</v>
      </c>
      <c r="P8" s="53" t="s">
        <v>11</v>
      </c>
      <c r="Q8" s="53" t="s">
        <v>11</v>
      </c>
      <c r="R8" s="53" t="s">
        <v>11</v>
      </c>
      <c r="S8" s="53" t="s">
        <v>11</v>
      </c>
    </row>
    <row r="9" spans="1:19" ht="10.5" x14ac:dyDescent="0.2">
      <c r="A9" s="3" t="s">
        <v>12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</row>
    <row r="10" spans="1:19" ht="10.5" x14ac:dyDescent="0.25">
      <c r="A10" s="5" t="s">
        <v>13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:19" ht="10.5" x14ac:dyDescent="0.25">
      <c r="A11" s="6" t="s">
        <v>14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1:19" x14ac:dyDescent="0.2">
      <c r="A12" s="45" t="s">
        <v>15</v>
      </c>
      <c r="B12" s="11">
        <v>310512.5179760051</v>
      </c>
      <c r="C12" s="11">
        <v>0</v>
      </c>
      <c r="D12" s="11">
        <v>15002.439916727559</v>
      </c>
      <c r="E12" s="11">
        <v>5202636.4597296678</v>
      </c>
      <c r="F12" s="11">
        <v>0</v>
      </c>
      <c r="G12" s="11">
        <v>377184.31398892769</v>
      </c>
      <c r="H12" s="11">
        <v>28296.563132267082</v>
      </c>
      <c r="I12" s="11">
        <v>1754.5622181529429</v>
      </c>
      <c r="J12" s="11">
        <v>28705.627529309026</v>
      </c>
      <c r="K12" s="11">
        <v>18087.52725616713</v>
      </c>
      <c r="L12" s="11">
        <v>325967.99324350466</v>
      </c>
      <c r="M12" s="11">
        <v>546.41180056284645</v>
      </c>
      <c r="N12" s="11">
        <v>32343.963156114423</v>
      </c>
      <c r="O12" s="11">
        <v>39502.277348403091</v>
      </c>
      <c r="P12" s="11">
        <v>54927.169166944492</v>
      </c>
      <c r="Q12" s="11">
        <v>11137.93273862469</v>
      </c>
      <c r="R12" s="11">
        <v>694192.71493769414</v>
      </c>
      <c r="S12" s="11">
        <f>SUM(B12:R12)</f>
        <v>7140798.4741390729</v>
      </c>
    </row>
    <row r="13" spans="1:19" x14ac:dyDescent="0.2">
      <c r="A13" s="45" t="s">
        <v>70</v>
      </c>
      <c r="B13" s="11">
        <v>-36033.837079265963</v>
      </c>
      <c r="C13" s="11">
        <v>0</v>
      </c>
      <c r="D13" s="11">
        <v>0</v>
      </c>
      <c r="E13" s="11">
        <v>160649.49380869514</v>
      </c>
      <c r="F13" s="11">
        <v>0</v>
      </c>
      <c r="G13" s="11">
        <v>1372.3016430865728</v>
      </c>
      <c r="H13" s="11">
        <v>0</v>
      </c>
      <c r="I13" s="11">
        <v>0</v>
      </c>
      <c r="J13" s="11">
        <v>0</v>
      </c>
      <c r="K13" s="11">
        <v>0</v>
      </c>
      <c r="L13" s="11">
        <v>184.3075255227827</v>
      </c>
      <c r="M13" s="11">
        <v>0</v>
      </c>
      <c r="N13" s="11">
        <v>0</v>
      </c>
      <c r="O13" s="11">
        <v>187336.46291248311</v>
      </c>
      <c r="P13" s="11">
        <v>0</v>
      </c>
      <c r="Q13" s="11">
        <v>0</v>
      </c>
      <c r="R13" s="11">
        <v>0</v>
      </c>
      <c r="S13" s="11">
        <f>SUM(B13:R13)</f>
        <v>313508.72881052166</v>
      </c>
    </row>
    <row r="14" spans="1:19" x14ac:dyDescent="0.2">
      <c r="A14" s="45" t="s">
        <v>71</v>
      </c>
      <c r="B14" s="11">
        <v>-20725.621418668608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f>SUM(B14:R14)</f>
        <v>-20725.621418668608</v>
      </c>
    </row>
    <row r="15" spans="1:19" x14ac:dyDescent="0.2">
      <c r="A15" s="45" t="s">
        <v>72</v>
      </c>
      <c r="B15" s="11">
        <v>29664.850323166957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f>SUM(B15:R15)</f>
        <v>29664.850323166957</v>
      </c>
    </row>
    <row r="16" spans="1:19" ht="10.5" x14ac:dyDescent="0.25">
      <c r="A16" s="14" t="s">
        <v>56</v>
      </c>
      <c r="B16" s="13">
        <f t="shared" ref="B16:S16" si="0">SUM(B12:B15)</f>
        <v>283417.90980123746</v>
      </c>
      <c r="C16" s="13">
        <f t="shared" si="0"/>
        <v>0</v>
      </c>
      <c r="D16" s="13">
        <f t="shared" si="0"/>
        <v>15002.439916727559</v>
      </c>
      <c r="E16" s="13">
        <f t="shared" si="0"/>
        <v>5363285.9535383629</v>
      </c>
      <c r="F16" s="13">
        <f t="shared" si="0"/>
        <v>0</v>
      </c>
      <c r="G16" s="13">
        <f t="shared" si="0"/>
        <v>378556.61563201429</v>
      </c>
      <c r="H16" s="13">
        <f t="shared" si="0"/>
        <v>28296.563132267082</v>
      </c>
      <c r="I16" s="13">
        <f t="shared" si="0"/>
        <v>1754.5622181529429</v>
      </c>
      <c r="J16" s="13">
        <f t="shared" si="0"/>
        <v>28705.627529309026</v>
      </c>
      <c r="K16" s="13">
        <f t="shared" si="0"/>
        <v>18087.52725616713</v>
      </c>
      <c r="L16" s="13">
        <f t="shared" si="0"/>
        <v>326152.30076902744</v>
      </c>
      <c r="M16" s="13">
        <f t="shared" si="0"/>
        <v>546.41180056284645</v>
      </c>
      <c r="N16" s="13">
        <f t="shared" si="0"/>
        <v>32343.963156114423</v>
      </c>
      <c r="O16" s="13">
        <f t="shared" si="0"/>
        <v>226838.7402608862</v>
      </c>
      <c r="P16" s="13">
        <f t="shared" si="0"/>
        <v>54927.169166944492</v>
      </c>
      <c r="Q16" s="13">
        <f t="shared" si="0"/>
        <v>11137.93273862469</v>
      </c>
      <c r="R16" s="13">
        <f t="shared" si="0"/>
        <v>694192.71493769414</v>
      </c>
      <c r="S16" s="13">
        <f t="shared" si="0"/>
        <v>7463246.4318540925</v>
      </c>
    </row>
    <row r="17" spans="1:19" ht="10.5" x14ac:dyDescent="0.25">
      <c r="A17" s="15" t="s">
        <v>57</v>
      </c>
      <c r="B17" s="13">
        <f t="shared" ref="B17:S17" si="1">SUM(B16)</f>
        <v>283417.90980123746</v>
      </c>
      <c r="C17" s="13">
        <f t="shared" si="1"/>
        <v>0</v>
      </c>
      <c r="D17" s="13">
        <f t="shared" si="1"/>
        <v>15002.439916727559</v>
      </c>
      <c r="E17" s="13">
        <f t="shared" si="1"/>
        <v>5363285.9535383629</v>
      </c>
      <c r="F17" s="13">
        <f t="shared" si="1"/>
        <v>0</v>
      </c>
      <c r="G17" s="13">
        <f t="shared" si="1"/>
        <v>378556.61563201429</v>
      </c>
      <c r="H17" s="13">
        <f t="shared" si="1"/>
        <v>28296.563132267082</v>
      </c>
      <c r="I17" s="13">
        <f t="shared" si="1"/>
        <v>1754.5622181529429</v>
      </c>
      <c r="J17" s="13">
        <f t="shared" si="1"/>
        <v>28705.627529309026</v>
      </c>
      <c r="K17" s="13">
        <f t="shared" si="1"/>
        <v>18087.52725616713</v>
      </c>
      <c r="L17" s="13">
        <f t="shared" si="1"/>
        <v>326152.30076902744</v>
      </c>
      <c r="M17" s="13">
        <f t="shared" si="1"/>
        <v>546.41180056284645</v>
      </c>
      <c r="N17" s="13">
        <f t="shared" si="1"/>
        <v>32343.963156114423</v>
      </c>
      <c r="O17" s="13">
        <f t="shared" si="1"/>
        <v>226838.7402608862</v>
      </c>
      <c r="P17" s="13">
        <f t="shared" si="1"/>
        <v>54927.169166944492</v>
      </c>
      <c r="Q17" s="13">
        <f t="shared" si="1"/>
        <v>11137.93273862469</v>
      </c>
      <c r="R17" s="13">
        <f t="shared" si="1"/>
        <v>694192.71493769414</v>
      </c>
      <c r="S17" s="13">
        <f t="shared" si="1"/>
        <v>7463246.4318540925</v>
      </c>
    </row>
    <row r="18" spans="1:19" ht="10.5" x14ac:dyDescent="0.25">
      <c r="A18" s="5" t="s">
        <v>221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19" ht="10.5" x14ac:dyDescent="0.25">
      <c r="A19" s="6" t="s">
        <v>73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1:19" x14ac:dyDescent="0.2">
      <c r="A20" s="45" t="s">
        <v>74</v>
      </c>
      <c r="B20" s="11">
        <v>98773.890192589373</v>
      </c>
      <c r="C20" s="11">
        <v>0</v>
      </c>
      <c r="D20" s="11">
        <v>11054.646875940618</v>
      </c>
      <c r="E20" s="11">
        <v>1280671.4539904946</v>
      </c>
      <c r="F20" s="11">
        <v>0</v>
      </c>
      <c r="G20" s="11">
        <v>202028.6327498937</v>
      </c>
      <c r="H20" s="11">
        <v>15505.579524117104</v>
      </c>
      <c r="I20" s="11">
        <v>1281.550467740796</v>
      </c>
      <c r="J20" s="11">
        <v>13335.735443709331</v>
      </c>
      <c r="K20" s="11">
        <v>13294.439992567599</v>
      </c>
      <c r="L20" s="11">
        <v>65304.668140285074</v>
      </c>
      <c r="M20" s="11">
        <v>352.19585803912287</v>
      </c>
      <c r="N20" s="11">
        <v>21090.956869445545</v>
      </c>
      <c r="O20" s="11">
        <v>18530.495315527711</v>
      </c>
      <c r="P20" s="11">
        <v>27813.223759827179</v>
      </c>
      <c r="Q20" s="11">
        <v>6522.9020121077483</v>
      </c>
      <c r="R20" s="11">
        <v>404687.28455813107</v>
      </c>
      <c r="S20" s="11">
        <f>SUM(B20:R20)</f>
        <v>2180247.6557504167</v>
      </c>
    </row>
    <row r="21" spans="1:19" x14ac:dyDescent="0.2">
      <c r="A21" s="45" t="s">
        <v>75</v>
      </c>
      <c r="B21" s="11">
        <v>49415.050164174449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f>SUM(B21:R21)</f>
        <v>49415.050164174449</v>
      </c>
    </row>
    <row r="22" spans="1:19" x14ac:dyDescent="0.2">
      <c r="A22" s="45" t="s">
        <v>76</v>
      </c>
      <c r="B22" s="11">
        <v>0</v>
      </c>
      <c r="C22" s="11">
        <v>0</v>
      </c>
      <c r="D22" s="11">
        <v>0</v>
      </c>
      <c r="E22" s="11">
        <v>104730.8704764287</v>
      </c>
      <c r="F22" s="11">
        <v>0</v>
      </c>
      <c r="G22" s="11">
        <v>1607.0641803673848</v>
      </c>
      <c r="H22" s="11">
        <v>0</v>
      </c>
      <c r="I22" s="11">
        <v>0</v>
      </c>
      <c r="J22" s="11">
        <v>0</v>
      </c>
      <c r="K22" s="11">
        <v>0</v>
      </c>
      <c r="L22" s="11">
        <v>391.79721097514135</v>
      </c>
      <c r="M22" s="11">
        <v>0</v>
      </c>
      <c r="N22" s="11">
        <v>0</v>
      </c>
      <c r="O22" s="11">
        <v>131872.79439522393</v>
      </c>
      <c r="P22" s="11">
        <v>0</v>
      </c>
      <c r="Q22" s="11">
        <v>0</v>
      </c>
      <c r="R22" s="11">
        <v>0</v>
      </c>
      <c r="S22" s="11">
        <f>SUM(B22:R22)</f>
        <v>238602.52626299515</v>
      </c>
    </row>
    <row r="23" spans="1:19" x14ac:dyDescent="0.2">
      <c r="A23" s="45" t="s">
        <v>77</v>
      </c>
      <c r="B23" s="11">
        <v>19279.382707593541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f>SUM(B23:R23)</f>
        <v>19279.382707593541</v>
      </c>
    </row>
    <row r="24" spans="1:19" x14ac:dyDescent="0.2">
      <c r="A24" s="45" t="s">
        <v>78</v>
      </c>
      <c r="B24" s="11">
        <v>58153.013154899774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f>SUM(B24:R24)</f>
        <v>58153.013154899774</v>
      </c>
    </row>
    <row r="25" spans="1:19" ht="10.5" x14ac:dyDescent="0.25">
      <c r="A25" s="7" t="s">
        <v>79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spans="1:19" x14ac:dyDescent="0.2">
      <c r="A26" s="8" t="s">
        <v>80</v>
      </c>
      <c r="B26" s="11">
        <v>8.7881204466089997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f>SUM(B26:R26)</f>
        <v>8.7881204466089997</v>
      </c>
    </row>
    <row r="27" spans="1:19" x14ac:dyDescent="0.2">
      <c r="A27" s="8" t="s">
        <v>259</v>
      </c>
      <c r="B27" s="11">
        <v>8.858619570339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f>SUM(B27:R27)</f>
        <v>8.858619570339</v>
      </c>
    </row>
    <row r="28" spans="1:19" x14ac:dyDescent="0.2">
      <c r="A28" s="8" t="s">
        <v>81</v>
      </c>
      <c r="B28" s="11">
        <v>14666.583095811091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f>SUM(B28:R28)</f>
        <v>14666.583095811091</v>
      </c>
    </row>
    <row r="29" spans="1:19" ht="10.5" x14ac:dyDescent="0.25">
      <c r="A29" s="46" t="s">
        <v>82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</row>
    <row r="30" spans="1:19" x14ac:dyDescent="0.2">
      <c r="A30" s="47" t="s">
        <v>83</v>
      </c>
      <c r="B30" s="11">
        <v>68.547339483550203</v>
      </c>
      <c r="C30" s="11">
        <v>0</v>
      </c>
      <c r="D30" s="11">
        <v>0</v>
      </c>
      <c r="E30" s="11">
        <v>0</v>
      </c>
      <c r="F30" s="11">
        <v>0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f>SUM(B30:R30)</f>
        <v>68.547339483550203</v>
      </c>
    </row>
    <row r="31" spans="1:19" x14ac:dyDescent="0.2">
      <c r="A31" s="47" t="s">
        <v>84</v>
      </c>
      <c r="B31" s="11">
        <v>18.4550529378789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f>SUM(B31:R31)</f>
        <v>18.4550529378789</v>
      </c>
    </row>
    <row r="32" spans="1:19" ht="10.5" x14ac:dyDescent="0.25">
      <c r="A32" s="48" t="s">
        <v>85</v>
      </c>
      <c r="B32" s="13">
        <f t="shared" ref="B32:S32" si="2">SUM(B30:B31)</f>
        <v>87.002392421429107</v>
      </c>
      <c r="C32" s="13">
        <f t="shared" si="2"/>
        <v>0</v>
      </c>
      <c r="D32" s="13">
        <f t="shared" si="2"/>
        <v>0</v>
      </c>
      <c r="E32" s="13">
        <f t="shared" si="2"/>
        <v>0</v>
      </c>
      <c r="F32" s="13">
        <f t="shared" si="2"/>
        <v>0</v>
      </c>
      <c r="G32" s="13">
        <f t="shared" si="2"/>
        <v>0</v>
      </c>
      <c r="H32" s="13">
        <f t="shared" si="2"/>
        <v>0</v>
      </c>
      <c r="I32" s="13">
        <f t="shared" si="2"/>
        <v>0</v>
      </c>
      <c r="J32" s="13">
        <f t="shared" si="2"/>
        <v>0</v>
      </c>
      <c r="K32" s="13">
        <f t="shared" si="2"/>
        <v>0</v>
      </c>
      <c r="L32" s="13">
        <f t="shared" si="2"/>
        <v>0</v>
      </c>
      <c r="M32" s="13">
        <f t="shared" si="2"/>
        <v>0</v>
      </c>
      <c r="N32" s="13">
        <f t="shared" si="2"/>
        <v>0</v>
      </c>
      <c r="O32" s="13">
        <f t="shared" si="2"/>
        <v>0</v>
      </c>
      <c r="P32" s="13">
        <f t="shared" si="2"/>
        <v>0</v>
      </c>
      <c r="Q32" s="13">
        <f t="shared" si="2"/>
        <v>0</v>
      </c>
      <c r="R32" s="13">
        <f t="shared" si="2"/>
        <v>0</v>
      </c>
      <c r="S32" s="13">
        <f t="shared" si="2"/>
        <v>87.002392421429107</v>
      </c>
    </row>
    <row r="33" spans="1:19" ht="10.5" x14ac:dyDescent="0.25">
      <c r="A33" s="12" t="s">
        <v>86</v>
      </c>
      <c r="B33" s="13">
        <f t="shared" ref="B33:S33" si="3">SUM(B26:B28,B32)</f>
        <v>14771.232228249468</v>
      </c>
      <c r="C33" s="13">
        <f t="shared" si="3"/>
        <v>0</v>
      </c>
      <c r="D33" s="13">
        <f t="shared" si="3"/>
        <v>0</v>
      </c>
      <c r="E33" s="13">
        <f t="shared" si="3"/>
        <v>0</v>
      </c>
      <c r="F33" s="13">
        <f t="shared" si="3"/>
        <v>0</v>
      </c>
      <c r="G33" s="13">
        <f t="shared" si="3"/>
        <v>0</v>
      </c>
      <c r="H33" s="13">
        <f t="shared" si="3"/>
        <v>0</v>
      </c>
      <c r="I33" s="13">
        <f t="shared" si="3"/>
        <v>0</v>
      </c>
      <c r="J33" s="13">
        <f t="shared" si="3"/>
        <v>0</v>
      </c>
      <c r="K33" s="13">
        <f t="shared" si="3"/>
        <v>0</v>
      </c>
      <c r="L33" s="13">
        <f t="shared" si="3"/>
        <v>0</v>
      </c>
      <c r="M33" s="13">
        <f t="shared" si="3"/>
        <v>0</v>
      </c>
      <c r="N33" s="13">
        <f t="shared" si="3"/>
        <v>0</v>
      </c>
      <c r="O33" s="13">
        <f t="shared" si="3"/>
        <v>0</v>
      </c>
      <c r="P33" s="13">
        <f t="shared" si="3"/>
        <v>0</v>
      </c>
      <c r="Q33" s="13">
        <f t="shared" si="3"/>
        <v>0</v>
      </c>
      <c r="R33" s="13">
        <f t="shared" si="3"/>
        <v>0</v>
      </c>
      <c r="S33" s="13">
        <f t="shared" si="3"/>
        <v>14771.232228249468</v>
      </c>
    </row>
    <row r="34" spans="1:19" ht="10.5" x14ac:dyDescent="0.25">
      <c r="A34" s="14" t="s">
        <v>87</v>
      </c>
      <c r="B34" s="13">
        <f t="shared" ref="B34:S34" si="4">SUM(B20:B24,B33)</f>
        <v>240392.56844750661</v>
      </c>
      <c r="C34" s="13">
        <f t="shared" si="4"/>
        <v>0</v>
      </c>
      <c r="D34" s="13">
        <f t="shared" si="4"/>
        <v>11054.646875940618</v>
      </c>
      <c r="E34" s="13">
        <f t="shared" si="4"/>
        <v>1385402.3244669233</v>
      </c>
      <c r="F34" s="13">
        <f t="shared" si="4"/>
        <v>0</v>
      </c>
      <c r="G34" s="13">
        <f t="shared" si="4"/>
        <v>203635.6969302611</v>
      </c>
      <c r="H34" s="13">
        <f t="shared" si="4"/>
        <v>15505.579524117104</v>
      </c>
      <c r="I34" s="13">
        <f t="shared" si="4"/>
        <v>1281.550467740796</v>
      </c>
      <c r="J34" s="13">
        <f t="shared" si="4"/>
        <v>13335.735443709331</v>
      </c>
      <c r="K34" s="13">
        <f t="shared" si="4"/>
        <v>13294.439992567599</v>
      </c>
      <c r="L34" s="13">
        <f t="shared" si="4"/>
        <v>65696.465351260209</v>
      </c>
      <c r="M34" s="13">
        <f t="shared" si="4"/>
        <v>352.19585803912287</v>
      </c>
      <c r="N34" s="13">
        <f t="shared" si="4"/>
        <v>21090.956869445545</v>
      </c>
      <c r="O34" s="13">
        <f t="shared" si="4"/>
        <v>150403.28971075165</v>
      </c>
      <c r="P34" s="13">
        <f t="shared" si="4"/>
        <v>27813.223759827179</v>
      </c>
      <c r="Q34" s="13">
        <f t="shared" si="4"/>
        <v>6522.9020121077483</v>
      </c>
      <c r="R34" s="13">
        <f t="shared" si="4"/>
        <v>404687.28455813107</v>
      </c>
      <c r="S34" s="13">
        <f t="shared" si="4"/>
        <v>2560468.8602683288</v>
      </c>
    </row>
    <row r="35" spans="1:19" ht="10.5" x14ac:dyDescent="0.25">
      <c r="A35" s="15" t="s">
        <v>231</v>
      </c>
      <c r="B35" s="13">
        <f t="shared" ref="B35:S35" si="5">SUM(B34)</f>
        <v>240392.56844750661</v>
      </c>
      <c r="C35" s="13">
        <f t="shared" si="5"/>
        <v>0</v>
      </c>
      <c r="D35" s="13">
        <f t="shared" si="5"/>
        <v>11054.646875940618</v>
      </c>
      <c r="E35" s="13">
        <f t="shared" si="5"/>
        <v>1385402.3244669233</v>
      </c>
      <c r="F35" s="13">
        <f t="shared" si="5"/>
        <v>0</v>
      </c>
      <c r="G35" s="13">
        <f t="shared" si="5"/>
        <v>203635.6969302611</v>
      </c>
      <c r="H35" s="13">
        <f t="shared" si="5"/>
        <v>15505.579524117104</v>
      </c>
      <c r="I35" s="13">
        <f t="shared" si="5"/>
        <v>1281.550467740796</v>
      </c>
      <c r="J35" s="13">
        <f t="shared" si="5"/>
        <v>13335.735443709331</v>
      </c>
      <c r="K35" s="13">
        <f t="shared" si="5"/>
        <v>13294.439992567599</v>
      </c>
      <c r="L35" s="13">
        <f t="shared" si="5"/>
        <v>65696.465351260209</v>
      </c>
      <c r="M35" s="13">
        <f t="shared" si="5"/>
        <v>352.19585803912287</v>
      </c>
      <c r="N35" s="13">
        <f t="shared" si="5"/>
        <v>21090.956869445545</v>
      </c>
      <c r="O35" s="13">
        <f t="shared" si="5"/>
        <v>150403.28971075165</v>
      </c>
      <c r="P35" s="13">
        <f t="shared" si="5"/>
        <v>27813.223759827179</v>
      </c>
      <c r="Q35" s="13">
        <f t="shared" si="5"/>
        <v>6522.9020121077483</v>
      </c>
      <c r="R35" s="13">
        <f t="shared" si="5"/>
        <v>404687.28455813107</v>
      </c>
      <c r="S35" s="13">
        <f t="shared" si="5"/>
        <v>2560468.8602683288</v>
      </c>
    </row>
    <row r="36" spans="1:19" ht="10.5" x14ac:dyDescent="0.25">
      <c r="A36" s="16" t="s">
        <v>58</v>
      </c>
      <c r="B36" s="18">
        <f t="shared" ref="B36:S36" si="6">B17-B35</f>
        <v>43025.341353730852</v>
      </c>
      <c r="C36" s="18">
        <f t="shared" si="6"/>
        <v>0</v>
      </c>
      <c r="D36" s="18">
        <f t="shared" si="6"/>
        <v>3947.7930407869408</v>
      </c>
      <c r="E36" s="18">
        <f t="shared" si="6"/>
        <v>3977883.6290714396</v>
      </c>
      <c r="F36" s="18">
        <f t="shared" si="6"/>
        <v>0</v>
      </c>
      <c r="G36" s="18">
        <f t="shared" si="6"/>
        <v>174920.91870175319</v>
      </c>
      <c r="H36" s="18">
        <f t="shared" si="6"/>
        <v>12790.983608149978</v>
      </c>
      <c r="I36" s="18">
        <f t="shared" si="6"/>
        <v>473.01175041214697</v>
      </c>
      <c r="J36" s="18">
        <f t="shared" si="6"/>
        <v>15369.892085599695</v>
      </c>
      <c r="K36" s="18">
        <f t="shared" si="6"/>
        <v>4793.0872635995311</v>
      </c>
      <c r="L36" s="18">
        <f t="shared" si="6"/>
        <v>260455.83541776723</v>
      </c>
      <c r="M36" s="18">
        <f t="shared" si="6"/>
        <v>194.21594252372358</v>
      </c>
      <c r="N36" s="18">
        <f t="shared" si="6"/>
        <v>11253.006286668879</v>
      </c>
      <c r="O36" s="18">
        <f t="shared" si="6"/>
        <v>76435.450550134556</v>
      </c>
      <c r="P36" s="18">
        <f t="shared" si="6"/>
        <v>27113.945407117313</v>
      </c>
      <c r="Q36" s="18">
        <f t="shared" si="6"/>
        <v>4615.0307265169413</v>
      </c>
      <c r="R36" s="18">
        <f t="shared" si="6"/>
        <v>289505.43037956307</v>
      </c>
      <c r="S36" s="18">
        <f t="shared" si="6"/>
        <v>4902777.5715857632</v>
      </c>
    </row>
    <row r="37" spans="1:19" ht="10.5" x14ac:dyDescent="0.25">
      <c r="A37" s="5" t="s">
        <v>234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</row>
    <row r="38" spans="1:19" ht="10.5" x14ac:dyDescent="0.25">
      <c r="A38" s="6" t="s">
        <v>88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</row>
    <row r="39" spans="1:19" x14ac:dyDescent="0.2">
      <c r="A39" s="45" t="s">
        <v>89</v>
      </c>
      <c r="B39" s="11">
        <v>979.7783263368334</v>
      </c>
      <c r="C39" s="11">
        <v>0</v>
      </c>
      <c r="D39" s="11">
        <v>0</v>
      </c>
      <c r="E39" s="11">
        <v>0</v>
      </c>
      <c r="F39" s="11">
        <v>0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2382.8355405620559</v>
      </c>
      <c r="P39" s="11">
        <v>0</v>
      </c>
      <c r="Q39" s="11">
        <v>0</v>
      </c>
      <c r="R39" s="11">
        <v>0</v>
      </c>
      <c r="S39" s="11">
        <f>SUM(B39:R39)</f>
        <v>3362.6138668988892</v>
      </c>
    </row>
    <row r="40" spans="1:19" ht="10.5" x14ac:dyDescent="0.25">
      <c r="A40" s="7" t="s">
        <v>90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</row>
    <row r="41" spans="1:19" x14ac:dyDescent="0.2">
      <c r="A41" s="8" t="s">
        <v>91</v>
      </c>
      <c r="B41" s="11">
        <v>401880.52541976311</v>
      </c>
      <c r="C41" s="11">
        <v>0</v>
      </c>
      <c r="D41" s="11">
        <v>0</v>
      </c>
      <c r="E41" s="11">
        <v>0</v>
      </c>
      <c r="F41" s="11">
        <v>0</v>
      </c>
      <c r="G41" s="11">
        <v>0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1">
        <v>0</v>
      </c>
      <c r="S41" s="11">
        <f>SUM(B41:R41)</f>
        <v>401880.52541976311</v>
      </c>
    </row>
    <row r="42" spans="1:19" x14ac:dyDescent="0.2">
      <c r="A42" s="8" t="s">
        <v>92</v>
      </c>
      <c r="B42" s="11">
        <v>1110246.2739760564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f>SUM(B42:R42)</f>
        <v>1110246.2739760564</v>
      </c>
    </row>
    <row r="43" spans="1:19" x14ac:dyDescent="0.2">
      <c r="A43" s="8" t="s">
        <v>93</v>
      </c>
      <c r="B43" s="11">
        <v>136997.05612850701</v>
      </c>
      <c r="C43" s="11">
        <v>0</v>
      </c>
      <c r="D43" s="11">
        <v>0</v>
      </c>
      <c r="E43" s="11">
        <v>0</v>
      </c>
      <c r="F43" s="11">
        <v>0</v>
      </c>
      <c r="G43" s="11">
        <v>0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f>SUM(B43:R43)</f>
        <v>136997.05612850701</v>
      </c>
    </row>
    <row r="44" spans="1:19" x14ac:dyDescent="0.2">
      <c r="A44" s="8" t="s">
        <v>94</v>
      </c>
      <c r="B44" s="11">
        <v>40144.56247306805</v>
      </c>
      <c r="C44" s="11">
        <v>0</v>
      </c>
      <c r="D44" s="11">
        <v>0</v>
      </c>
      <c r="E44" s="11">
        <v>0</v>
      </c>
      <c r="F44" s="11">
        <v>0</v>
      </c>
      <c r="G44" s="11">
        <v>0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0</v>
      </c>
      <c r="R44" s="11">
        <v>0</v>
      </c>
      <c r="S44" s="11">
        <f>SUM(B44:R44)</f>
        <v>40144.56247306805</v>
      </c>
    </row>
    <row r="45" spans="1:19" ht="10.5" x14ac:dyDescent="0.25">
      <c r="A45" s="12" t="s">
        <v>95</v>
      </c>
      <c r="B45" s="13">
        <f t="shared" ref="B45:S45" si="7">SUM(B41:B44)</f>
        <v>1689268.4179973945</v>
      </c>
      <c r="C45" s="13">
        <f t="shared" si="7"/>
        <v>0</v>
      </c>
      <c r="D45" s="13">
        <f t="shared" si="7"/>
        <v>0</v>
      </c>
      <c r="E45" s="13">
        <f t="shared" si="7"/>
        <v>0</v>
      </c>
      <c r="F45" s="13">
        <f t="shared" si="7"/>
        <v>0</v>
      </c>
      <c r="G45" s="13">
        <f t="shared" si="7"/>
        <v>0</v>
      </c>
      <c r="H45" s="13">
        <f t="shared" si="7"/>
        <v>0</v>
      </c>
      <c r="I45" s="13">
        <f t="shared" si="7"/>
        <v>0</v>
      </c>
      <c r="J45" s="13">
        <f t="shared" si="7"/>
        <v>0</v>
      </c>
      <c r="K45" s="13">
        <f t="shared" si="7"/>
        <v>0</v>
      </c>
      <c r="L45" s="13">
        <f t="shared" si="7"/>
        <v>0</v>
      </c>
      <c r="M45" s="13">
        <f t="shared" si="7"/>
        <v>0</v>
      </c>
      <c r="N45" s="13">
        <f t="shared" si="7"/>
        <v>0</v>
      </c>
      <c r="O45" s="13">
        <f t="shared" si="7"/>
        <v>0</v>
      </c>
      <c r="P45" s="13">
        <f t="shared" si="7"/>
        <v>0</v>
      </c>
      <c r="Q45" s="13">
        <f t="shared" si="7"/>
        <v>0</v>
      </c>
      <c r="R45" s="13">
        <f t="shared" si="7"/>
        <v>0</v>
      </c>
      <c r="S45" s="13">
        <f t="shared" si="7"/>
        <v>1689268.4179973945</v>
      </c>
    </row>
    <row r="46" spans="1:19" ht="10.5" x14ac:dyDescent="0.25">
      <c r="A46" s="7" t="s">
        <v>96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</row>
    <row r="47" spans="1:19" x14ac:dyDescent="0.2">
      <c r="A47" s="8" t="s">
        <v>97</v>
      </c>
      <c r="B47" s="11">
        <v>9378.8898360178591</v>
      </c>
      <c r="C47" s="11">
        <v>0</v>
      </c>
      <c r="D47" s="11">
        <v>0</v>
      </c>
      <c r="E47" s="11">
        <v>0</v>
      </c>
      <c r="F47" s="11">
        <v>0</v>
      </c>
      <c r="G47" s="11">
        <v>0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f>SUM(B47:R47)</f>
        <v>9378.8898360178591</v>
      </c>
    </row>
    <row r="48" spans="1:19" x14ac:dyDescent="0.2">
      <c r="A48" s="8" t="s">
        <v>98</v>
      </c>
      <c r="B48" s="11">
        <v>19358.85578515815</v>
      </c>
      <c r="C48" s="11">
        <v>0</v>
      </c>
      <c r="D48" s="11">
        <v>0</v>
      </c>
      <c r="E48" s="11">
        <v>0</v>
      </c>
      <c r="F48" s="11">
        <v>0</v>
      </c>
      <c r="G48" s="11">
        <v>0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f>SUM(B48:R48)</f>
        <v>19358.85578515815</v>
      </c>
    </row>
    <row r="49" spans="1:19" x14ac:dyDescent="0.2">
      <c r="A49" s="8" t="s">
        <v>99</v>
      </c>
      <c r="B49" s="11">
        <v>21492.120991764608</v>
      </c>
      <c r="C49" s="11">
        <v>0</v>
      </c>
      <c r="D49" s="11">
        <v>0</v>
      </c>
      <c r="E49" s="11">
        <v>0</v>
      </c>
      <c r="F49" s="11">
        <v>0</v>
      </c>
      <c r="G49" s="11">
        <v>0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f>SUM(B49:R49)</f>
        <v>21492.120991764608</v>
      </c>
    </row>
    <row r="50" spans="1:19" x14ac:dyDescent="0.2">
      <c r="A50" s="8" t="s">
        <v>100</v>
      </c>
      <c r="B50" s="11">
        <v>-1082.8501568622787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1">
        <v>0</v>
      </c>
      <c r="S50" s="11">
        <f>SUM(B50:R50)</f>
        <v>-1082.8501568622787</v>
      </c>
    </row>
    <row r="51" spans="1:19" ht="10.5" x14ac:dyDescent="0.25">
      <c r="A51" s="12" t="s">
        <v>101</v>
      </c>
      <c r="B51" s="13">
        <f t="shared" ref="B51:S51" si="8">SUM(B47:B50)</f>
        <v>49147.016456078338</v>
      </c>
      <c r="C51" s="13">
        <f t="shared" si="8"/>
        <v>0</v>
      </c>
      <c r="D51" s="13">
        <f t="shared" si="8"/>
        <v>0</v>
      </c>
      <c r="E51" s="13">
        <f t="shared" si="8"/>
        <v>0</v>
      </c>
      <c r="F51" s="13">
        <f t="shared" si="8"/>
        <v>0</v>
      </c>
      <c r="G51" s="13">
        <f t="shared" si="8"/>
        <v>0</v>
      </c>
      <c r="H51" s="13">
        <f t="shared" si="8"/>
        <v>0</v>
      </c>
      <c r="I51" s="13">
        <f t="shared" si="8"/>
        <v>0</v>
      </c>
      <c r="J51" s="13">
        <f t="shared" si="8"/>
        <v>0</v>
      </c>
      <c r="K51" s="13">
        <f t="shared" si="8"/>
        <v>0</v>
      </c>
      <c r="L51" s="13">
        <f t="shared" si="8"/>
        <v>0</v>
      </c>
      <c r="M51" s="13">
        <f t="shared" si="8"/>
        <v>0</v>
      </c>
      <c r="N51" s="13">
        <f t="shared" si="8"/>
        <v>0</v>
      </c>
      <c r="O51" s="13">
        <f t="shared" si="8"/>
        <v>0</v>
      </c>
      <c r="P51" s="13">
        <f t="shared" si="8"/>
        <v>0</v>
      </c>
      <c r="Q51" s="13">
        <f t="shared" si="8"/>
        <v>0</v>
      </c>
      <c r="R51" s="13">
        <f t="shared" si="8"/>
        <v>0</v>
      </c>
      <c r="S51" s="13">
        <f t="shared" si="8"/>
        <v>49147.016456078338</v>
      </c>
    </row>
    <row r="52" spans="1:19" ht="10.5" x14ac:dyDescent="0.25">
      <c r="A52" s="7" t="s">
        <v>102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</row>
    <row r="53" spans="1:19" x14ac:dyDescent="0.2">
      <c r="A53" s="8" t="s">
        <v>103</v>
      </c>
      <c r="B53" s="11">
        <v>74421.416207032336</v>
      </c>
      <c r="C53" s="11">
        <v>0</v>
      </c>
      <c r="D53" s="11">
        <v>0</v>
      </c>
      <c r="E53" s="11">
        <v>0</v>
      </c>
      <c r="F53" s="11">
        <v>0</v>
      </c>
      <c r="G53" s="11">
        <v>0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31041.32561166201</v>
      </c>
      <c r="P53" s="11">
        <v>0</v>
      </c>
      <c r="Q53" s="11">
        <v>0</v>
      </c>
      <c r="R53" s="11">
        <v>0</v>
      </c>
      <c r="S53" s="11">
        <f>SUM(B53:R53)</f>
        <v>105462.74181869434</v>
      </c>
    </row>
    <row r="54" spans="1:19" x14ac:dyDescent="0.2">
      <c r="A54" s="8" t="s">
        <v>104</v>
      </c>
      <c r="B54" s="11">
        <v>235677.86058557706</v>
      </c>
      <c r="C54" s="11">
        <v>0</v>
      </c>
      <c r="D54" s="11">
        <v>0</v>
      </c>
      <c r="E54" s="11">
        <v>15711.302987305964</v>
      </c>
      <c r="F54" s="11">
        <v>0</v>
      </c>
      <c r="G54" s="11">
        <v>0</v>
      </c>
      <c r="H54" s="11">
        <v>0</v>
      </c>
      <c r="I54" s="11">
        <v>0</v>
      </c>
      <c r="J54" s="11">
        <v>0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  <c r="P54" s="11">
        <v>0</v>
      </c>
      <c r="Q54" s="11">
        <v>0</v>
      </c>
      <c r="R54" s="11">
        <v>17949.628776841135</v>
      </c>
      <c r="S54" s="11">
        <f>SUM(B54:R54)</f>
        <v>269338.79234972416</v>
      </c>
    </row>
    <row r="55" spans="1:19" ht="10.5" x14ac:dyDescent="0.25">
      <c r="A55" s="12" t="s">
        <v>105</v>
      </c>
      <c r="B55" s="13">
        <f t="shared" ref="B55:S55" si="9">SUM(B53:B54)</f>
        <v>310099.27679260937</v>
      </c>
      <c r="C55" s="13">
        <f t="shared" si="9"/>
        <v>0</v>
      </c>
      <c r="D55" s="13">
        <f t="shared" si="9"/>
        <v>0</v>
      </c>
      <c r="E55" s="13">
        <f t="shared" si="9"/>
        <v>15711.302987305964</v>
      </c>
      <c r="F55" s="13">
        <f t="shared" si="9"/>
        <v>0</v>
      </c>
      <c r="G55" s="13">
        <f t="shared" si="9"/>
        <v>0</v>
      </c>
      <c r="H55" s="13">
        <f t="shared" si="9"/>
        <v>0</v>
      </c>
      <c r="I55" s="13">
        <f t="shared" si="9"/>
        <v>0</v>
      </c>
      <c r="J55" s="13">
        <f t="shared" si="9"/>
        <v>0</v>
      </c>
      <c r="K55" s="13">
        <f t="shared" si="9"/>
        <v>0</v>
      </c>
      <c r="L55" s="13">
        <f t="shared" si="9"/>
        <v>0</v>
      </c>
      <c r="M55" s="13">
        <f t="shared" si="9"/>
        <v>0</v>
      </c>
      <c r="N55" s="13">
        <f t="shared" si="9"/>
        <v>0</v>
      </c>
      <c r="O55" s="13">
        <f t="shared" si="9"/>
        <v>31041.32561166201</v>
      </c>
      <c r="P55" s="13">
        <f t="shared" si="9"/>
        <v>0</v>
      </c>
      <c r="Q55" s="13">
        <f t="shared" si="9"/>
        <v>0</v>
      </c>
      <c r="R55" s="13">
        <f t="shared" si="9"/>
        <v>17949.628776841135</v>
      </c>
      <c r="S55" s="13">
        <f t="shared" si="9"/>
        <v>374801.5341684185</v>
      </c>
    </row>
    <row r="56" spans="1:19" ht="10.5" x14ac:dyDescent="0.25">
      <c r="A56" s="7" t="s">
        <v>106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</row>
    <row r="57" spans="1:19" x14ac:dyDescent="0.2">
      <c r="A57" s="8" t="s">
        <v>107</v>
      </c>
      <c r="B57" s="11">
        <v>3963.1436239735185</v>
      </c>
      <c r="C57" s="11">
        <v>0</v>
      </c>
      <c r="D57" s="11">
        <v>0</v>
      </c>
      <c r="E57" s="11">
        <v>0</v>
      </c>
      <c r="F57" s="11">
        <v>0</v>
      </c>
      <c r="G57" s="11">
        <v>0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f>SUM(B57:R57)</f>
        <v>3963.1436239735185</v>
      </c>
    </row>
    <row r="58" spans="1:19" x14ac:dyDescent="0.2">
      <c r="A58" s="8" t="s">
        <v>108</v>
      </c>
      <c r="B58" s="11">
        <v>1330.9817683376032</v>
      </c>
      <c r="C58" s="11">
        <v>0</v>
      </c>
      <c r="D58" s="11">
        <v>0</v>
      </c>
      <c r="E58" s="11">
        <v>0</v>
      </c>
      <c r="F58" s="11">
        <v>0</v>
      </c>
      <c r="G58" s="11">
        <v>0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f>SUM(B58:R58)</f>
        <v>1330.9817683376032</v>
      </c>
    </row>
    <row r="59" spans="1:19" ht="10.5" x14ac:dyDescent="0.25">
      <c r="A59" s="12" t="s">
        <v>109</v>
      </c>
      <c r="B59" s="13">
        <f t="shared" ref="B59:S59" si="10">SUM(B57:B58)</f>
        <v>5294.1253923111217</v>
      </c>
      <c r="C59" s="13">
        <f t="shared" si="10"/>
        <v>0</v>
      </c>
      <c r="D59" s="13">
        <f t="shared" si="10"/>
        <v>0</v>
      </c>
      <c r="E59" s="13">
        <f t="shared" si="10"/>
        <v>0</v>
      </c>
      <c r="F59" s="13">
        <f t="shared" si="10"/>
        <v>0</v>
      </c>
      <c r="G59" s="13">
        <f t="shared" si="10"/>
        <v>0</v>
      </c>
      <c r="H59" s="13">
        <f t="shared" si="10"/>
        <v>0</v>
      </c>
      <c r="I59" s="13">
        <f t="shared" si="10"/>
        <v>0</v>
      </c>
      <c r="J59" s="13">
        <f t="shared" si="10"/>
        <v>0</v>
      </c>
      <c r="K59" s="13">
        <f t="shared" si="10"/>
        <v>0</v>
      </c>
      <c r="L59" s="13">
        <f t="shared" si="10"/>
        <v>0</v>
      </c>
      <c r="M59" s="13">
        <f t="shared" si="10"/>
        <v>0</v>
      </c>
      <c r="N59" s="13">
        <f t="shared" si="10"/>
        <v>0</v>
      </c>
      <c r="O59" s="13">
        <f t="shared" si="10"/>
        <v>0</v>
      </c>
      <c r="P59" s="13">
        <f t="shared" si="10"/>
        <v>0</v>
      </c>
      <c r="Q59" s="13">
        <f t="shared" si="10"/>
        <v>0</v>
      </c>
      <c r="R59" s="13">
        <f t="shared" si="10"/>
        <v>0</v>
      </c>
      <c r="S59" s="13">
        <f t="shared" si="10"/>
        <v>5294.1253923111217</v>
      </c>
    </row>
    <row r="60" spans="1:19" ht="10.5" x14ac:dyDescent="0.25">
      <c r="A60" s="7" t="s">
        <v>110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</row>
    <row r="61" spans="1:19" x14ac:dyDescent="0.2">
      <c r="A61" s="8" t="s">
        <v>111</v>
      </c>
      <c r="B61" s="11">
        <v>21425.32389402539</v>
      </c>
      <c r="C61" s="11">
        <v>0</v>
      </c>
      <c r="D61" s="11">
        <v>0</v>
      </c>
      <c r="E61" s="11">
        <v>0</v>
      </c>
      <c r="F61" s="11">
        <v>0</v>
      </c>
      <c r="G61" s="11">
        <v>8.9866807224167875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268.99132442353982</v>
      </c>
      <c r="S61" s="11">
        <f t="shared" ref="S61:S69" si="11">SUM(B61:R61)</f>
        <v>21703.301899171347</v>
      </c>
    </row>
    <row r="62" spans="1:19" x14ac:dyDescent="0.2">
      <c r="A62" s="8" t="s">
        <v>112</v>
      </c>
      <c r="B62" s="11">
        <v>46861.877873506761</v>
      </c>
      <c r="C62" s="11">
        <v>0</v>
      </c>
      <c r="D62" s="11">
        <v>0</v>
      </c>
      <c r="E62" s="11">
        <v>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602.54236601253558</v>
      </c>
      <c r="S62" s="11">
        <f t="shared" si="11"/>
        <v>47464.420239519299</v>
      </c>
    </row>
    <row r="63" spans="1:19" x14ac:dyDescent="0.2">
      <c r="A63" s="8" t="s">
        <v>113</v>
      </c>
      <c r="B63" s="11">
        <v>37616.596463235292</v>
      </c>
      <c r="C63" s="11">
        <v>0</v>
      </c>
      <c r="D63" s="11">
        <v>0</v>
      </c>
      <c r="E63" s="11">
        <v>0</v>
      </c>
      <c r="F63" s="11">
        <v>0</v>
      </c>
      <c r="G63" s="11">
        <v>0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571.68980090254456</v>
      </c>
      <c r="S63" s="11">
        <f t="shared" si="11"/>
        <v>38188.286264137838</v>
      </c>
    </row>
    <row r="64" spans="1:19" x14ac:dyDescent="0.2">
      <c r="A64" s="8" t="s">
        <v>114</v>
      </c>
      <c r="B64" s="11">
        <v>-41906.901579778365</v>
      </c>
      <c r="C64" s="11">
        <v>0</v>
      </c>
      <c r="D64" s="11">
        <v>0</v>
      </c>
      <c r="E64" s="11">
        <v>0</v>
      </c>
      <c r="F64" s="11">
        <v>0</v>
      </c>
      <c r="G64" s="11">
        <v>57.554697426678182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1917.2520615640515</v>
      </c>
      <c r="S64" s="11">
        <f t="shared" si="11"/>
        <v>-39932.094820787635</v>
      </c>
    </row>
    <row r="65" spans="1:19" x14ac:dyDescent="0.2">
      <c r="A65" s="8" t="s">
        <v>115</v>
      </c>
      <c r="B65" s="11">
        <v>0</v>
      </c>
      <c r="C65" s="11">
        <v>0</v>
      </c>
      <c r="D65" s="11">
        <v>0</v>
      </c>
      <c r="E65" s="11">
        <v>24.538659146390458</v>
      </c>
      <c r="F65" s="11">
        <v>0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1">
        <v>0</v>
      </c>
      <c r="S65" s="11">
        <f t="shared" si="11"/>
        <v>24.538659146390458</v>
      </c>
    </row>
    <row r="66" spans="1:19" x14ac:dyDescent="0.2">
      <c r="A66" s="8" t="s">
        <v>116</v>
      </c>
      <c r="B66" s="11">
        <v>4671.5263042366223</v>
      </c>
      <c r="C66" s="11">
        <v>0</v>
      </c>
      <c r="D66" s="11">
        <v>0</v>
      </c>
      <c r="E66" s="11">
        <v>0</v>
      </c>
      <c r="F66" s="11">
        <v>0</v>
      </c>
      <c r="G66" s="11">
        <v>363.0818715872436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157.26119906124055</v>
      </c>
      <c r="S66" s="11">
        <f t="shared" si="11"/>
        <v>5191.8693748851065</v>
      </c>
    </row>
    <row r="67" spans="1:19" x14ac:dyDescent="0.2">
      <c r="A67" s="8" t="s">
        <v>117</v>
      </c>
      <c r="B67" s="11">
        <v>11808.534941339365</v>
      </c>
      <c r="C67" s="11">
        <v>0</v>
      </c>
      <c r="D67" s="11">
        <v>0</v>
      </c>
      <c r="E67" s="11">
        <v>0</v>
      </c>
      <c r="F67" s="11">
        <v>0</v>
      </c>
      <c r="G67" s="11">
        <v>0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f t="shared" si="11"/>
        <v>11808.534941339365</v>
      </c>
    </row>
    <row r="68" spans="1:19" x14ac:dyDescent="0.2">
      <c r="A68" s="8" t="s">
        <v>118</v>
      </c>
      <c r="B68" s="11">
        <v>11115.793313459513</v>
      </c>
      <c r="C68" s="11">
        <v>0</v>
      </c>
      <c r="D68" s="11">
        <v>0</v>
      </c>
      <c r="E68" s="11">
        <v>0</v>
      </c>
      <c r="F68" s="11">
        <v>0</v>
      </c>
      <c r="G68" s="11">
        <v>0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f t="shared" si="11"/>
        <v>11115.793313459513</v>
      </c>
    </row>
    <row r="69" spans="1:19" x14ac:dyDescent="0.2">
      <c r="A69" s="8" t="s">
        <v>119</v>
      </c>
      <c r="B69" s="11">
        <v>13465.988707846145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0</v>
      </c>
      <c r="I69" s="11">
        <v>0</v>
      </c>
      <c r="J69" s="11">
        <v>0</v>
      </c>
      <c r="K69" s="11">
        <v>0</v>
      </c>
      <c r="L69" s="11">
        <v>16.295852984359204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f t="shared" si="11"/>
        <v>13482.284560830505</v>
      </c>
    </row>
    <row r="70" spans="1:19" ht="10.5" x14ac:dyDescent="0.25">
      <c r="A70" s="12" t="s">
        <v>120</v>
      </c>
      <c r="B70" s="13">
        <f t="shared" ref="B70:S70" si="12">SUM(B61:B69)</f>
        <v>105058.73991787074</v>
      </c>
      <c r="C70" s="13">
        <f t="shared" si="12"/>
        <v>0</v>
      </c>
      <c r="D70" s="13">
        <f t="shared" si="12"/>
        <v>0</v>
      </c>
      <c r="E70" s="13">
        <f t="shared" si="12"/>
        <v>24.538659146390458</v>
      </c>
      <c r="F70" s="13">
        <f t="shared" si="12"/>
        <v>0</v>
      </c>
      <c r="G70" s="13">
        <f t="shared" si="12"/>
        <v>429.62324973633855</v>
      </c>
      <c r="H70" s="13">
        <f t="shared" si="12"/>
        <v>0</v>
      </c>
      <c r="I70" s="13">
        <f t="shared" si="12"/>
        <v>0</v>
      </c>
      <c r="J70" s="13">
        <f t="shared" si="12"/>
        <v>0</v>
      </c>
      <c r="K70" s="13">
        <f t="shared" si="12"/>
        <v>0</v>
      </c>
      <c r="L70" s="13">
        <f t="shared" si="12"/>
        <v>16.295852984359204</v>
      </c>
      <c r="M70" s="13">
        <f t="shared" si="12"/>
        <v>0</v>
      </c>
      <c r="N70" s="13">
        <f t="shared" si="12"/>
        <v>0</v>
      </c>
      <c r="O70" s="13">
        <f t="shared" si="12"/>
        <v>0</v>
      </c>
      <c r="P70" s="13">
        <f t="shared" si="12"/>
        <v>0</v>
      </c>
      <c r="Q70" s="13">
        <f t="shared" si="12"/>
        <v>0</v>
      </c>
      <c r="R70" s="13">
        <f t="shared" si="12"/>
        <v>3517.736751963912</v>
      </c>
      <c r="S70" s="13">
        <f t="shared" si="12"/>
        <v>109046.93443170172</v>
      </c>
    </row>
    <row r="71" spans="1:19" ht="10.5" x14ac:dyDescent="0.25">
      <c r="A71" s="7" t="s">
        <v>121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</row>
    <row r="72" spans="1:19" x14ac:dyDescent="0.2">
      <c r="A72" s="8" t="s">
        <v>122</v>
      </c>
      <c r="B72" s="11">
        <v>267455.23944271565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4089.9556595989457</v>
      </c>
      <c r="S72" s="11">
        <f>SUM(B72:R72)</f>
        <v>271545.19510231458</v>
      </c>
    </row>
    <row r="73" spans="1:19" x14ac:dyDescent="0.2">
      <c r="A73" s="8" t="s">
        <v>123</v>
      </c>
      <c r="B73" s="11">
        <v>28237.303841548106</v>
      </c>
      <c r="C73" s="11">
        <v>2852.835671244758</v>
      </c>
      <c r="D73" s="11">
        <v>0</v>
      </c>
      <c r="E73" s="11">
        <v>17291.162306219183</v>
      </c>
      <c r="F73" s="11">
        <v>0</v>
      </c>
      <c r="G73" s="11">
        <v>8005.3194527498699</v>
      </c>
      <c r="H73" s="11">
        <v>1379.9901696368479</v>
      </c>
      <c r="I73" s="11">
        <v>0</v>
      </c>
      <c r="J73" s="11">
        <v>0</v>
      </c>
      <c r="K73" s="11">
        <v>0</v>
      </c>
      <c r="L73" s="11">
        <v>705.20018329597804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7008.6981135905125</v>
      </c>
      <c r="S73" s="11">
        <f>SUM(B73:R73)</f>
        <v>65480.509738285262</v>
      </c>
    </row>
    <row r="74" spans="1:19" x14ac:dyDescent="0.2">
      <c r="A74" s="8" t="s">
        <v>124</v>
      </c>
      <c r="B74" s="11">
        <v>544490.51406830852</v>
      </c>
      <c r="C74" s="11">
        <v>0</v>
      </c>
      <c r="D74" s="11">
        <v>0</v>
      </c>
      <c r="E74" s="11">
        <v>0</v>
      </c>
      <c r="F74" s="11">
        <v>0</v>
      </c>
      <c r="G74" s="11">
        <v>0</v>
      </c>
      <c r="H74" s="11">
        <v>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0</v>
      </c>
      <c r="R74" s="11">
        <v>23474.82105494737</v>
      </c>
      <c r="S74" s="11">
        <f>SUM(B74:R74)</f>
        <v>567965.33512325585</v>
      </c>
    </row>
    <row r="75" spans="1:19" x14ac:dyDescent="0.2">
      <c r="A75" s="8" t="s">
        <v>125</v>
      </c>
      <c r="B75" s="11">
        <v>221288.54749198555</v>
      </c>
      <c r="C75" s="11">
        <v>0</v>
      </c>
      <c r="D75" s="11">
        <v>0</v>
      </c>
      <c r="E75" s="11">
        <v>0</v>
      </c>
      <c r="F75" s="11">
        <v>0</v>
      </c>
      <c r="G75" s="11">
        <v>0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f>SUM(B75:R75)</f>
        <v>221288.54749198555</v>
      </c>
    </row>
    <row r="76" spans="1:19" x14ac:dyDescent="0.2">
      <c r="A76" s="8" t="s">
        <v>126</v>
      </c>
      <c r="B76" s="11">
        <v>5882.0541661671559</v>
      </c>
      <c r="C76" s="11">
        <v>0</v>
      </c>
      <c r="D76" s="11">
        <v>0</v>
      </c>
      <c r="E76" s="11">
        <v>0</v>
      </c>
      <c r="F76" s="11">
        <v>0</v>
      </c>
      <c r="G76" s="11">
        <v>0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f>SUM(B76:R76)</f>
        <v>5882.0541661671559</v>
      </c>
    </row>
    <row r="77" spans="1:19" ht="10.5" x14ac:dyDescent="0.25">
      <c r="A77" s="12" t="s">
        <v>127</v>
      </c>
      <c r="B77" s="13">
        <f t="shared" ref="B77:S77" si="13">SUM(B72:B76)</f>
        <v>1067353.6590107249</v>
      </c>
      <c r="C77" s="13">
        <f t="shared" si="13"/>
        <v>2852.835671244758</v>
      </c>
      <c r="D77" s="13">
        <f t="shared" si="13"/>
        <v>0</v>
      </c>
      <c r="E77" s="13">
        <f t="shared" si="13"/>
        <v>17291.162306219183</v>
      </c>
      <c r="F77" s="13">
        <f t="shared" si="13"/>
        <v>0</v>
      </c>
      <c r="G77" s="13">
        <f t="shared" si="13"/>
        <v>8005.3194527498699</v>
      </c>
      <c r="H77" s="13">
        <f t="shared" si="13"/>
        <v>1379.9901696368479</v>
      </c>
      <c r="I77" s="13">
        <f t="shared" si="13"/>
        <v>0</v>
      </c>
      <c r="J77" s="13">
        <f t="shared" si="13"/>
        <v>0</v>
      </c>
      <c r="K77" s="13">
        <f t="shared" si="13"/>
        <v>0</v>
      </c>
      <c r="L77" s="13">
        <f t="shared" si="13"/>
        <v>705.20018329597804</v>
      </c>
      <c r="M77" s="13">
        <f t="shared" si="13"/>
        <v>0</v>
      </c>
      <c r="N77" s="13">
        <f t="shared" si="13"/>
        <v>0</v>
      </c>
      <c r="O77" s="13">
        <f t="shared" si="13"/>
        <v>0</v>
      </c>
      <c r="P77" s="13">
        <f t="shared" si="13"/>
        <v>0</v>
      </c>
      <c r="Q77" s="13">
        <f t="shared" si="13"/>
        <v>0</v>
      </c>
      <c r="R77" s="13">
        <f t="shared" si="13"/>
        <v>34573.47482813683</v>
      </c>
      <c r="S77" s="13">
        <f t="shared" si="13"/>
        <v>1132161.6416220083</v>
      </c>
    </row>
    <row r="78" spans="1:19" ht="10.5" x14ac:dyDescent="0.25">
      <c r="A78" s="7" t="s">
        <v>128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</row>
    <row r="79" spans="1:19" x14ac:dyDescent="0.2">
      <c r="A79" s="8" t="s">
        <v>129</v>
      </c>
      <c r="B79" s="11">
        <v>22652.687232345292</v>
      </c>
      <c r="C79" s="11">
        <v>0</v>
      </c>
      <c r="D79" s="11">
        <v>0</v>
      </c>
      <c r="E79" s="11">
        <v>0</v>
      </c>
      <c r="F79" s="11">
        <v>0</v>
      </c>
      <c r="G79" s="11">
        <v>979.16876111292788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508.01296178542282</v>
      </c>
      <c r="S79" s="11">
        <f>SUM(B79:R79)</f>
        <v>24139.868955243641</v>
      </c>
    </row>
    <row r="80" spans="1:19" x14ac:dyDescent="0.2">
      <c r="A80" s="8" t="s">
        <v>130</v>
      </c>
      <c r="B80" s="11">
        <v>19485.513389833104</v>
      </c>
      <c r="C80" s="11">
        <v>0</v>
      </c>
      <c r="D80" s="11">
        <v>0</v>
      </c>
      <c r="E80" s="11">
        <v>0</v>
      </c>
      <c r="F80" s="11">
        <v>0</v>
      </c>
      <c r="G80" s="11">
        <v>195.05009076605563</v>
      </c>
      <c r="H80" s="11">
        <v>0</v>
      </c>
      <c r="I80" s="11">
        <v>0</v>
      </c>
      <c r="J80" s="11">
        <v>0</v>
      </c>
      <c r="K80" s="11">
        <v>0</v>
      </c>
      <c r="L80" s="11">
        <v>48.409098797614604</v>
      </c>
      <c r="M80" s="11">
        <v>0</v>
      </c>
      <c r="N80" s="11">
        <v>0</v>
      </c>
      <c r="O80" s="11">
        <v>0</v>
      </c>
      <c r="P80" s="11">
        <v>0</v>
      </c>
      <c r="Q80" s="11">
        <v>0</v>
      </c>
      <c r="R80" s="11">
        <v>426.50686276927763</v>
      </c>
      <c r="S80" s="11">
        <f>SUM(B80:R80)</f>
        <v>20155.479442166055</v>
      </c>
    </row>
    <row r="81" spans="1:19" x14ac:dyDescent="0.2">
      <c r="A81" s="8" t="s">
        <v>131</v>
      </c>
      <c r="B81" s="11">
        <v>18287.866536187543</v>
      </c>
      <c r="C81" s="11">
        <v>0</v>
      </c>
      <c r="D81" s="11">
        <v>0</v>
      </c>
      <c r="E81" s="11">
        <v>0</v>
      </c>
      <c r="F81" s="11">
        <v>0</v>
      </c>
      <c r="G81" s="11">
        <v>0</v>
      </c>
      <c r="H81" s="11">
        <v>0</v>
      </c>
      <c r="I81" s="11">
        <v>0</v>
      </c>
      <c r="J81" s="11">
        <v>0</v>
      </c>
      <c r="K81" s="11">
        <v>0</v>
      </c>
      <c r="L81" s="11">
        <v>941.42613982298644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1">
        <v>0</v>
      </c>
      <c r="S81" s="11">
        <f>SUM(B81:R81)</f>
        <v>19229.292676010529</v>
      </c>
    </row>
    <row r="82" spans="1:19" x14ac:dyDescent="0.2">
      <c r="A82" s="8" t="s">
        <v>132</v>
      </c>
      <c r="B82" s="11">
        <v>91837.462273162062</v>
      </c>
      <c r="C82" s="11">
        <v>0</v>
      </c>
      <c r="D82" s="11">
        <v>0</v>
      </c>
      <c r="E82" s="11">
        <v>1209.8282505177981</v>
      </c>
      <c r="F82" s="11">
        <v>0</v>
      </c>
      <c r="G82" s="11">
        <v>0</v>
      </c>
      <c r="H82" s="11">
        <v>0</v>
      </c>
      <c r="I82" s="11">
        <v>0</v>
      </c>
      <c r="J82" s="11">
        <v>0</v>
      </c>
      <c r="K82" s="11">
        <v>0</v>
      </c>
      <c r="L82" s="11">
        <v>1196.8753231649669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390.5306923721119</v>
      </c>
      <c r="S82" s="11">
        <f>SUM(B82:R82)</f>
        <v>94634.696539216922</v>
      </c>
    </row>
    <row r="83" spans="1:19" x14ac:dyDescent="0.2">
      <c r="A83" s="8" t="s">
        <v>133</v>
      </c>
      <c r="B83" s="11">
        <v>307.34012607511755</v>
      </c>
      <c r="C83" s="11">
        <v>0</v>
      </c>
      <c r="D83" s="11">
        <v>0</v>
      </c>
      <c r="E83" s="11">
        <v>0</v>
      </c>
      <c r="F83" s="11">
        <v>0</v>
      </c>
      <c r="G83" s="11">
        <v>0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f>SUM(B83:R83)</f>
        <v>307.34012607511755</v>
      </c>
    </row>
    <row r="84" spans="1:19" ht="10.5" x14ac:dyDescent="0.25">
      <c r="A84" s="12" t="s">
        <v>134</v>
      </c>
      <c r="B84" s="13">
        <f t="shared" ref="B84:S84" si="14">SUM(B79:B83)</f>
        <v>152570.86955760312</v>
      </c>
      <c r="C84" s="13">
        <f t="shared" si="14"/>
        <v>0</v>
      </c>
      <c r="D84" s="13">
        <f t="shared" si="14"/>
        <v>0</v>
      </c>
      <c r="E84" s="13">
        <f t="shared" si="14"/>
        <v>1209.8282505177981</v>
      </c>
      <c r="F84" s="13">
        <f t="shared" si="14"/>
        <v>0</v>
      </c>
      <c r="G84" s="13">
        <f t="shared" si="14"/>
        <v>1174.2188518789835</v>
      </c>
      <c r="H84" s="13">
        <f t="shared" si="14"/>
        <v>0</v>
      </c>
      <c r="I84" s="13">
        <f t="shared" si="14"/>
        <v>0</v>
      </c>
      <c r="J84" s="13">
        <f t="shared" si="14"/>
        <v>0</v>
      </c>
      <c r="K84" s="13">
        <f t="shared" si="14"/>
        <v>0</v>
      </c>
      <c r="L84" s="13">
        <f t="shared" si="14"/>
        <v>2186.7105617855677</v>
      </c>
      <c r="M84" s="13">
        <f t="shared" si="14"/>
        <v>0</v>
      </c>
      <c r="N84" s="13">
        <f t="shared" si="14"/>
        <v>0</v>
      </c>
      <c r="O84" s="13">
        <f t="shared" si="14"/>
        <v>0</v>
      </c>
      <c r="P84" s="13">
        <f t="shared" si="14"/>
        <v>0</v>
      </c>
      <c r="Q84" s="13">
        <f t="shared" si="14"/>
        <v>0</v>
      </c>
      <c r="R84" s="13">
        <f t="shared" si="14"/>
        <v>1325.0505169268124</v>
      </c>
      <c r="S84" s="13">
        <f t="shared" si="14"/>
        <v>158466.67773871226</v>
      </c>
    </row>
    <row r="85" spans="1:19" ht="10.5" x14ac:dyDescent="0.25">
      <c r="A85" s="7" t="s">
        <v>135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</row>
    <row r="86" spans="1:19" x14ac:dyDescent="0.2">
      <c r="A86" s="8" t="s">
        <v>136</v>
      </c>
      <c r="B86" s="11">
        <v>51988.917596952328</v>
      </c>
      <c r="C86" s="11">
        <v>0</v>
      </c>
      <c r="D86" s="11">
        <v>0</v>
      </c>
      <c r="E86" s="11">
        <v>0</v>
      </c>
      <c r="F86" s="11">
        <v>0</v>
      </c>
      <c r="G86" s="11">
        <v>0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1">
        <v>15.615782558721934</v>
      </c>
      <c r="S86" s="11">
        <f t="shared" ref="S86:S97" si="15">SUM(B86:R86)</f>
        <v>52004.533379511049</v>
      </c>
    </row>
    <row r="87" spans="1:19" x14ac:dyDescent="0.2">
      <c r="A87" s="8" t="s">
        <v>137</v>
      </c>
      <c r="B87" s="11">
        <v>23050.280330761991</v>
      </c>
      <c r="C87" s="11">
        <v>0</v>
      </c>
      <c r="D87" s="11">
        <v>0</v>
      </c>
      <c r="E87" s="11">
        <v>0</v>
      </c>
      <c r="F87" s="11">
        <v>0</v>
      </c>
      <c r="G87" s="11">
        <v>0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1">
        <v>0</v>
      </c>
      <c r="S87" s="11">
        <f t="shared" si="15"/>
        <v>23050.280330761991</v>
      </c>
    </row>
    <row r="88" spans="1:19" x14ac:dyDescent="0.2">
      <c r="A88" s="8" t="s">
        <v>138</v>
      </c>
      <c r="B88" s="11">
        <v>108939.87</v>
      </c>
      <c r="C88" s="11">
        <v>0</v>
      </c>
      <c r="D88" s="11">
        <v>0</v>
      </c>
      <c r="E88" s="11">
        <v>0</v>
      </c>
      <c r="F88" s="11">
        <v>0</v>
      </c>
      <c r="G88" s="11">
        <v>0</v>
      </c>
      <c r="H88" s="11">
        <v>0</v>
      </c>
      <c r="I88" s="11">
        <v>0</v>
      </c>
      <c r="J88" s="11">
        <v>0</v>
      </c>
      <c r="K88" s="11">
        <v>0</v>
      </c>
      <c r="L88" s="11">
        <v>0</v>
      </c>
      <c r="M88" s="11">
        <v>0</v>
      </c>
      <c r="N88" s="11">
        <v>0</v>
      </c>
      <c r="O88" s="11">
        <v>0</v>
      </c>
      <c r="P88" s="11">
        <v>0</v>
      </c>
      <c r="Q88" s="11">
        <v>0</v>
      </c>
      <c r="R88" s="11">
        <v>0</v>
      </c>
      <c r="S88" s="11">
        <f t="shared" si="15"/>
        <v>108939.87</v>
      </c>
    </row>
    <row r="89" spans="1:19" x14ac:dyDescent="0.2">
      <c r="A89" s="8" t="s">
        <v>139</v>
      </c>
      <c r="B89" s="11">
        <v>11631.305888288129</v>
      </c>
      <c r="C89" s="11">
        <v>0</v>
      </c>
      <c r="D89" s="11">
        <v>0</v>
      </c>
      <c r="E89" s="11">
        <v>0</v>
      </c>
      <c r="F89" s="11">
        <v>0</v>
      </c>
      <c r="G89" s="11">
        <v>0</v>
      </c>
      <c r="H89" s="11">
        <v>0</v>
      </c>
      <c r="I89" s="11">
        <v>0</v>
      </c>
      <c r="J89" s="11">
        <v>0</v>
      </c>
      <c r="K89" s="11">
        <v>0</v>
      </c>
      <c r="L89" s="11">
        <v>414.80257185210678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1">
        <v>42916.90340565794</v>
      </c>
      <c r="S89" s="11">
        <f t="shared" si="15"/>
        <v>54963.01186579818</v>
      </c>
    </row>
    <row r="90" spans="1:19" x14ac:dyDescent="0.2">
      <c r="A90" s="8" t="s">
        <v>140</v>
      </c>
      <c r="B90" s="11">
        <v>3136.3099648890652</v>
      </c>
      <c r="C90" s="11">
        <v>0</v>
      </c>
      <c r="D90" s="11">
        <v>0</v>
      </c>
      <c r="E90" s="11">
        <v>0</v>
      </c>
      <c r="F90" s="11">
        <v>0</v>
      </c>
      <c r="G90" s="11">
        <v>0</v>
      </c>
      <c r="H90" s="11">
        <v>0</v>
      </c>
      <c r="I90" s="11">
        <v>0</v>
      </c>
      <c r="J90" s="11">
        <v>0</v>
      </c>
      <c r="K90" s="11">
        <v>0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f t="shared" si="15"/>
        <v>3136.3099648890652</v>
      </c>
    </row>
    <row r="91" spans="1:19" x14ac:dyDescent="0.2">
      <c r="A91" s="8" t="s">
        <v>141</v>
      </c>
      <c r="B91" s="11">
        <v>685.5</v>
      </c>
      <c r="C91" s="11">
        <v>0</v>
      </c>
      <c r="D91" s="11">
        <v>0</v>
      </c>
      <c r="E91" s="11">
        <v>0</v>
      </c>
      <c r="F91" s="11">
        <v>0</v>
      </c>
      <c r="G91" s="11">
        <v>0</v>
      </c>
      <c r="H91" s="11">
        <v>0</v>
      </c>
      <c r="I91" s="11">
        <v>0</v>
      </c>
      <c r="J91" s="11">
        <v>0</v>
      </c>
      <c r="K91" s="11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1">
        <v>7565.34</v>
      </c>
      <c r="S91" s="11">
        <f t="shared" si="15"/>
        <v>8250.84</v>
      </c>
    </row>
    <row r="92" spans="1:19" x14ac:dyDescent="0.2">
      <c r="A92" s="8" t="s">
        <v>142</v>
      </c>
      <c r="B92" s="11">
        <v>150.50313669013195</v>
      </c>
      <c r="C92" s="11">
        <v>0</v>
      </c>
      <c r="D92" s="11">
        <v>0</v>
      </c>
      <c r="E92" s="11">
        <v>0</v>
      </c>
      <c r="F92" s="11">
        <v>0</v>
      </c>
      <c r="G92" s="11">
        <v>0</v>
      </c>
      <c r="H92" s="11">
        <v>0</v>
      </c>
      <c r="I92" s="11">
        <v>0</v>
      </c>
      <c r="J92" s="11">
        <v>0</v>
      </c>
      <c r="K92" s="11">
        <v>0</v>
      </c>
      <c r="L92" s="11">
        <v>0</v>
      </c>
      <c r="M92" s="11">
        <v>0</v>
      </c>
      <c r="N92" s="11">
        <v>0</v>
      </c>
      <c r="O92" s="11">
        <v>0</v>
      </c>
      <c r="P92" s="11">
        <v>0</v>
      </c>
      <c r="Q92" s="11">
        <v>0</v>
      </c>
      <c r="R92" s="11">
        <v>0</v>
      </c>
      <c r="S92" s="11">
        <f t="shared" si="15"/>
        <v>150.50313669013195</v>
      </c>
    </row>
    <row r="93" spans="1:19" x14ac:dyDescent="0.2">
      <c r="A93" s="8" t="s">
        <v>143</v>
      </c>
      <c r="B93" s="11">
        <v>138814.62885310326</v>
      </c>
      <c r="C93" s="11">
        <v>0</v>
      </c>
      <c r="D93" s="11">
        <v>0</v>
      </c>
      <c r="E93" s="11">
        <v>0</v>
      </c>
      <c r="F93" s="11">
        <v>0</v>
      </c>
      <c r="G93" s="11">
        <v>2541.5930715123104</v>
      </c>
      <c r="H93" s="11">
        <v>0</v>
      </c>
      <c r="I93" s="11">
        <v>0</v>
      </c>
      <c r="J93" s="11">
        <v>0</v>
      </c>
      <c r="K93" s="11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1">
        <v>103.97079091683329</v>
      </c>
      <c r="S93" s="11">
        <f t="shared" si="15"/>
        <v>141460.19271553238</v>
      </c>
    </row>
    <row r="94" spans="1:19" x14ac:dyDescent="0.2">
      <c r="A94" s="8" t="s">
        <v>144</v>
      </c>
      <c r="B94" s="11">
        <v>895.27046388546512</v>
      </c>
      <c r="C94" s="11">
        <v>0</v>
      </c>
      <c r="D94" s="11">
        <v>0</v>
      </c>
      <c r="E94" s="11">
        <v>0</v>
      </c>
      <c r="F94" s="11">
        <v>0</v>
      </c>
      <c r="G94" s="11">
        <v>0</v>
      </c>
      <c r="H94" s="11">
        <v>0</v>
      </c>
      <c r="I94" s="11">
        <v>0</v>
      </c>
      <c r="J94" s="11">
        <v>0</v>
      </c>
      <c r="K94" s="11">
        <v>0</v>
      </c>
      <c r="L94" s="11">
        <v>0</v>
      </c>
      <c r="M94" s="11">
        <v>0</v>
      </c>
      <c r="N94" s="11">
        <v>0</v>
      </c>
      <c r="O94" s="11">
        <v>0</v>
      </c>
      <c r="P94" s="11">
        <v>0</v>
      </c>
      <c r="Q94" s="11">
        <v>0</v>
      </c>
      <c r="R94" s="11">
        <v>0</v>
      </c>
      <c r="S94" s="11">
        <f t="shared" si="15"/>
        <v>895.27046388546512</v>
      </c>
    </row>
    <row r="95" spans="1:19" x14ac:dyDescent="0.2">
      <c r="A95" s="8" t="s">
        <v>145</v>
      </c>
      <c r="B95" s="11">
        <v>330.92604123974434</v>
      </c>
      <c r="C95" s="11">
        <v>0</v>
      </c>
      <c r="D95" s="11">
        <v>0</v>
      </c>
      <c r="E95" s="11">
        <v>0</v>
      </c>
      <c r="F95" s="11">
        <v>0</v>
      </c>
      <c r="G95" s="11">
        <v>0</v>
      </c>
      <c r="H95" s="11">
        <v>0</v>
      </c>
      <c r="I95" s="11">
        <v>0</v>
      </c>
      <c r="J95" s="11">
        <v>0</v>
      </c>
      <c r="K95" s="11">
        <v>0</v>
      </c>
      <c r="L95" s="11">
        <v>0</v>
      </c>
      <c r="M95" s="11">
        <v>0</v>
      </c>
      <c r="N95" s="11">
        <v>0</v>
      </c>
      <c r="O95" s="11">
        <v>0</v>
      </c>
      <c r="P95" s="11">
        <v>0</v>
      </c>
      <c r="Q95" s="11">
        <v>0</v>
      </c>
      <c r="R95" s="11">
        <v>78.723044628587672</v>
      </c>
      <c r="S95" s="11">
        <f t="shared" si="15"/>
        <v>409.64908586833201</v>
      </c>
    </row>
    <row r="96" spans="1:19" x14ac:dyDescent="0.2">
      <c r="A96" s="8" t="s">
        <v>146</v>
      </c>
      <c r="B96" s="11">
        <v>-209899.96029634742</v>
      </c>
      <c r="C96" s="11">
        <v>0</v>
      </c>
      <c r="D96" s="11">
        <v>0</v>
      </c>
      <c r="E96" s="11">
        <v>0</v>
      </c>
      <c r="F96" s="11">
        <v>0</v>
      </c>
      <c r="G96" s="11">
        <v>0</v>
      </c>
      <c r="H96" s="11">
        <v>0</v>
      </c>
      <c r="I96" s="11">
        <v>0</v>
      </c>
      <c r="J96" s="11">
        <v>0</v>
      </c>
      <c r="K96" s="11">
        <v>0</v>
      </c>
      <c r="L96" s="11">
        <v>0</v>
      </c>
      <c r="M96" s="11">
        <v>0</v>
      </c>
      <c r="N96" s="11">
        <v>0</v>
      </c>
      <c r="O96" s="11">
        <v>0</v>
      </c>
      <c r="P96" s="11">
        <v>0</v>
      </c>
      <c r="Q96" s="11">
        <v>0</v>
      </c>
      <c r="R96" s="11">
        <v>0</v>
      </c>
      <c r="S96" s="11">
        <f t="shared" si="15"/>
        <v>-209899.96029634742</v>
      </c>
    </row>
    <row r="97" spans="1:19" x14ac:dyDescent="0.2">
      <c r="A97" s="8" t="s">
        <v>147</v>
      </c>
      <c r="B97" s="11">
        <v>-3365.4879634018962</v>
      </c>
      <c r="C97" s="11">
        <v>0</v>
      </c>
      <c r="D97" s="11">
        <v>0</v>
      </c>
      <c r="E97" s="11">
        <v>0</v>
      </c>
      <c r="F97" s="11">
        <v>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f t="shared" si="15"/>
        <v>-3365.4879634018962</v>
      </c>
    </row>
    <row r="98" spans="1:19" ht="10.5" x14ac:dyDescent="0.25">
      <c r="A98" s="12" t="s">
        <v>148</v>
      </c>
      <c r="B98" s="13">
        <f t="shared" ref="B98:S98" si="16">SUM(B86:B97)</f>
        <v>126358.0640160608</v>
      </c>
      <c r="C98" s="13">
        <f t="shared" si="16"/>
        <v>0</v>
      </c>
      <c r="D98" s="13">
        <f t="shared" si="16"/>
        <v>0</v>
      </c>
      <c r="E98" s="13">
        <f t="shared" si="16"/>
        <v>0</v>
      </c>
      <c r="F98" s="13">
        <f t="shared" si="16"/>
        <v>0</v>
      </c>
      <c r="G98" s="13">
        <f t="shared" si="16"/>
        <v>2541.5930715123104</v>
      </c>
      <c r="H98" s="13">
        <f t="shared" si="16"/>
        <v>0</v>
      </c>
      <c r="I98" s="13">
        <f t="shared" si="16"/>
        <v>0</v>
      </c>
      <c r="J98" s="13">
        <f t="shared" si="16"/>
        <v>0</v>
      </c>
      <c r="K98" s="13">
        <f t="shared" si="16"/>
        <v>0</v>
      </c>
      <c r="L98" s="13">
        <f t="shared" si="16"/>
        <v>414.80257185210678</v>
      </c>
      <c r="M98" s="13">
        <f t="shared" si="16"/>
        <v>0</v>
      </c>
      <c r="N98" s="13">
        <f t="shared" si="16"/>
        <v>0</v>
      </c>
      <c r="O98" s="13">
        <f t="shared" si="16"/>
        <v>0</v>
      </c>
      <c r="P98" s="13">
        <f t="shared" si="16"/>
        <v>0</v>
      </c>
      <c r="Q98" s="13">
        <f t="shared" si="16"/>
        <v>0</v>
      </c>
      <c r="R98" s="13">
        <f t="shared" si="16"/>
        <v>50680.553023762091</v>
      </c>
      <c r="S98" s="13">
        <f t="shared" si="16"/>
        <v>179995.01268318729</v>
      </c>
    </row>
    <row r="99" spans="1:19" ht="10.5" x14ac:dyDescent="0.25">
      <c r="A99" s="7" t="s">
        <v>149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</row>
    <row r="100" spans="1:19" x14ac:dyDescent="0.2">
      <c r="A100" s="8" t="s">
        <v>150</v>
      </c>
      <c r="B100" s="11">
        <v>1265.1641838551714</v>
      </c>
      <c r="C100" s="11">
        <v>0</v>
      </c>
      <c r="D100" s="11">
        <v>0</v>
      </c>
      <c r="E100" s="11">
        <v>0</v>
      </c>
      <c r="F100" s="11">
        <v>0</v>
      </c>
      <c r="G100" s="11">
        <v>0</v>
      </c>
      <c r="H100" s="11">
        <v>0</v>
      </c>
      <c r="I100" s="11">
        <v>0</v>
      </c>
      <c r="J100" s="11">
        <v>0</v>
      </c>
      <c r="K100" s="11">
        <v>0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f>SUM(B100:R100)</f>
        <v>1265.1641838551714</v>
      </c>
    </row>
    <row r="101" spans="1:19" ht="10.5" x14ac:dyDescent="0.25">
      <c r="A101" s="12" t="s">
        <v>151</v>
      </c>
      <c r="B101" s="13">
        <f t="shared" ref="B101:S101" si="17">SUM(B100)</f>
        <v>1265.1641838551714</v>
      </c>
      <c r="C101" s="13">
        <f t="shared" si="17"/>
        <v>0</v>
      </c>
      <c r="D101" s="13">
        <f t="shared" si="17"/>
        <v>0</v>
      </c>
      <c r="E101" s="13">
        <f t="shared" si="17"/>
        <v>0</v>
      </c>
      <c r="F101" s="13">
        <f t="shared" si="17"/>
        <v>0</v>
      </c>
      <c r="G101" s="13">
        <f t="shared" si="17"/>
        <v>0</v>
      </c>
      <c r="H101" s="13">
        <f t="shared" si="17"/>
        <v>0</v>
      </c>
      <c r="I101" s="13">
        <f t="shared" si="17"/>
        <v>0</v>
      </c>
      <c r="J101" s="13">
        <f t="shared" si="17"/>
        <v>0</v>
      </c>
      <c r="K101" s="13">
        <f t="shared" si="17"/>
        <v>0</v>
      </c>
      <c r="L101" s="13">
        <f t="shared" si="17"/>
        <v>0</v>
      </c>
      <c r="M101" s="13">
        <f t="shared" si="17"/>
        <v>0</v>
      </c>
      <c r="N101" s="13">
        <f t="shared" si="17"/>
        <v>0</v>
      </c>
      <c r="O101" s="13">
        <f t="shared" si="17"/>
        <v>0</v>
      </c>
      <c r="P101" s="13">
        <f t="shared" si="17"/>
        <v>0</v>
      </c>
      <c r="Q101" s="13">
        <f t="shared" si="17"/>
        <v>0</v>
      </c>
      <c r="R101" s="13">
        <f t="shared" si="17"/>
        <v>0</v>
      </c>
      <c r="S101" s="13">
        <f t="shared" si="17"/>
        <v>1265.1641838551714</v>
      </c>
    </row>
    <row r="102" spans="1:19" ht="10.5" x14ac:dyDescent="0.25">
      <c r="A102" s="7" t="s">
        <v>152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</row>
    <row r="103" spans="1:19" x14ac:dyDescent="0.2">
      <c r="A103" s="8" t="s">
        <v>153</v>
      </c>
      <c r="B103" s="11">
        <v>1493.766621518887</v>
      </c>
      <c r="C103" s="11">
        <v>0</v>
      </c>
      <c r="D103" s="11">
        <v>0</v>
      </c>
      <c r="E103" s="11">
        <v>0</v>
      </c>
      <c r="F103" s="11">
        <v>0</v>
      </c>
      <c r="G103" s="11">
        <v>0</v>
      </c>
      <c r="H103" s="11">
        <v>0</v>
      </c>
      <c r="I103" s="11">
        <v>0</v>
      </c>
      <c r="J103" s="11">
        <v>0</v>
      </c>
      <c r="K103" s="11">
        <v>0</v>
      </c>
      <c r="L103" s="11">
        <v>0</v>
      </c>
      <c r="M103" s="11">
        <v>0</v>
      </c>
      <c r="N103" s="11">
        <v>0</v>
      </c>
      <c r="O103" s="11">
        <v>0</v>
      </c>
      <c r="P103" s="11">
        <v>0</v>
      </c>
      <c r="Q103" s="11">
        <v>0</v>
      </c>
      <c r="R103" s="11">
        <v>0</v>
      </c>
      <c r="S103" s="11">
        <f>SUM(B103:R103)</f>
        <v>1493.766621518887</v>
      </c>
    </row>
    <row r="104" spans="1:19" x14ac:dyDescent="0.2">
      <c r="A104" s="8" t="s">
        <v>154</v>
      </c>
      <c r="B104" s="11">
        <v>4628.6758002243841</v>
      </c>
      <c r="C104" s="11">
        <v>0</v>
      </c>
      <c r="D104" s="11">
        <v>0</v>
      </c>
      <c r="E104" s="11">
        <v>0</v>
      </c>
      <c r="F104" s="11">
        <v>0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1">
        <v>0</v>
      </c>
      <c r="R104" s="11">
        <v>5568.3432557962751</v>
      </c>
      <c r="S104" s="11">
        <f>SUM(B104:R104)</f>
        <v>10197.019056020659</v>
      </c>
    </row>
    <row r="105" spans="1:19" ht="10.5" x14ac:dyDescent="0.25">
      <c r="A105" s="12" t="s">
        <v>155</v>
      </c>
      <c r="B105" s="13">
        <f t="shared" ref="B105:S105" si="18">SUM(B103:B104)</f>
        <v>6122.4424217432716</v>
      </c>
      <c r="C105" s="13">
        <f t="shared" si="18"/>
        <v>0</v>
      </c>
      <c r="D105" s="13">
        <f t="shared" si="18"/>
        <v>0</v>
      </c>
      <c r="E105" s="13">
        <f t="shared" si="18"/>
        <v>0</v>
      </c>
      <c r="F105" s="13">
        <f t="shared" si="18"/>
        <v>0</v>
      </c>
      <c r="G105" s="13">
        <f t="shared" si="18"/>
        <v>0</v>
      </c>
      <c r="H105" s="13">
        <f t="shared" si="18"/>
        <v>0</v>
      </c>
      <c r="I105" s="13">
        <f t="shared" si="18"/>
        <v>0</v>
      </c>
      <c r="J105" s="13">
        <f t="shared" si="18"/>
        <v>0</v>
      </c>
      <c r="K105" s="13">
        <f t="shared" si="18"/>
        <v>0</v>
      </c>
      <c r="L105" s="13">
        <f t="shared" si="18"/>
        <v>0</v>
      </c>
      <c r="M105" s="13">
        <f t="shared" si="18"/>
        <v>0</v>
      </c>
      <c r="N105" s="13">
        <f t="shared" si="18"/>
        <v>0</v>
      </c>
      <c r="O105" s="13">
        <f t="shared" si="18"/>
        <v>0</v>
      </c>
      <c r="P105" s="13">
        <f t="shared" si="18"/>
        <v>0</v>
      </c>
      <c r="Q105" s="13">
        <f t="shared" si="18"/>
        <v>0</v>
      </c>
      <c r="R105" s="13">
        <f t="shared" si="18"/>
        <v>5568.3432557962751</v>
      </c>
      <c r="S105" s="13">
        <f t="shared" si="18"/>
        <v>11690.785677539547</v>
      </c>
    </row>
    <row r="106" spans="1:19" ht="10.5" x14ac:dyDescent="0.25">
      <c r="A106" s="7" t="s">
        <v>156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</row>
    <row r="107" spans="1:19" x14ac:dyDescent="0.2">
      <c r="A107" s="8" t="s">
        <v>157</v>
      </c>
      <c r="B107" s="11">
        <v>1997.0255429430047</v>
      </c>
      <c r="C107" s="11">
        <v>0</v>
      </c>
      <c r="D107" s="11">
        <v>0</v>
      </c>
      <c r="E107" s="11">
        <v>0</v>
      </c>
      <c r="F107" s="11">
        <v>0</v>
      </c>
      <c r="G107" s="11">
        <v>0</v>
      </c>
      <c r="H107" s="11">
        <v>0</v>
      </c>
      <c r="I107" s="11">
        <v>0</v>
      </c>
      <c r="J107" s="11">
        <v>0</v>
      </c>
      <c r="K107" s="11">
        <v>0</v>
      </c>
      <c r="L107" s="11">
        <v>0</v>
      </c>
      <c r="M107" s="11">
        <v>0</v>
      </c>
      <c r="N107" s="11">
        <v>0</v>
      </c>
      <c r="O107" s="11">
        <v>0</v>
      </c>
      <c r="P107" s="11">
        <v>0</v>
      </c>
      <c r="Q107" s="11">
        <v>0</v>
      </c>
      <c r="R107" s="11">
        <v>0</v>
      </c>
      <c r="S107" s="11">
        <f t="shared" ref="S107:S121" si="19">SUM(B107:R107)</f>
        <v>1997.0255429430047</v>
      </c>
    </row>
    <row r="108" spans="1:19" x14ac:dyDescent="0.2">
      <c r="A108" s="8" t="s">
        <v>158</v>
      </c>
      <c r="B108" s="11">
        <v>1807.2386231341518</v>
      </c>
      <c r="C108" s="11">
        <v>0</v>
      </c>
      <c r="D108" s="11">
        <v>0</v>
      </c>
      <c r="E108" s="11">
        <v>0</v>
      </c>
      <c r="F108" s="11">
        <v>0</v>
      </c>
      <c r="G108" s="11">
        <v>0</v>
      </c>
      <c r="H108" s="11">
        <v>0</v>
      </c>
      <c r="I108" s="11">
        <v>0</v>
      </c>
      <c r="J108" s="11">
        <v>0</v>
      </c>
      <c r="K108" s="11">
        <v>0</v>
      </c>
      <c r="L108" s="11">
        <v>0</v>
      </c>
      <c r="M108" s="11">
        <v>0</v>
      </c>
      <c r="N108" s="11">
        <v>0</v>
      </c>
      <c r="O108" s="11">
        <v>0</v>
      </c>
      <c r="P108" s="11">
        <v>0</v>
      </c>
      <c r="Q108" s="11">
        <v>0</v>
      </c>
      <c r="R108" s="11">
        <v>0</v>
      </c>
      <c r="S108" s="11">
        <f t="shared" si="19"/>
        <v>1807.2386231341518</v>
      </c>
    </row>
    <row r="109" spans="1:19" x14ac:dyDescent="0.2">
      <c r="A109" s="8" t="s">
        <v>159</v>
      </c>
      <c r="B109" s="11">
        <v>187656.27437432547</v>
      </c>
      <c r="C109" s="11">
        <v>0</v>
      </c>
      <c r="D109" s="11">
        <v>0</v>
      </c>
      <c r="E109" s="11">
        <v>9139.157762722949</v>
      </c>
      <c r="F109" s="11">
        <v>0</v>
      </c>
      <c r="G109" s="11">
        <v>0</v>
      </c>
      <c r="H109" s="11">
        <v>0</v>
      </c>
      <c r="I109" s="11">
        <v>0</v>
      </c>
      <c r="J109" s="11">
        <v>0</v>
      </c>
      <c r="K109" s="11">
        <v>0</v>
      </c>
      <c r="L109" s="11">
        <v>1982.6285719462066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1">
        <v>20682.359368532489</v>
      </c>
      <c r="S109" s="11">
        <f t="shared" si="19"/>
        <v>219460.42007752712</v>
      </c>
    </row>
    <row r="110" spans="1:19" x14ac:dyDescent="0.2">
      <c r="A110" s="8" t="s">
        <v>160</v>
      </c>
      <c r="B110" s="11">
        <v>1299.8104569715181</v>
      </c>
      <c r="C110" s="11">
        <v>0</v>
      </c>
      <c r="D110" s="11">
        <v>0</v>
      </c>
      <c r="E110" s="11">
        <v>0</v>
      </c>
      <c r="F110" s="11">
        <v>0</v>
      </c>
      <c r="G110" s="11">
        <v>0</v>
      </c>
      <c r="H110" s="11">
        <v>0</v>
      </c>
      <c r="I110" s="11">
        <v>0</v>
      </c>
      <c r="J110" s="11">
        <v>0</v>
      </c>
      <c r="K110" s="11">
        <v>0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f t="shared" si="19"/>
        <v>1299.8104569715181</v>
      </c>
    </row>
    <row r="111" spans="1:19" x14ac:dyDescent="0.2">
      <c r="A111" s="8" t="s">
        <v>161</v>
      </c>
      <c r="B111" s="11">
        <v>5991.0454977400832</v>
      </c>
      <c r="C111" s="11">
        <v>0</v>
      </c>
      <c r="D111" s="11">
        <v>0</v>
      </c>
      <c r="E111" s="11">
        <v>0</v>
      </c>
      <c r="F111" s="11">
        <v>0</v>
      </c>
      <c r="G111" s="11">
        <v>0</v>
      </c>
      <c r="H111" s="11">
        <v>0</v>
      </c>
      <c r="I111" s="11">
        <v>0</v>
      </c>
      <c r="J111" s="11">
        <v>0</v>
      </c>
      <c r="K111" s="11">
        <v>0</v>
      </c>
      <c r="L111" s="11">
        <v>0</v>
      </c>
      <c r="M111" s="11">
        <v>0</v>
      </c>
      <c r="N111" s="11">
        <v>0</v>
      </c>
      <c r="O111" s="11">
        <v>0</v>
      </c>
      <c r="P111" s="11">
        <v>0</v>
      </c>
      <c r="Q111" s="11">
        <v>0</v>
      </c>
      <c r="R111" s="11">
        <v>905.91894900303964</v>
      </c>
      <c r="S111" s="11">
        <f t="shared" si="19"/>
        <v>6896.9644467431226</v>
      </c>
    </row>
    <row r="112" spans="1:19" x14ac:dyDescent="0.2">
      <c r="A112" s="8" t="s">
        <v>162</v>
      </c>
      <c r="B112" s="11">
        <v>5265.3188669886276</v>
      </c>
      <c r="C112" s="11">
        <v>0</v>
      </c>
      <c r="D112" s="11">
        <v>0</v>
      </c>
      <c r="E112" s="11">
        <v>0</v>
      </c>
      <c r="F112" s="11">
        <v>0</v>
      </c>
      <c r="G112" s="11">
        <v>0</v>
      </c>
      <c r="H112" s="11">
        <v>0</v>
      </c>
      <c r="I112" s="11">
        <v>0</v>
      </c>
      <c r="J112" s="11">
        <v>0</v>
      </c>
      <c r="K112" s="11">
        <v>0</v>
      </c>
      <c r="L112" s="11">
        <v>0</v>
      </c>
      <c r="M112" s="11">
        <v>0</v>
      </c>
      <c r="N112" s="11">
        <v>0</v>
      </c>
      <c r="O112" s="11">
        <v>0</v>
      </c>
      <c r="P112" s="11">
        <v>0</v>
      </c>
      <c r="Q112" s="11">
        <v>0</v>
      </c>
      <c r="R112" s="11">
        <v>0</v>
      </c>
      <c r="S112" s="11">
        <f t="shared" si="19"/>
        <v>5265.3188669886276</v>
      </c>
    </row>
    <row r="113" spans="1:19" x14ac:dyDescent="0.2">
      <c r="A113" s="8" t="s">
        <v>163</v>
      </c>
      <c r="B113" s="11">
        <v>3024.2996433968951</v>
      </c>
      <c r="C113" s="11">
        <v>0</v>
      </c>
      <c r="D113" s="11">
        <v>0</v>
      </c>
      <c r="E113" s="11">
        <v>0</v>
      </c>
      <c r="F113" s="11">
        <v>0</v>
      </c>
      <c r="G113" s="11">
        <v>0</v>
      </c>
      <c r="H113" s="11">
        <v>0</v>
      </c>
      <c r="I113" s="11">
        <v>0</v>
      </c>
      <c r="J113" s="11">
        <v>0</v>
      </c>
      <c r="K113" s="11">
        <v>0</v>
      </c>
      <c r="L113" s="11">
        <v>0</v>
      </c>
      <c r="M113" s="11">
        <v>0</v>
      </c>
      <c r="N113" s="11"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f t="shared" si="19"/>
        <v>3024.2996433968951</v>
      </c>
    </row>
    <row r="114" spans="1:19" x14ac:dyDescent="0.2">
      <c r="A114" s="8" t="s">
        <v>164</v>
      </c>
      <c r="B114" s="11">
        <v>286.26012662881828</v>
      </c>
      <c r="C114" s="11">
        <v>0</v>
      </c>
      <c r="D114" s="11">
        <v>0</v>
      </c>
      <c r="E114" s="11">
        <v>0</v>
      </c>
      <c r="F114" s="11">
        <v>0</v>
      </c>
      <c r="G114" s="11">
        <v>0</v>
      </c>
      <c r="H114" s="11">
        <v>0</v>
      </c>
      <c r="I114" s="11">
        <v>0</v>
      </c>
      <c r="J114" s="11">
        <v>0</v>
      </c>
      <c r="K114" s="11">
        <v>387.94980876303327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f t="shared" si="19"/>
        <v>674.20993539185156</v>
      </c>
    </row>
    <row r="115" spans="1:19" x14ac:dyDescent="0.2">
      <c r="A115" s="8" t="s">
        <v>165</v>
      </c>
      <c r="B115" s="11">
        <v>9.1267447052198722</v>
      </c>
      <c r="C115" s="11">
        <v>0</v>
      </c>
      <c r="D115" s="11">
        <v>0</v>
      </c>
      <c r="E115" s="11">
        <v>0</v>
      </c>
      <c r="F115" s="11">
        <v>0</v>
      </c>
      <c r="G115" s="11">
        <v>0</v>
      </c>
      <c r="H115" s="11">
        <v>0</v>
      </c>
      <c r="I115" s="11">
        <v>0</v>
      </c>
      <c r="J115" s="11">
        <v>0</v>
      </c>
      <c r="K115" s="11">
        <v>0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f t="shared" si="19"/>
        <v>9.1267447052198722</v>
      </c>
    </row>
    <row r="116" spans="1:19" x14ac:dyDescent="0.2">
      <c r="A116" s="8" t="s">
        <v>166</v>
      </c>
      <c r="B116" s="11">
        <v>56892.110308923991</v>
      </c>
      <c r="C116" s="11">
        <v>0</v>
      </c>
      <c r="D116" s="11">
        <v>0</v>
      </c>
      <c r="E116" s="11">
        <v>0</v>
      </c>
      <c r="F116" s="11">
        <v>0</v>
      </c>
      <c r="G116" s="11">
        <v>0</v>
      </c>
      <c r="H116" s="11">
        <v>0</v>
      </c>
      <c r="I116" s="11">
        <v>0</v>
      </c>
      <c r="J116" s="11">
        <v>0</v>
      </c>
      <c r="K116" s="11">
        <v>0</v>
      </c>
      <c r="L116" s="11">
        <v>123.20075212545214</v>
      </c>
      <c r="M116" s="11"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f t="shared" si="19"/>
        <v>57015.31106104944</v>
      </c>
    </row>
    <row r="117" spans="1:19" x14ac:dyDescent="0.2">
      <c r="A117" s="8" t="s">
        <v>167</v>
      </c>
      <c r="B117" s="11">
        <v>1395.7937033487149</v>
      </c>
      <c r="C117" s="11">
        <v>0</v>
      </c>
      <c r="D117" s="11">
        <v>0</v>
      </c>
      <c r="E117" s="11">
        <v>0</v>
      </c>
      <c r="F117" s="11">
        <v>0</v>
      </c>
      <c r="G117" s="11">
        <v>0</v>
      </c>
      <c r="H117" s="11"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v>0</v>
      </c>
      <c r="N117" s="11">
        <v>0</v>
      </c>
      <c r="O117" s="11">
        <v>0</v>
      </c>
      <c r="P117" s="11">
        <v>0</v>
      </c>
      <c r="Q117" s="11">
        <v>0</v>
      </c>
      <c r="R117" s="11">
        <v>0</v>
      </c>
      <c r="S117" s="11">
        <f t="shared" si="19"/>
        <v>1395.7937033487149</v>
      </c>
    </row>
    <row r="118" spans="1:19" x14ac:dyDescent="0.2">
      <c r="A118" s="8" t="s">
        <v>168</v>
      </c>
      <c r="B118" s="11">
        <v>21727.402015879525</v>
      </c>
      <c r="C118" s="11">
        <v>0</v>
      </c>
      <c r="D118" s="11">
        <v>0</v>
      </c>
      <c r="E118" s="11">
        <v>0</v>
      </c>
      <c r="F118" s="11">
        <v>0</v>
      </c>
      <c r="G118" s="11">
        <v>0</v>
      </c>
      <c r="H118" s="11">
        <v>0</v>
      </c>
      <c r="I118" s="11">
        <v>0</v>
      </c>
      <c r="J118" s="11">
        <v>0</v>
      </c>
      <c r="K118" s="11">
        <v>0</v>
      </c>
      <c r="L118" s="11">
        <v>0</v>
      </c>
      <c r="M118" s="11">
        <v>0</v>
      </c>
      <c r="N118" s="11">
        <v>0</v>
      </c>
      <c r="O118" s="11">
        <v>0</v>
      </c>
      <c r="P118" s="11">
        <v>0</v>
      </c>
      <c r="Q118" s="11">
        <v>0</v>
      </c>
      <c r="R118" s="11">
        <v>7641.361485510216</v>
      </c>
      <c r="S118" s="11">
        <f t="shared" si="19"/>
        <v>29368.763501389742</v>
      </c>
    </row>
    <row r="119" spans="1:19" x14ac:dyDescent="0.2">
      <c r="A119" s="8" t="s">
        <v>169</v>
      </c>
      <c r="B119" s="11">
        <v>11304.171676393587</v>
      </c>
      <c r="C119" s="11">
        <v>0</v>
      </c>
      <c r="D119" s="11">
        <v>0</v>
      </c>
      <c r="E119" s="11">
        <v>0</v>
      </c>
      <c r="F119" s="11">
        <v>0</v>
      </c>
      <c r="G119" s="11">
        <v>0</v>
      </c>
      <c r="H119" s="11"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v>0</v>
      </c>
      <c r="N119" s="11">
        <v>0</v>
      </c>
      <c r="O119" s="11">
        <v>0</v>
      </c>
      <c r="P119" s="11">
        <v>0</v>
      </c>
      <c r="Q119" s="11">
        <v>0</v>
      </c>
      <c r="R119" s="11">
        <v>0</v>
      </c>
      <c r="S119" s="11">
        <f t="shared" si="19"/>
        <v>11304.171676393587</v>
      </c>
    </row>
    <row r="120" spans="1:19" x14ac:dyDescent="0.2">
      <c r="A120" s="8" t="s">
        <v>170</v>
      </c>
      <c r="B120" s="11">
        <v>62298.604235600578</v>
      </c>
      <c r="C120" s="11">
        <v>0</v>
      </c>
      <c r="D120" s="11">
        <v>0</v>
      </c>
      <c r="E120" s="11">
        <v>0</v>
      </c>
      <c r="F120" s="11">
        <v>0</v>
      </c>
      <c r="G120" s="11">
        <v>0</v>
      </c>
      <c r="H120" s="11">
        <v>0</v>
      </c>
      <c r="I120" s="11">
        <v>0</v>
      </c>
      <c r="J120" s="11">
        <v>0</v>
      </c>
      <c r="K120" s="11">
        <v>0</v>
      </c>
      <c r="L120" s="11">
        <v>0</v>
      </c>
      <c r="M120" s="11">
        <v>0</v>
      </c>
      <c r="N120" s="11">
        <v>0</v>
      </c>
      <c r="O120" s="11">
        <v>0</v>
      </c>
      <c r="P120" s="11">
        <v>0</v>
      </c>
      <c r="Q120" s="11">
        <v>0</v>
      </c>
      <c r="R120" s="11">
        <v>0</v>
      </c>
      <c r="S120" s="11">
        <f t="shared" si="19"/>
        <v>62298.604235600578</v>
      </c>
    </row>
    <row r="121" spans="1:19" x14ac:dyDescent="0.2">
      <c r="A121" s="8" t="s">
        <v>171</v>
      </c>
      <c r="B121" s="11">
        <v>21277.695801292739</v>
      </c>
      <c r="C121" s="11">
        <v>0</v>
      </c>
      <c r="D121" s="11">
        <v>0</v>
      </c>
      <c r="E121" s="11">
        <v>0</v>
      </c>
      <c r="F121" s="11">
        <v>0</v>
      </c>
      <c r="G121" s="11">
        <v>0</v>
      </c>
      <c r="H121" s="11"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v>0</v>
      </c>
      <c r="N121" s="11"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f t="shared" si="19"/>
        <v>21277.695801292739</v>
      </c>
    </row>
    <row r="122" spans="1:19" ht="10.5" x14ac:dyDescent="0.25">
      <c r="A122" s="46" t="s">
        <v>172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</row>
    <row r="123" spans="1:19" x14ac:dyDescent="0.2">
      <c r="A123" s="47" t="s">
        <v>172</v>
      </c>
      <c r="B123" s="11">
        <v>3572.4301161210869</v>
      </c>
      <c r="C123" s="11">
        <v>0</v>
      </c>
      <c r="D123" s="11">
        <v>0</v>
      </c>
      <c r="E123" s="11">
        <v>0</v>
      </c>
      <c r="F123" s="11">
        <v>0</v>
      </c>
      <c r="G123" s="11">
        <v>0</v>
      </c>
      <c r="H123" s="11">
        <v>0</v>
      </c>
      <c r="I123" s="11">
        <v>0</v>
      </c>
      <c r="J123" s="11">
        <v>0</v>
      </c>
      <c r="K123" s="11">
        <v>0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f>SUM(B123:R123)</f>
        <v>3572.4301161210869</v>
      </c>
    </row>
    <row r="124" spans="1:19" x14ac:dyDescent="0.2">
      <c r="A124" s="47" t="s">
        <v>173</v>
      </c>
      <c r="B124" s="11">
        <v>231.22128694350545</v>
      </c>
      <c r="C124" s="11">
        <v>0</v>
      </c>
      <c r="D124" s="11">
        <v>0</v>
      </c>
      <c r="E124" s="11">
        <v>0</v>
      </c>
      <c r="F124" s="11">
        <v>0</v>
      </c>
      <c r="G124" s="11">
        <v>0</v>
      </c>
      <c r="H124" s="11">
        <v>0</v>
      </c>
      <c r="I124" s="11">
        <v>0</v>
      </c>
      <c r="J124" s="11">
        <v>0</v>
      </c>
      <c r="K124" s="11">
        <v>0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f>SUM(B124:R124)</f>
        <v>231.22128694350545</v>
      </c>
    </row>
    <row r="125" spans="1:19" ht="10.5" x14ac:dyDescent="0.25">
      <c r="A125" s="48" t="s">
        <v>174</v>
      </c>
      <c r="B125" s="13">
        <f t="shared" ref="B125:S125" si="20">SUM(B123:B124)</f>
        <v>3803.6514030645922</v>
      </c>
      <c r="C125" s="13">
        <f t="shared" si="20"/>
        <v>0</v>
      </c>
      <c r="D125" s="13">
        <f t="shared" si="20"/>
        <v>0</v>
      </c>
      <c r="E125" s="13">
        <f t="shared" si="20"/>
        <v>0</v>
      </c>
      <c r="F125" s="13">
        <f t="shared" si="20"/>
        <v>0</v>
      </c>
      <c r="G125" s="13">
        <f t="shared" si="20"/>
        <v>0</v>
      </c>
      <c r="H125" s="13">
        <f t="shared" si="20"/>
        <v>0</v>
      </c>
      <c r="I125" s="13">
        <f t="shared" si="20"/>
        <v>0</v>
      </c>
      <c r="J125" s="13">
        <f t="shared" si="20"/>
        <v>0</v>
      </c>
      <c r="K125" s="13">
        <f t="shared" si="20"/>
        <v>0</v>
      </c>
      <c r="L125" s="13">
        <f t="shared" si="20"/>
        <v>0</v>
      </c>
      <c r="M125" s="13">
        <f t="shared" si="20"/>
        <v>0</v>
      </c>
      <c r="N125" s="13">
        <f t="shared" si="20"/>
        <v>0</v>
      </c>
      <c r="O125" s="13">
        <f t="shared" si="20"/>
        <v>0</v>
      </c>
      <c r="P125" s="13">
        <f t="shared" si="20"/>
        <v>0</v>
      </c>
      <c r="Q125" s="13">
        <f t="shared" si="20"/>
        <v>0</v>
      </c>
      <c r="R125" s="13">
        <f t="shared" si="20"/>
        <v>0</v>
      </c>
      <c r="S125" s="13">
        <f t="shared" si="20"/>
        <v>3803.6514030645922</v>
      </c>
    </row>
    <row r="126" spans="1:19" ht="10.5" x14ac:dyDescent="0.25">
      <c r="A126" s="12" t="s">
        <v>175</v>
      </c>
      <c r="B126" s="13">
        <f t="shared" ref="B126:S126" si="21">SUM(B107:B121,B125)</f>
        <v>386035.8290213375</v>
      </c>
      <c r="C126" s="13">
        <f t="shared" si="21"/>
        <v>0</v>
      </c>
      <c r="D126" s="13">
        <f t="shared" si="21"/>
        <v>0</v>
      </c>
      <c r="E126" s="13">
        <f t="shared" si="21"/>
        <v>9139.157762722949</v>
      </c>
      <c r="F126" s="13">
        <f t="shared" si="21"/>
        <v>0</v>
      </c>
      <c r="G126" s="13">
        <f t="shared" si="21"/>
        <v>0</v>
      </c>
      <c r="H126" s="13">
        <f t="shared" si="21"/>
        <v>0</v>
      </c>
      <c r="I126" s="13">
        <f t="shared" si="21"/>
        <v>0</v>
      </c>
      <c r="J126" s="13">
        <f t="shared" si="21"/>
        <v>0</v>
      </c>
      <c r="K126" s="13">
        <f t="shared" si="21"/>
        <v>387.94980876303327</v>
      </c>
      <c r="L126" s="13">
        <f t="shared" si="21"/>
        <v>2105.8293240716589</v>
      </c>
      <c r="M126" s="13">
        <f t="shared" si="21"/>
        <v>0</v>
      </c>
      <c r="N126" s="13">
        <f t="shared" si="21"/>
        <v>0</v>
      </c>
      <c r="O126" s="13">
        <f t="shared" si="21"/>
        <v>0</v>
      </c>
      <c r="P126" s="13">
        <f t="shared" si="21"/>
        <v>0</v>
      </c>
      <c r="Q126" s="13">
        <f t="shared" si="21"/>
        <v>0</v>
      </c>
      <c r="R126" s="13">
        <f t="shared" si="21"/>
        <v>29229.639803045746</v>
      </c>
      <c r="S126" s="13">
        <f t="shared" si="21"/>
        <v>426898.40571994096</v>
      </c>
    </row>
    <row r="127" spans="1:19" ht="10.5" x14ac:dyDescent="0.25">
      <c r="A127" s="7" t="s">
        <v>176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</row>
    <row r="128" spans="1:19" x14ac:dyDescent="0.2">
      <c r="A128" s="8" t="s">
        <v>177</v>
      </c>
      <c r="B128" s="11">
        <v>21209.709333410789</v>
      </c>
      <c r="C128" s="11">
        <v>0</v>
      </c>
      <c r="D128" s="11">
        <v>0</v>
      </c>
      <c r="E128" s="11">
        <v>0</v>
      </c>
      <c r="F128" s="11">
        <v>0</v>
      </c>
      <c r="G128" s="11">
        <v>0</v>
      </c>
      <c r="H128" s="11">
        <v>0</v>
      </c>
      <c r="I128" s="11">
        <v>0</v>
      </c>
      <c r="J128" s="11">
        <v>0</v>
      </c>
      <c r="K128" s="11">
        <v>0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1">
        <v>0</v>
      </c>
      <c r="R128" s="11">
        <v>7.1703993735747096</v>
      </c>
      <c r="S128" s="11">
        <f>SUM(B128:R128)</f>
        <v>21216.879732784364</v>
      </c>
    </row>
    <row r="129" spans="1:19" x14ac:dyDescent="0.2">
      <c r="A129" s="8" t="s">
        <v>178</v>
      </c>
      <c r="B129" s="11">
        <v>186303.17631991941</v>
      </c>
      <c r="C129" s="11">
        <v>0</v>
      </c>
      <c r="D129" s="11">
        <v>0</v>
      </c>
      <c r="E129" s="11">
        <v>0</v>
      </c>
      <c r="F129" s="11">
        <v>0</v>
      </c>
      <c r="G129" s="11">
        <v>0</v>
      </c>
      <c r="H129" s="11">
        <v>0</v>
      </c>
      <c r="I129" s="11">
        <v>0</v>
      </c>
      <c r="J129" s="11">
        <v>0</v>
      </c>
      <c r="K129" s="11">
        <v>0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1">
        <v>0</v>
      </c>
      <c r="S129" s="11">
        <f>SUM(B129:R129)</f>
        <v>186303.17631991941</v>
      </c>
    </row>
    <row r="130" spans="1:19" x14ac:dyDescent="0.2">
      <c r="A130" s="8" t="s">
        <v>179</v>
      </c>
      <c r="B130" s="11">
        <v>46942.87183882868</v>
      </c>
      <c r="C130" s="11">
        <v>0</v>
      </c>
      <c r="D130" s="11">
        <v>0</v>
      </c>
      <c r="E130" s="11">
        <v>0</v>
      </c>
      <c r="F130" s="11">
        <v>0</v>
      </c>
      <c r="G130" s="11">
        <v>0</v>
      </c>
      <c r="H130" s="11">
        <v>0</v>
      </c>
      <c r="I130" s="11">
        <v>0</v>
      </c>
      <c r="J130" s="11">
        <v>0</v>
      </c>
      <c r="K130" s="11">
        <v>0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13.031012306585698</v>
      </c>
      <c r="S130" s="11">
        <f>SUM(B130:R130)</f>
        <v>46955.902851135266</v>
      </c>
    </row>
    <row r="131" spans="1:19" x14ac:dyDescent="0.2">
      <c r="A131" s="8" t="s">
        <v>180</v>
      </c>
      <c r="B131" s="11">
        <v>236.19536389271076</v>
      </c>
      <c r="C131" s="11">
        <v>0</v>
      </c>
      <c r="D131" s="11">
        <v>0</v>
      </c>
      <c r="E131" s="11">
        <v>0</v>
      </c>
      <c r="F131" s="11">
        <v>0</v>
      </c>
      <c r="G131" s="11">
        <v>0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O131" s="11">
        <v>0</v>
      </c>
      <c r="P131" s="11">
        <v>0</v>
      </c>
      <c r="Q131" s="11">
        <v>0</v>
      </c>
      <c r="R131" s="11">
        <v>0</v>
      </c>
      <c r="S131" s="11">
        <f>SUM(B131:R131)</f>
        <v>236.19536389271076</v>
      </c>
    </row>
    <row r="132" spans="1:19" ht="10.5" x14ac:dyDescent="0.25">
      <c r="A132" s="12" t="s">
        <v>181</v>
      </c>
      <c r="B132" s="13">
        <f t="shared" ref="B132:S132" si="22">SUM(B128:B131)</f>
        <v>254691.95285605156</v>
      </c>
      <c r="C132" s="13">
        <f t="shared" si="22"/>
        <v>0</v>
      </c>
      <c r="D132" s="13">
        <f t="shared" si="22"/>
        <v>0</v>
      </c>
      <c r="E132" s="13">
        <f t="shared" si="22"/>
        <v>0</v>
      </c>
      <c r="F132" s="13">
        <f t="shared" si="22"/>
        <v>0</v>
      </c>
      <c r="G132" s="13">
        <f t="shared" si="22"/>
        <v>0</v>
      </c>
      <c r="H132" s="13">
        <f t="shared" si="22"/>
        <v>0</v>
      </c>
      <c r="I132" s="13">
        <f t="shared" si="22"/>
        <v>0</v>
      </c>
      <c r="J132" s="13">
        <f t="shared" si="22"/>
        <v>0</v>
      </c>
      <c r="K132" s="13">
        <f t="shared" si="22"/>
        <v>0</v>
      </c>
      <c r="L132" s="13">
        <f t="shared" si="22"/>
        <v>0</v>
      </c>
      <c r="M132" s="13">
        <f t="shared" si="22"/>
        <v>0</v>
      </c>
      <c r="N132" s="13">
        <f t="shared" si="22"/>
        <v>0</v>
      </c>
      <c r="O132" s="13">
        <f t="shared" si="22"/>
        <v>0</v>
      </c>
      <c r="P132" s="13">
        <f t="shared" si="22"/>
        <v>0</v>
      </c>
      <c r="Q132" s="13">
        <f t="shared" si="22"/>
        <v>0</v>
      </c>
      <c r="R132" s="13">
        <f t="shared" si="22"/>
        <v>20.201411680160408</v>
      </c>
      <c r="S132" s="13">
        <f t="shared" si="22"/>
        <v>254712.15426773173</v>
      </c>
    </row>
    <row r="133" spans="1:19" ht="10.5" x14ac:dyDescent="0.25">
      <c r="A133" s="14" t="s">
        <v>182</v>
      </c>
      <c r="B133" s="13">
        <f t="shared" ref="B133:S133" si="23">SUM(B39,B45,B51,B55,B59,B70,B77,B84,B98,B101,B105,B126,B132)</f>
        <v>4154245.3359499774</v>
      </c>
      <c r="C133" s="13">
        <f t="shared" si="23"/>
        <v>2852.835671244758</v>
      </c>
      <c r="D133" s="13">
        <f t="shared" si="23"/>
        <v>0</v>
      </c>
      <c r="E133" s="13">
        <f t="shared" si="23"/>
        <v>43375.989965912289</v>
      </c>
      <c r="F133" s="13">
        <f t="shared" si="23"/>
        <v>0</v>
      </c>
      <c r="G133" s="13">
        <f t="shared" si="23"/>
        <v>12150.754625877504</v>
      </c>
      <c r="H133" s="13">
        <f t="shared" si="23"/>
        <v>1379.9901696368479</v>
      </c>
      <c r="I133" s="13">
        <f t="shared" si="23"/>
        <v>0</v>
      </c>
      <c r="J133" s="13">
        <f t="shared" si="23"/>
        <v>0</v>
      </c>
      <c r="K133" s="13">
        <f t="shared" si="23"/>
        <v>387.94980876303327</v>
      </c>
      <c r="L133" s="13">
        <f t="shared" si="23"/>
        <v>5428.8384939896705</v>
      </c>
      <c r="M133" s="13">
        <f t="shared" si="23"/>
        <v>0</v>
      </c>
      <c r="N133" s="13">
        <f t="shared" si="23"/>
        <v>0</v>
      </c>
      <c r="O133" s="13">
        <f t="shared" si="23"/>
        <v>33424.161152224064</v>
      </c>
      <c r="P133" s="13">
        <f t="shared" si="23"/>
        <v>0</v>
      </c>
      <c r="Q133" s="13">
        <f t="shared" si="23"/>
        <v>0</v>
      </c>
      <c r="R133" s="13">
        <f t="shared" si="23"/>
        <v>142864.62836815297</v>
      </c>
      <c r="S133" s="13">
        <f t="shared" si="23"/>
        <v>4396110.4842057787</v>
      </c>
    </row>
    <row r="134" spans="1:19" ht="10.5" x14ac:dyDescent="0.25">
      <c r="A134" s="6" t="s">
        <v>183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</row>
    <row r="135" spans="1:19" x14ac:dyDescent="0.2">
      <c r="A135" s="45" t="s">
        <v>184</v>
      </c>
      <c r="B135" s="11">
        <v>513.49568664174797</v>
      </c>
      <c r="C135" s="11">
        <v>0</v>
      </c>
      <c r="D135" s="11">
        <v>0</v>
      </c>
      <c r="E135" s="11">
        <v>0</v>
      </c>
      <c r="F135" s="11">
        <v>0</v>
      </c>
      <c r="G135" s="11">
        <v>0</v>
      </c>
      <c r="H135" s="11">
        <v>0</v>
      </c>
      <c r="I135" s="11">
        <v>0</v>
      </c>
      <c r="J135" s="11">
        <v>0</v>
      </c>
      <c r="K135" s="11">
        <v>0</v>
      </c>
      <c r="L135" s="11">
        <v>0</v>
      </c>
      <c r="M135" s="11">
        <v>0</v>
      </c>
      <c r="N135" s="11">
        <v>0</v>
      </c>
      <c r="O135" s="11">
        <v>0</v>
      </c>
      <c r="P135" s="11">
        <v>0</v>
      </c>
      <c r="Q135" s="11">
        <v>0</v>
      </c>
      <c r="R135" s="11">
        <v>2552.2135144274275</v>
      </c>
      <c r="S135" s="11">
        <f t="shared" ref="S135:S150" si="24">SUM(B135:R135)</f>
        <v>3065.7092010691754</v>
      </c>
    </row>
    <row r="136" spans="1:19" x14ac:dyDescent="0.2">
      <c r="A136" s="45" t="s">
        <v>185</v>
      </c>
      <c r="B136" s="11">
        <v>7924.1732354085789</v>
      </c>
      <c r="C136" s="11">
        <v>0</v>
      </c>
      <c r="D136" s="11">
        <v>0</v>
      </c>
      <c r="E136" s="11">
        <v>0</v>
      </c>
      <c r="F136" s="11">
        <v>0</v>
      </c>
      <c r="G136" s="11">
        <v>2800.4626490097062</v>
      </c>
      <c r="H136" s="11">
        <v>0</v>
      </c>
      <c r="I136" s="11">
        <v>0</v>
      </c>
      <c r="J136" s="11">
        <v>0</v>
      </c>
      <c r="K136" s="11">
        <v>0</v>
      </c>
      <c r="L136" s="11">
        <v>0</v>
      </c>
      <c r="M136" s="11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2906.7213545501822</v>
      </c>
      <c r="S136" s="11">
        <f t="shared" si="24"/>
        <v>13631.357238968467</v>
      </c>
    </row>
    <row r="137" spans="1:19" x14ac:dyDescent="0.2">
      <c r="A137" s="45" t="s">
        <v>186</v>
      </c>
      <c r="B137" s="11">
        <v>9984.2583511894954</v>
      </c>
      <c r="C137" s="11">
        <v>0</v>
      </c>
      <c r="D137" s="11">
        <v>0</v>
      </c>
      <c r="E137" s="11">
        <v>0</v>
      </c>
      <c r="F137" s="11">
        <v>0</v>
      </c>
      <c r="G137" s="11">
        <v>0</v>
      </c>
      <c r="H137" s="11">
        <v>0</v>
      </c>
      <c r="I137" s="11">
        <v>0</v>
      </c>
      <c r="J137" s="11">
        <v>0</v>
      </c>
      <c r="K137" s="11">
        <v>0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f t="shared" si="24"/>
        <v>9984.2583511894954</v>
      </c>
    </row>
    <row r="138" spans="1:19" x14ac:dyDescent="0.2">
      <c r="A138" s="45" t="s">
        <v>187</v>
      </c>
      <c r="B138" s="11">
        <v>29.837497590497808</v>
      </c>
      <c r="C138" s="11">
        <v>0</v>
      </c>
      <c r="D138" s="11">
        <v>0</v>
      </c>
      <c r="E138" s="11">
        <v>0</v>
      </c>
      <c r="F138" s="11">
        <v>0</v>
      </c>
      <c r="G138" s="11">
        <v>0</v>
      </c>
      <c r="H138" s="11">
        <v>0</v>
      </c>
      <c r="I138" s="11">
        <v>0</v>
      </c>
      <c r="J138" s="11">
        <v>0</v>
      </c>
      <c r="K138" s="11">
        <v>0</v>
      </c>
      <c r="L138" s="11">
        <v>0</v>
      </c>
      <c r="M138" s="11">
        <v>0</v>
      </c>
      <c r="N138" s="11">
        <v>0</v>
      </c>
      <c r="O138" s="11">
        <v>0</v>
      </c>
      <c r="P138" s="11">
        <v>0</v>
      </c>
      <c r="Q138" s="11">
        <v>0</v>
      </c>
      <c r="R138" s="11">
        <v>0</v>
      </c>
      <c r="S138" s="11">
        <f t="shared" si="24"/>
        <v>29.837497590497808</v>
      </c>
    </row>
    <row r="139" spans="1:19" x14ac:dyDescent="0.2">
      <c r="A139" s="45" t="s">
        <v>188</v>
      </c>
      <c r="B139" s="11">
        <v>6502.2565408110395</v>
      </c>
      <c r="C139" s="11">
        <v>0</v>
      </c>
      <c r="D139" s="11">
        <v>0</v>
      </c>
      <c r="E139" s="11">
        <v>2465.639356619015</v>
      </c>
      <c r="F139" s="11">
        <v>0</v>
      </c>
      <c r="G139" s="11">
        <v>0</v>
      </c>
      <c r="H139" s="11">
        <v>0</v>
      </c>
      <c r="I139" s="11">
        <v>0</v>
      </c>
      <c r="J139" s="11">
        <v>0</v>
      </c>
      <c r="K139" s="11">
        <v>0</v>
      </c>
      <c r="L139" s="11">
        <v>0</v>
      </c>
      <c r="M139" s="11">
        <v>0</v>
      </c>
      <c r="N139" s="11">
        <v>0</v>
      </c>
      <c r="O139" s="11">
        <v>0</v>
      </c>
      <c r="P139" s="11">
        <v>0</v>
      </c>
      <c r="Q139" s="11">
        <v>0</v>
      </c>
      <c r="R139" s="11">
        <v>2263.2412061900818</v>
      </c>
      <c r="S139" s="11">
        <f t="shared" si="24"/>
        <v>11231.137103620136</v>
      </c>
    </row>
    <row r="140" spans="1:19" x14ac:dyDescent="0.2">
      <c r="A140" s="45" t="s">
        <v>189</v>
      </c>
      <c r="B140" s="11">
        <v>10862.355419965805</v>
      </c>
      <c r="C140" s="11">
        <v>0</v>
      </c>
      <c r="D140" s="11">
        <v>0</v>
      </c>
      <c r="E140" s="11">
        <v>0</v>
      </c>
      <c r="F140" s="11">
        <v>0</v>
      </c>
      <c r="G140" s="11">
        <v>3642.6606330548425</v>
      </c>
      <c r="H140" s="11">
        <v>0</v>
      </c>
      <c r="I140" s="11">
        <v>0</v>
      </c>
      <c r="J140" s="11">
        <v>0</v>
      </c>
      <c r="K140" s="11">
        <v>0</v>
      </c>
      <c r="L140" s="11">
        <v>1469.1670485332875</v>
      </c>
      <c r="M140" s="11">
        <v>0</v>
      </c>
      <c r="N140" s="11">
        <v>0</v>
      </c>
      <c r="O140" s="11">
        <v>0</v>
      </c>
      <c r="P140" s="11">
        <v>1155.2502940486365</v>
      </c>
      <c r="Q140" s="11">
        <v>0</v>
      </c>
      <c r="R140" s="11">
        <v>2501.2597092473561</v>
      </c>
      <c r="S140" s="11">
        <f t="shared" si="24"/>
        <v>19630.693104849925</v>
      </c>
    </row>
    <row r="141" spans="1:19" x14ac:dyDescent="0.2">
      <c r="A141" s="45" t="s">
        <v>190</v>
      </c>
      <c r="B141" s="11">
        <v>5119.1782125039363</v>
      </c>
      <c r="C141" s="11">
        <v>0</v>
      </c>
      <c r="D141" s="11">
        <v>0</v>
      </c>
      <c r="E141" s="11">
        <v>6994.5746933528771</v>
      </c>
      <c r="F141" s="11">
        <v>22.027983026688521</v>
      </c>
      <c r="G141" s="11">
        <v>0</v>
      </c>
      <c r="H141" s="11">
        <v>0</v>
      </c>
      <c r="I141" s="11">
        <v>0</v>
      </c>
      <c r="J141" s="11">
        <v>0</v>
      </c>
      <c r="K141" s="11">
        <v>0</v>
      </c>
      <c r="L141" s="11">
        <v>10387.785506444096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1">
        <v>0</v>
      </c>
      <c r="S141" s="11">
        <f t="shared" si="24"/>
        <v>22523.566395327598</v>
      </c>
    </row>
    <row r="142" spans="1:19" x14ac:dyDescent="0.2">
      <c r="A142" s="45" t="s">
        <v>191</v>
      </c>
      <c r="B142" s="11">
        <v>60165.596976640954</v>
      </c>
      <c r="C142" s="11">
        <v>0</v>
      </c>
      <c r="D142" s="11">
        <v>0</v>
      </c>
      <c r="E142" s="11">
        <v>52882.266469358503</v>
      </c>
      <c r="F142" s="11">
        <v>3297.5578104955894</v>
      </c>
      <c r="G142" s="11">
        <v>0</v>
      </c>
      <c r="H142" s="11">
        <v>0</v>
      </c>
      <c r="I142" s="11">
        <v>0</v>
      </c>
      <c r="J142" s="11">
        <v>0</v>
      </c>
      <c r="K142" s="11">
        <v>0</v>
      </c>
      <c r="L142" s="11">
        <v>64344.025542036645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10341.711799185601</v>
      </c>
      <c r="S142" s="11">
        <f t="shared" si="24"/>
        <v>191031.15859771729</v>
      </c>
    </row>
    <row r="143" spans="1:19" x14ac:dyDescent="0.2">
      <c r="A143" s="45" t="s">
        <v>192</v>
      </c>
      <c r="B143" s="11">
        <v>1613.4433331392784</v>
      </c>
      <c r="C143" s="11">
        <v>0</v>
      </c>
      <c r="D143" s="11">
        <v>0</v>
      </c>
      <c r="E143" s="11">
        <v>0</v>
      </c>
      <c r="F143" s="11">
        <v>0</v>
      </c>
      <c r="G143" s="11">
        <v>0</v>
      </c>
      <c r="H143" s="11">
        <v>0</v>
      </c>
      <c r="I143" s="11">
        <v>0</v>
      </c>
      <c r="J143" s="11">
        <v>0</v>
      </c>
      <c r="K143" s="11">
        <v>0</v>
      </c>
      <c r="L143" s="11">
        <v>0</v>
      </c>
      <c r="M143" s="11">
        <v>0</v>
      </c>
      <c r="N143" s="11">
        <v>0</v>
      </c>
      <c r="O143" s="11">
        <v>0</v>
      </c>
      <c r="P143" s="11">
        <v>0</v>
      </c>
      <c r="Q143" s="11">
        <v>0</v>
      </c>
      <c r="R143" s="11">
        <v>0</v>
      </c>
      <c r="S143" s="11">
        <f t="shared" si="24"/>
        <v>1613.4433331392784</v>
      </c>
    </row>
    <row r="144" spans="1:19" x14ac:dyDescent="0.2">
      <c r="A144" s="45" t="s">
        <v>193</v>
      </c>
      <c r="B144" s="11">
        <v>5914.2314848135102</v>
      </c>
      <c r="C144" s="11">
        <v>0</v>
      </c>
      <c r="D144" s="11">
        <v>0</v>
      </c>
      <c r="E144" s="11">
        <v>51257.86165000435</v>
      </c>
      <c r="F144" s="11">
        <v>13202.524757642428</v>
      </c>
      <c r="G144" s="11">
        <v>1302.0083761739456</v>
      </c>
      <c r="H144" s="11">
        <v>0</v>
      </c>
      <c r="I144" s="11">
        <v>0</v>
      </c>
      <c r="J144" s="11">
        <v>0</v>
      </c>
      <c r="K144" s="11">
        <v>0</v>
      </c>
      <c r="L144" s="11">
        <v>25375.98970369469</v>
      </c>
      <c r="M144" s="11">
        <v>0</v>
      </c>
      <c r="N144" s="11">
        <v>0</v>
      </c>
      <c r="O144" s="11">
        <v>0</v>
      </c>
      <c r="P144" s="11">
        <v>0</v>
      </c>
      <c r="Q144" s="11">
        <v>0</v>
      </c>
      <c r="R144" s="11">
        <v>6981.1304679839295</v>
      </c>
      <c r="S144" s="11">
        <f t="shared" si="24"/>
        <v>104033.74644031285</v>
      </c>
    </row>
    <row r="145" spans="1:19" x14ac:dyDescent="0.2">
      <c r="A145" s="45" t="s">
        <v>194</v>
      </c>
      <c r="B145" s="11">
        <v>2457.4198613853246</v>
      </c>
      <c r="C145" s="11">
        <v>0</v>
      </c>
      <c r="D145" s="11">
        <v>0</v>
      </c>
      <c r="E145" s="11">
        <v>0</v>
      </c>
      <c r="F145" s="11">
        <v>0</v>
      </c>
      <c r="G145" s="11">
        <v>0</v>
      </c>
      <c r="H145" s="11">
        <v>0</v>
      </c>
      <c r="I145" s="11">
        <v>0</v>
      </c>
      <c r="J145" s="11">
        <v>0</v>
      </c>
      <c r="K145" s="11">
        <v>0</v>
      </c>
      <c r="L145" s="11">
        <v>0</v>
      </c>
      <c r="M145" s="11">
        <v>0</v>
      </c>
      <c r="N145" s="11">
        <v>0</v>
      </c>
      <c r="O145" s="11">
        <v>0</v>
      </c>
      <c r="P145" s="11">
        <v>0</v>
      </c>
      <c r="Q145" s="11">
        <v>0</v>
      </c>
      <c r="R145" s="11">
        <v>0</v>
      </c>
      <c r="S145" s="11">
        <f t="shared" si="24"/>
        <v>2457.4198613853246</v>
      </c>
    </row>
    <row r="146" spans="1:19" x14ac:dyDescent="0.2">
      <c r="A146" s="45" t="s">
        <v>195</v>
      </c>
      <c r="B146" s="11">
        <v>134940.19712281253</v>
      </c>
      <c r="C146" s="11">
        <v>0</v>
      </c>
      <c r="D146" s="11">
        <v>0</v>
      </c>
      <c r="E146" s="11">
        <v>0</v>
      </c>
      <c r="F146" s="11">
        <v>0</v>
      </c>
      <c r="G146" s="11">
        <v>13746.228819777041</v>
      </c>
      <c r="H146" s="11">
        <v>0</v>
      </c>
      <c r="I146" s="11">
        <v>0</v>
      </c>
      <c r="J146" s="11">
        <v>0</v>
      </c>
      <c r="K146" s="11">
        <v>0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1">
        <v>52747.993897939406</v>
      </c>
      <c r="S146" s="11">
        <f t="shared" si="24"/>
        <v>201434.41984052898</v>
      </c>
    </row>
    <row r="147" spans="1:19" x14ac:dyDescent="0.2">
      <c r="A147" s="45" t="s">
        <v>196</v>
      </c>
      <c r="B147" s="11">
        <v>10016.94937425319</v>
      </c>
      <c r="C147" s="11">
        <v>0</v>
      </c>
      <c r="D147" s="11">
        <v>0</v>
      </c>
      <c r="E147" s="11">
        <v>0</v>
      </c>
      <c r="F147" s="11">
        <v>0</v>
      </c>
      <c r="G147" s="11">
        <v>0</v>
      </c>
      <c r="H147" s="11">
        <v>0</v>
      </c>
      <c r="I147" s="11">
        <v>0</v>
      </c>
      <c r="J147" s="11">
        <v>0</v>
      </c>
      <c r="K147" s="11">
        <v>0</v>
      </c>
      <c r="L147" s="11">
        <v>1991.3966429486959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f t="shared" si="24"/>
        <v>12008.346017201886</v>
      </c>
    </row>
    <row r="148" spans="1:19" x14ac:dyDescent="0.2">
      <c r="A148" s="45" t="s">
        <v>197</v>
      </c>
      <c r="B148" s="11">
        <v>640275.99030303105</v>
      </c>
      <c r="C148" s="11">
        <v>0</v>
      </c>
      <c r="D148" s="11">
        <v>0</v>
      </c>
      <c r="E148" s="11">
        <v>60946.731429757783</v>
      </c>
      <c r="F148" s="11">
        <v>0</v>
      </c>
      <c r="G148" s="11">
        <v>8384.7614075967031</v>
      </c>
      <c r="H148" s="11">
        <v>2535.708886748278</v>
      </c>
      <c r="I148" s="11">
        <v>0</v>
      </c>
      <c r="J148" s="11">
        <v>0</v>
      </c>
      <c r="K148" s="11">
        <v>0</v>
      </c>
      <c r="L148" s="11">
        <v>14608.354501908481</v>
      </c>
      <c r="M148" s="11">
        <v>0</v>
      </c>
      <c r="N148" s="11">
        <v>0</v>
      </c>
      <c r="O148" s="11">
        <v>0</v>
      </c>
      <c r="P148" s="11">
        <v>0</v>
      </c>
      <c r="Q148" s="11">
        <v>0</v>
      </c>
      <c r="R148" s="11">
        <v>58744.615915000992</v>
      </c>
      <c r="S148" s="11">
        <f t="shared" si="24"/>
        <v>785496.16244404344</v>
      </c>
    </row>
    <row r="149" spans="1:19" x14ac:dyDescent="0.2">
      <c r="A149" s="45" t="s">
        <v>198</v>
      </c>
      <c r="B149" s="11">
        <v>153000.25848877148</v>
      </c>
      <c r="C149" s="11">
        <v>0</v>
      </c>
      <c r="D149" s="11">
        <v>0</v>
      </c>
      <c r="E149" s="11">
        <v>0</v>
      </c>
      <c r="F149" s="11">
        <v>0</v>
      </c>
      <c r="G149" s="11">
        <v>0</v>
      </c>
      <c r="H149" s="11">
        <v>7408.3617788272086</v>
      </c>
      <c r="I149" s="11">
        <v>0</v>
      </c>
      <c r="J149" s="11">
        <v>0</v>
      </c>
      <c r="K149" s="11">
        <v>0</v>
      </c>
      <c r="L149" s="11">
        <v>622.14034449844917</v>
      </c>
      <c r="M149" s="11">
        <v>0</v>
      </c>
      <c r="N149" s="11">
        <v>0</v>
      </c>
      <c r="O149" s="11">
        <v>0</v>
      </c>
      <c r="P149" s="11">
        <v>0</v>
      </c>
      <c r="Q149" s="11">
        <v>0</v>
      </c>
      <c r="R149" s="11">
        <v>97066.09531626536</v>
      </c>
      <c r="S149" s="11">
        <f t="shared" si="24"/>
        <v>258096.85592836249</v>
      </c>
    </row>
    <row r="150" spans="1:19" x14ac:dyDescent="0.2">
      <c r="A150" s="45" t="s">
        <v>199</v>
      </c>
      <c r="B150" s="11">
        <v>98281.821116389809</v>
      </c>
      <c r="C150" s="11">
        <v>0</v>
      </c>
      <c r="D150" s="11">
        <v>0</v>
      </c>
      <c r="E150" s="11">
        <v>249.58289749234174</v>
      </c>
      <c r="F150" s="11">
        <v>0</v>
      </c>
      <c r="G150" s="11">
        <v>852.54642973407533</v>
      </c>
      <c r="H150" s="11">
        <v>0</v>
      </c>
      <c r="I150" s="11">
        <v>0</v>
      </c>
      <c r="J150" s="11">
        <v>0</v>
      </c>
      <c r="K150" s="11">
        <v>0</v>
      </c>
      <c r="L150" s="11">
        <v>0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3342.8592561959126</v>
      </c>
      <c r="S150" s="11">
        <f t="shared" si="24"/>
        <v>102726.80969981213</v>
      </c>
    </row>
    <row r="151" spans="1:19" ht="10.5" x14ac:dyDescent="0.25">
      <c r="A151" s="7" t="s">
        <v>200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</row>
    <row r="152" spans="1:19" x14ac:dyDescent="0.2">
      <c r="A152" s="8" t="s">
        <v>201</v>
      </c>
      <c r="B152" s="11">
        <v>67987.5655075182</v>
      </c>
      <c r="C152" s="11">
        <v>0</v>
      </c>
      <c r="D152" s="11">
        <v>0</v>
      </c>
      <c r="E152" s="11">
        <v>0</v>
      </c>
      <c r="F152" s="11">
        <v>0</v>
      </c>
      <c r="G152" s="11">
        <v>0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O152" s="11">
        <v>0</v>
      </c>
      <c r="P152" s="11">
        <v>0</v>
      </c>
      <c r="Q152" s="11">
        <v>0</v>
      </c>
      <c r="R152" s="11">
        <v>40998.180832868966</v>
      </c>
      <c r="S152" s="11">
        <f>SUM(B152:R152)</f>
        <v>108985.74634038717</v>
      </c>
    </row>
    <row r="153" spans="1:19" x14ac:dyDescent="0.2">
      <c r="A153" s="8" t="s">
        <v>202</v>
      </c>
      <c r="B153" s="11">
        <v>30.815631614654119</v>
      </c>
      <c r="C153" s="11">
        <v>0</v>
      </c>
      <c r="D153" s="11">
        <v>0</v>
      </c>
      <c r="E153" s="11">
        <v>0</v>
      </c>
      <c r="F153" s="11">
        <v>0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f>SUM(B153:R153)</f>
        <v>30.815631614654119</v>
      </c>
    </row>
    <row r="154" spans="1:19" ht="10.5" x14ac:dyDescent="0.25">
      <c r="A154" s="12" t="s">
        <v>203</v>
      </c>
      <c r="B154" s="13">
        <f t="shared" ref="B154:S154" si="25">SUM(B152:B153)</f>
        <v>68018.381139132849</v>
      </c>
      <c r="C154" s="13">
        <f t="shared" si="25"/>
        <v>0</v>
      </c>
      <c r="D154" s="13">
        <f t="shared" si="25"/>
        <v>0</v>
      </c>
      <c r="E154" s="13">
        <f t="shared" si="25"/>
        <v>0</v>
      </c>
      <c r="F154" s="13">
        <f t="shared" si="25"/>
        <v>0</v>
      </c>
      <c r="G154" s="13">
        <f t="shared" si="25"/>
        <v>0</v>
      </c>
      <c r="H154" s="13">
        <f t="shared" si="25"/>
        <v>0</v>
      </c>
      <c r="I154" s="13">
        <f t="shared" si="25"/>
        <v>0</v>
      </c>
      <c r="J154" s="13">
        <f t="shared" si="25"/>
        <v>0</v>
      </c>
      <c r="K154" s="13">
        <f t="shared" si="25"/>
        <v>0</v>
      </c>
      <c r="L154" s="13">
        <f t="shared" si="25"/>
        <v>0</v>
      </c>
      <c r="M154" s="13">
        <f t="shared" si="25"/>
        <v>0</v>
      </c>
      <c r="N154" s="13">
        <f t="shared" si="25"/>
        <v>0</v>
      </c>
      <c r="O154" s="13">
        <f t="shared" si="25"/>
        <v>0</v>
      </c>
      <c r="P154" s="13">
        <f t="shared" si="25"/>
        <v>0</v>
      </c>
      <c r="Q154" s="13">
        <f t="shared" si="25"/>
        <v>0</v>
      </c>
      <c r="R154" s="13">
        <f t="shared" si="25"/>
        <v>40998.180832868966</v>
      </c>
      <c r="S154" s="13">
        <f t="shared" si="25"/>
        <v>109016.56197200181</v>
      </c>
    </row>
    <row r="155" spans="1:19" ht="10.5" x14ac:dyDescent="0.25">
      <c r="A155" s="7" t="s">
        <v>204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</row>
    <row r="156" spans="1:19" x14ac:dyDescent="0.2">
      <c r="A156" s="8" t="s">
        <v>205</v>
      </c>
      <c r="B156" s="11">
        <v>550122.94319225533</v>
      </c>
      <c r="C156" s="11">
        <v>0</v>
      </c>
      <c r="D156" s="11">
        <v>0</v>
      </c>
      <c r="E156" s="11">
        <v>0</v>
      </c>
      <c r="F156" s="11">
        <v>0</v>
      </c>
      <c r="G156" s="11">
        <v>0</v>
      </c>
      <c r="H156" s="11">
        <v>0</v>
      </c>
      <c r="I156" s="11">
        <v>0</v>
      </c>
      <c r="J156" s="11">
        <v>0</v>
      </c>
      <c r="K156" s="11">
        <v>0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f>SUM(B156:R156)</f>
        <v>550122.94319225533</v>
      </c>
    </row>
    <row r="157" spans="1:19" x14ac:dyDescent="0.2">
      <c r="A157" s="8" t="s">
        <v>206</v>
      </c>
      <c r="B157" s="11">
        <v>-6063.1835930997222</v>
      </c>
      <c r="C157" s="11">
        <v>0</v>
      </c>
      <c r="D157" s="11">
        <v>0</v>
      </c>
      <c r="E157" s="11">
        <v>195582.51578513236</v>
      </c>
      <c r="F157" s="11">
        <v>0</v>
      </c>
      <c r="G157" s="11">
        <v>49690.008643645226</v>
      </c>
      <c r="H157" s="11">
        <v>0</v>
      </c>
      <c r="I157" s="11">
        <v>0</v>
      </c>
      <c r="J157" s="11">
        <v>0</v>
      </c>
      <c r="K157" s="11">
        <v>298.96027225134577</v>
      </c>
      <c r="L157" s="11">
        <v>21643.488649939565</v>
      </c>
      <c r="M157" s="11">
        <v>0</v>
      </c>
      <c r="N157" s="11">
        <v>0</v>
      </c>
      <c r="O157" s="11">
        <v>0</v>
      </c>
      <c r="P157" s="11">
        <v>0</v>
      </c>
      <c r="Q157" s="11">
        <v>0</v>
      </c>
      <c r="R157" s="11">
        <v>33094.830092070457</v>
      </c>
      <c r="S157" s="11">
        <f>SUM(B157:R157)</f>
        <v>294246.61984993925</v>
      </c>
    </row>
    <row r="158" spans="1:19" ht="10.5" x14ac:dyDescent="0.25">
      <c r="A158" s="12" t="s">
        <v>207</v>
      </c>
      <c r="B158" s="13">
        <f t="shared" ref="B158:S158" si="26">SUM(B156:B157)</f>
        <v>544059.75959915563</v>
      </c>
      <c r="C158" s="13">
        <f t="shared" si="26"/>
        <v>0</v>
      </c>
      <c r="D158" s="13">
        <f t="shared" si="26"/>
        <v>0</v>
      </c>
      <c r="E158" s="13">
        <f t="shared" si="26"/>
        <v>195582.51578513236</v>
      </c>
      <c r="F158" s="13">
        <f t="shared" si="26"/>
        <v>0</v>
      </c>
      <c r="G158" s="13">
        <f t="shared" si="26"/>
        <v>49690.008643645226</v>
      </c>
      <c r="H158" s="13">
        <f t="shared" si="26"/>
        <v>0</v>
      </c>
      <c r="I158" s="13">
        <f t="shared" si="26"/>
        <v>0</v>
      </c>
      <c r="J158" s="13">
        <f t="shared" si="26"/>
        <v>0</v>
      </c>
      <c r="K158" s="13">
        <f t="shared" si="26"/>
        <v>298.96027225134577</v>
      </c>
      <c r="L158" s="13">
        <f t="shared" si="26"/>
        <v>21643.488649939565</v>
      </c>
      <c r="M158" s="13">
        <f t="shared" si="26"/>
        <v>0</v>
      </c>
      <c r="N158" s="13">
        <f t="shared" si="26"/>
        <v>0</v>
      </c>
      <c r="O158" s="13">
        <f t="shared" si="26"/>
        <v>0</v>
      </c>
      <c r="P158" s="13">
        <f t="shared" si="26"/>
        <v>0</v>
      </c>
      <c r="Q158" s="13">
        <f t="shared" si="26"/>
        <v>0</v>
      </c>
      <c r="R158" s="13">
        <f t="shared" si="26"/>
        <v>33094.830092070457</v>
      </c>
      <c r="S158" s="13">
        <f t="shared" si="26"/>
        <v>844369.56304219458</v>
      </c>
    </row>
    <row r="159" spans="1:19" ht="10.5" x14ac:dyDescent="0.25">
      <c r="A159" s="14" t="s">
        <v>208</v>
      </c>
      <c r="B159" s="13">
        <f t="shared" ref="B159:S159" si="27">SUM(B135:B150,B154,B158)</f>
        <v>1759679.6037436365</v>
      </c>
      <c r="C159" s="13">
        <f t="shared" si="27"/>
        <v>0</v>
      </c>
      <c r="D159" s="13">
        <f t="shared" si="27"/>
        <v>0</v>
      </c>
      <c r="E159" s="13">
        <f t="shared" si="27"/>
        <v>370379.17228171718</v>
      </c>
      <c r="F159" s="13">
        <f t="shared" si="27"/>
        <v>16522.110551164707</v>
      </c>
      <c r="G159" s="13">
        <f t="shared" si="27"/>
        <v>80418.676958991535</v>
      </c>
      <c r="H159" s="13">
        <f t="shared" si="27"/>
        <v>9944.0706655754875</v>
      </c>
      <c r="I159" s="13">
        <f t="shared" si="27"/>
        <v>0</v>
      </c>
      <c r="J159" s="13">
        <f t="shared" si="27"/>
        <v>0</v>
      </c>
      <c r="K159" s="13">
        <f t="shared" si="27"/>
        <v>298.96027225134577</v>
      </c>
      <c r="L159" s="13">
        <f t="shared" si="27"/>
        <v>140442.34794000391</v>
      </c>
      <c r="M159" s="13">
        <f t="shared" si="27"/>
        <v>0</v>
      </c>
      <c r="N159" s="13">
        <f t="shared" si="27"/>
        <v>0</v>
      </c>
      <c r="O159" s="13">
        <f t="shared" si="27"/>
        <v>0</v>
      </c>
      <c r="P159" s="13">
        <f t="shared" si="27"/>
        <v>1155.2502940486365</v>
      </c>
      <c r="Q159" s="13">
        <f t="shared" si="27"/>
        <v>0</v>
      </c>
      <c r="R159" s="13">
        <f t="shared" si="27"/>
        <v>313540.85336192563</v>
      </c>
      <c r="S159" s="13">
        <f t="shared" si="27"/>
        <v>2692381.0460693156</v>
      </c>
    </row>
    <row r="160" spans="1:19" ht="10.5" x14ac:dyDescent="0.25">
      <c r="A160" s="15" t="s">
        <v>235</v>
      </c>
      <c r="B160" s="13">
        <f t="shared" ref="B160:S160" si="28">SUM(B133,B159)</f>
        <v>5913924.9396936139</v>
      </c>
      <c r="C160" s="13">
        <f t="shared" si="28"/>
        <v>2852.835671244758</v>
      </c>
      <c r="D160" s="13">
        <f t="shared" si="28"/>
        <v>0</v>
      </c>
      <c r="E160" s="13">
        <f t="shared" si="28"/>
        <v>413755.16224762949</v>
      </c>
      <c r="F160" s="13">
        <f t="shared" si="28"/>
        <v>16522.110551164707</v>
      </c>
      <c r="G160" s="13">
        <f t="shared" si="28"/>
        <v>92569.431584869046</v>
      </c>
      <c r="H160" s="13">
        <f t="shared" si="28"/>
        <v>11324.060835212334</v>
      </c>
      <c r="I160" s="13">
        <f t="shared" si="28"/>
        <v>0</v>
      </c>
      <c r="J160" s="13">
        <f t="shared" si="28"/>
        <v>0</v>
      </c>
      <c r="K160" s="13">
        <f t="shared" si="28"/>
        <v>686.9100810143791</v>
      </c>
      <c r="L160" s="13">
        <f t="shared" si="28"/>
        <v>145871.18643399357</v>
      </c>
      <c r="M160" s="13">
        <f t="shared" si="28"/>
        <v>0</v>
      </c>
      <c r="N160" s="13">
        <f t="shared" si="28"/>
        <v>0</v>
      </c>
      <c r="O160" s="13">
        <f t="shared" si="28"/>
        <v>33424.161152224064</v>
      </c>
      <c r="P160" s="13">
        <f t="shared" si="28"/>
        <v>1155.2502940486365</v>
      </c>
      <c r="Q160" s="13">
        <f t="shared" si="28"/>
        <v>0</v>
      </c>
      <c r="R160" s="13">
        <f t="shared" si="28"/>
        <v>456405.48173007858</v>
      </c>
      <c r="S160" s="13">
        <f t="shared" si="28"/>
        <v>7088491.5302750943</v>
      </c>
    </row>
    <row r="161" spans="1:19" ht="10.5" x14ac:dyDescent="0.2">
      <c r="A161" s="17" t="s">
        <v>59</v>
      </c>
      <c r="B161" s="18">
        <f t="shared" ref="B161:S161" si="29">B36-B160</f>
        <v>-5870899.5983398827</v>
      </c>
      <c r="C161" s="18">
        <f t="shared" si="29"/>
        <v>-2852.835671244758</v>
      </c>
      <c r="D161" s="18">
        <f t="shared" si="29"/>
        <v>3947.7930407869408</v>
      </c>
      <c r="E161" s="18">
        <f t="shared" si="29"/>
        <v>3564128.4668238102</v>
      </c>
      <c r="F161" s="18">
        <f t="shared" si="29"/>
        <v>-16522.110551164707</v>
      </c>
      <c r="G161" s="18">
        <f t="shared" si="29"/>
        <v>82351.487116884149</v>
      </c>
      <c r="H161" s="18">
        <f t="shared" si="29"/>
        <v>1466.9227729376435</v>
      </c>
      <c r="I161" s="18">
        <f t="shared" si="29"/>
        <v>473.01175041214697</v>
      </c>
      <c r="J161" s="18">
        <f t="shared" si="29"/>
        <v>15369.892085599695</v>
      </c>
      <c r="K161" s="18">
        <f t="shared" si="29"/>
        <v>4106.177182585152</v>
      </c>
      <c r="L161" s="18">
        <f t="shared" si="29"/>
        <v>114584.64898377366</v>
      </c>
      <c r="M161" s="18">
        <f t="shared" si="29"/>
        <v>194.21594252372358</v>
      </c>
      <c r="N161" s="18">
        <f t="shared" si="29"/>
        <v>11253.006286668879</v>
      </c>
      <c r="O161" s="18">
        <f t="shared" si="29"/>
        <v>43011.289397910492</v>
      </c>
      <c r="P161" s="18">
        <f t="shared" si="29"/>
        <v>25958.695113068676</v>
      </c>
      <c r="Q161" s="18">
        <f t="shared" si="29"/>
        <v>4615.0307265169413</v>
      </c>
      <c r="R161" s="18">
        <f t="shared" si="29"/>
        <v>-166900.05135051551</v>
      </c>
      <c r="S161" s="18">
        <f t="shared" si="29"/>
        <v>-2185713.9586893311</v>
      </c>
    </row>
    <row r="162" spans="1:19" ht="10.5" x14ac:dyDescent="0.2">
      <c r="A162" s="3" t="s">
        <v>236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</row>
    <row r="163" spans="1:19" ht="10.5" x14ac:dyDescent="0.25">
      <c r="A163" s="5" t="s">
        <v>209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</row>
    <row r="164" spans="1:19" ht="10.5" x14ac:dyDescent="0.25">
      <c r="A164" s="6" t="s">
        <v>210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</row>
    <row r="165" spans="1:19" x14ac:dyDescent="0.2">
      <c r="A165" s="45" t="s">
        <v>211</v>
      </c>
      <c r="B165" s="11">
        <v>30.362241794890295</v>
      </c>
      <c r="C165" s="11">
        <v>0</v>
      </c>
      <c r="D165" s="11">
        <v>0</v>
      </c>
      <c r="E165" s="11">
        <v>0</v>
      </c>
      <c r="F165" s="11">
        <v>0</v>
      </c>
      <c r="G165" s="11">
        <v>0</v>
      </c>
      <c r="H165" s="11">
        <v>0</v>
      </c>
      <c r="I165" s="11">
        <v>0</v>
      </c>
      <c r="J165" s="11">
        <v>0</v>
      </c>
      <c r="K165" s="11">
        <v>0</v>
      </c>
      <c r="L165" s="11">
        <v>0</v>
      </c>
      <c r="M165" s="11">
        <v>0</v>
      </c>
      <c r="N165" s="11">
        <v>0</v>
      </c>
      <c r="O165" s="11">
        <v>0</v>
      </c>
      <c r="P165" s="11">
        <v>0</v>
      </c>
      <c r="Q165" s="11">
        <v>0</v>
      </c>
      <c r="R165" s="11">
        <v>0</v>
      </c>
      <c r="S165" s="11">
        <f>SUM(B165:R165)</f>
        <v>30.362241794890295</v>
      </c>
    </row>
    <row r="166" spans="1:19" x14ac:dyDescent="0.2">
      <c r="A166" s="45" t="s">
        <v>212</v>
      </c>
      <c r="B166" s="11">
        <v>165.63898630593241</v>
      </c>
      <c r="C166" s="11">
        <v>0</v>
      </c>
      <c r="D166" s="11">
        <v>0</v>
      </c>
      <c r="E166" s="11">
        <v>0</v>
      </c>
      <c r="F166" s="11">
        <v>0</v>
      </c>
      <c r="G166" s="11">
        <v>0</v>
      </c>
      <c r="H166" s="11">
        <v>0</v>
      </c>
      <c r="I166" s="11">
        <v>0</v>
      </c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>
        <v>0</v>
      </c>
      <c r="Q166" s="11">
        <v>0</v>
      </c>
      <c r="R166" s="11">
        <v>0</v>
      </c>
      <c r="S166" s="11">
        <f>SUM(B166:R166)</f>
        <v>165.63898630593241</v>
      </c>
    </row>
    <row r="167" spans="1:19" ht="10.5" x14ac:dyDescent="0.25">
      <c r="A167" s="14" t="s">
        <v>213</v>
      </c>
      <c r="B167" s="13">
        <f t="shared" ref="B167:S167" si="30">SUM(B165:B166)</f>
        <v>196.00122810082269</v>
      </c>
      <c r="C167" s="13">
        <f t="shared" si="30"/>
        <v>0</v>
      </c>
      <c r="D167" s="13">
        <f t="shared" si="30"/>
        <v>0</v>
      </c>
      <c r="E167" s="13">
        <f t="shared" si="30"/>
        <v>0</v>
      </c>
      <c r="F167" s="13">
        <f t="shared" si="30"/>
        <v>0</v>
      </c>
      <c r="G167" s="13">
        <f t="shared" si="30"/>
        <v>0</v>
      </c>
      <c r="H167" s="13">
        <f t="shared" si="30"/>
        <v>0</v>
      </c>
      <c r="I167" s="13">
        <f t="shared" si="30"/>
        <v>0</v>
      </c>
      <c r="J167" s="13">
        <f t="shared" si="30"/>
        <v>0</v>
      </c>
      <c r="K167" s="13">
        <f t="shared" si="30"/>
        <v>0</v>
      </c>
      <c r="L167" s="13">
        <f t="shared" si="30"/>
        <v>0</v>
      </c>
      <c r="M167" s="13">
        <f t="shared" si="30"/>
        <v>0</v>
      </c>
      <c r="N167" s="13">
        <f t="shared" si="30"/>
        <v>0</v>
      </c>
      <c r="O167" s="13">
        <f t="shared" si="30"/>
        <v>0</v>
      </c>
      <c r="P167" s="13">
        <f t="shared" si="30"/>
        <v>0</v>
      </c>
      <c r="Q167" s="13">
        <f t="shared" si="30"/>
        <v>0</v>
      </c>
      <c r="R167" s="13">
        <f t="shared" si="30"/>
        <v>0</v>
      </c>
      <c r="S167" s="13">
        <f t="shared" si="30"/>
        <v>196.00122810082269</v>
      </c>
    </row>
    <row r="168" spans="1:19" ht="10.5" x14ac:dyDescent="0.25">
      <c r="A168" s="15" t="s">
        <v>214</v>
      </c>
      <c r="B168" s="13">
        <f t="shared" ref="B168:S168" si="31">SUM(B167)</f>
        <v>196.00122810082269</v>
      </c>
      <c r="C168" s="13">
        <f t="shared" si="31"/>
        <v>0</v>
      </c>
      <c r="D168" s="13">
        <f t="shared" si="31"/>
        <v>0</v>
      </c>
      <c r="E168" s="13">
        <f t="shared" si="31"/>
        <v>0</v>
      </c>
      <c r="F168" s="13">
        <f t="shared" si="31"/>
        <v>0</v>
      </c>
      <c r="G168" s="13">
        <f t="shared" si="31"/>
        <v>0</v>
      </c>
      <c r="H168" s="13">
        <f t="shared" si="31"/>
        <v>0</v>
      </c>
      <c r="I168" s="13">
        <f t="shared" si="31"/>
        <v>0</v>
      </c>
      <c r="J168" s="13">
        <f t="shared" si="31"/>
        <v>0</v>
      </c>
      <c r="K168" s="13">
        <f t="shared" si="31"/>
        <v>0</v>
      </c>
      <c r="L168" s="13">
        <f t="shared" si="31"/>
        <v>0</v>
      </c>
      <c r="M168" s="13">
        <f t="shared" si="31"/>
        <v>0</v>
      </c>
      <c r="N168" s="13">
        <f t="shared" si="31"/>
        <v>0</v>
      </c>
      <c r="O168" s="13">
        <f t="shared" si="31"/>
        <v>0</v>
      </c>
      <c r="P168" s="13">
        <f t="shared" si="31"/>
        <v>0</v>
      </c>
      <c r="Q168" s="13">
        <f t="shared" si="31"/>
        <v>0</v>
      </c>
      <c r="R168" s="13">
        <f t="shared" si="31"/>
        <v>0</v>
      </c>
      <c r="S168" s="13">
        <f t="shared" si="31"/>
        <v>196.00122810082269</v>
      </c>
    </row>
    <row r="169" spans="1:19" ht="10.5" x14ac:dyDescent="0.25">
      <c r="A169" s="5" t="s">
        <v>237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</row>
    <row r="170" spans="1:19" x14ac:dyDescent="0.2">
      <c r="A170" s="49" t="s">
        <v>215</v>
      </c>
      <c r="B170" s="11">
        <v>1702.830456095872</v>
      </c>
      <c r="C170" s="11">
        <v>0</v>
      </c>
      <c r="D170" s="11">
        <v>0</v>
      </c>
      <c r="E170" s="11">
        <v>0</v>
      </c>
      <c r="F170" s="11">
        <v>0</v>
      </c>
      <c r="G170" s="11">
        <v>0</v>
      </c>
      <c r="H170" s="11">
        <v>0</v>
      </c>
      <c r="I170" s="11">
        <v>0</v>
      </c>
      <c r="J170" s="11">
        <v>0</v>
      </c>
      <c r="K170" s="11">
        <v>0</v>
      </c>
      <c r="L170" s="11">
        <v>0</v>
      </c>
      <c r="M170" s="11">
        <v>0</v>
      </c>
      <c r="N170" s="11">
        <v>0</v>
      </c>
      <c r="O170" s="11">
        <v>0</v>
      </c>
      <c r="P170" s="11">
        <v>0</v>
      </c>
      <c r="Q170" s="11">
        <v>0</v>
      </c>
      <c r="R170" s="11">
        <v>0</v>
      </c>
      <c r="S170" s="11">
        <f>SUM(B170:R170)</f>
        <v>1702.830456095872</v>
      </c>
    </row>
    <row r="171" spans="1:19" ht="10.5" x14ac:dyDescent="0.25">
      <c r="A171" s="6" t="s">
        <v>216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</row>
    <row r="172" spans="1:19" x14ac:dyDescent="0.2">
      <c r="A172" s="45" t="s">
        <v>217</v>
      </c>
      <c r="B172" s="11">
        <v>405.95228578186862</v>
      </c>
      <c r="C172" s="11">
        <v>0</v>
      </c>
      <c r="D172" s="11">
        <v>0</v>
      </c>
      <c r="E172" s="11">
        <v>0</v>
      </c>
      <c r="F172" s="11">
        <v>0</v>
      </c>
      <c r="G172" s="11">
        <v>0</v>
      </c>
      <c r="H172" s="11">
        <v>0</v>
      </c>
      <c r="I172" s="11">
        <v>0</v>
      </c>
      <c r="J172" s="11">
        <v>0</v>
      </c>
      <c r="K172" s="11">
        <v>0</v>
      </c>
      <c r="L172" s="11">
        <v>0</v>
      </c>
      <c r="M172" s="11">
        <v>0</v>
      </c>
      <c r="N172" s="11">
        <v>0</v>
      </c>
      <c r="O172" s="11">
        <v>0</v>
      </c>
      <c r="P172" s="11">
        <v>0</v>
      </c>
      <c r="Q172" s="11">
        <v>0</v>
      </c>
      <c r="R172" s="11">
        <v>0</v>
      </c>
      <c r="S172" s="11">
        <f>SUM(B172:R172)</f>
        <v>405.95228578186862</v>
      </c>
    </row>
    <row r="173" spans="1:19" ht="10.5" x14ac:dyDescent="0.25">
      <c r="A173" s="14" t="s">
        <v>218</v>
      </c>
      <c r="B173" s="13">
        <f t="shared" ref="B173:S173" si="32">SUM(B172)</f>
        <v>405.95228578186862</v>
      </c>
      <c r="C173" s="13">
        <f t="shared" si="32"/>
        <v>0</v>
      </c>
      <c r="D173" s="13">
        <f t="shared" si="32"/>
        <v>0</v>
      </c>
      <c r="E173" s="13">
        <f t="shared" si="32"/>
        <v>0</v>
      </c>
      <c r="F173" s="13">
        <f t="shared" si="32"/>
        <v>0</v>
      </c>
      <c r="G173" s="13">
        <f t="shared" si="32"/>
        <v>0</v>
      </c>
      <c r="H173" s="13">
        <f t="shared" si="32"/>
        <v>0</v>
      </c>
      <c r="I173" s="13">
        <f t="shared" si="32"/>
        <v>0</v>
      </c>
      <c r="J173" s="13">
        <f t="shared" si="32"/>
        <v>0</v>
      </c>
      <c r="K173" s="13">
        <f t="shared" si="32"/>
        <v>0</v>
      </c>
      <c r="L173" s="13">
        <f t="shared" si="32"/>
        <v>0</v>
      </c>
      <c r="M173" s="13">
        <f t="shared" si="32"/>
        <v>0</v>
      </c>
      <c r="N173" s="13">
        <f t="shared" si="32"/>
        <v>0</v>
      </c>
      <c r="O173" s="13">
        <f t="shared" si="32"/>
        <v>0</v>
      </c>
      <c r="P173" s="13">
        <f t="shared" si="32"/>
        <v>0</v>
      </c>
      <c r="Q173" s="13">
        <f t="shared" si="32"/>
        <v>0</v>
      </c>
      <c r="R173" s="13">
        <f t="shared" si="32"/>
        <v>0</v>
      </c>
      <c r="S173" s="13">
        <f t="shared" si="32"/>
        <v>405.95228578186862</v>
      </c>
    </row>
    <row r="174" spans="1:19" x14ac:dyDescent="0.2">
      <c r="A174" s="49" t="s">
        <v>219</v>
      </c>
      <c r="B174" s="11">
        <v>3.1411336360862459</v>
      </c>
      <c r="C174" s="11">
        <v>0</v>
      </c>
      <c r="D174" s="11">
        <v>0</v>
      </c>
      <c r="E174" s="11">
        <v>2.1960869556683589E-2</v>
      </c>
      <c r="F174" s="11">
        <v>0</v>
      </c>
      <c r="G174" s="11">
        <v>-6.0763524251620001E-5</v>
      </c>
      <c r="H174" s="11">
        <v>0</v>
      </c>
      <c r="I174" s="11">
        <v>0</v>
      </c>
      <c r="J174" s="11">
        <v>0</v>
      </c>
      <c r="K174" s="11">
        <v>0</v>
      </c>
      <c r="L174" s="11">
        <v>0</v>
      </c>
      <c r="M174" s="11">
        <v>0</v>
      </c>
      <c r="N174" s="11">
        <v>0</v>
      </c>
      <c r="O174" s="11">
        <v>0</v>
      </c>
      <c r="P174" s="11">
        <v>0</v>
      </c>
      <c r="Q174" s="11">
        <v>0</v>
      </c>
      <c r="R174" s="11">
        <v>0</v>
      </c>
      <c r="S174" s="11">
        <f>SUM(B174:R174)</f>
        <v>3.1630337421186776</v>
      </c>
    </row>
    <row r="175" spans="1:19" x14ac:dyDescent="0.2">
      <c r="A175" s="49" t="s">
        <v>220</v>
      </c>
      <c r="B175" s="11">
        <v>25885.079949516086</v>
      </c>
      <c r="C175" s="11">
        <v>0</v>
      </c>
      <c r="D175" s="11">
        <v>0</v>
      </c>
      <c r="E175" s="11">
        <v>1.7261310608442344</v>
      </c>
      <c r="F175" s="11">
        <v>0</v>
      </c>
      <c r="G175" s="11">
        <v>0</v>
      </c>
      <c r="H175" s="11">
        <v>0</v>
      </c>
      <c r="I175" s="11">
        <v>0</v>
      </c>
      <c r="J175" s="11">
        <v>0</v>
      </c>
      <c r="K175" s="11">
        <v>0</v>
      </c>
      <c r="L175" s="11">
        <v>0</v>
      </c>
      <c r="M175" s="11">
        <v>0</v>
      </c>
      <c r="N175" s="11">
        <v>0</v>
      </c>
      <c r="O175" s="11">
        <v>0</v>
      </c>
      <c r="P175" s="11">
        <v>0</v>
      </c>
      <c r="Q175" s="11">
        <v>0</v>
      </c>
      <c r="R175" s="11">
        <v>4.1533960433978256</v>
      </c>
      <c r="S175" s="11">
        <f>SUM(B175:R175)</f>
        <v>25890.95947662033</v>
      </c>
    </row>
    <row r="176" spans="1:19" ht="10.5" x14ac:dyDescent="0.25">
      <c r="A176" s="15" t="s">
        <v>238</v>
      </c>
      <c r="B176" s="13">
        <f t="shared" ref="B176:S176" si="33">SUM(B170,B173:B175)</f>
        <v>27997.003825029911</v>
      </c>
      <c r="C176" s="13">
        <f t="shared" si="33"/>
        <v>0</v>
      </c>
      <c r="D176" s="13">
        <f t="shared" si="33"/>
        <v>0</v>
      </c>
      <c r="E176" s="13">
        <f t="shared" si="33"/>
        <v>1.7480919304009179</v>
      </c>
      <c r="F176" s="13">
        <f t="shared" si="33"/>
        <v>0</v>
      </c>
      <c r="G176" s="13">
        <f t="shared" si="33"/>
        <v>-6.0763524251620001E-5</v>
      </c>
      <c r="H176" s="13">
        <f t="shared" si="33"/>
        <v>0</v>
      </c>
      <c r="I176" s="13">
        <f t="shared" si="33"/>
        <v>0</v>
      </c>
      <c r="J176" s="13">
        <f t="shared" si="33"/>
        <v>0</v>
      </c>
      <c r="K176" s="13">
        <f t="shared" si="33"/>
        <v>0</v>
      </c>
      <c r="L176" s="13">
        <f t="shared" si="33"/>
        <v>0</v>
      </c>
      <c r="M176" s="13">
        <f t="shared" si="33"/>
        <v>0</v>
      </c>
      <c r="N176" s="13">
        <f t="shared" si="33"/>
        <v>0</v>
      </c>
      <c r="O176" s="13">
        <f t="shared" si="33"/>
        <v>0</v>
      </c>
      <c r="P176" s="13">
        <f t="shared" si="33"/>
        <v>0</v>
      </c>
      <c r="Q176" s="13">
        <f t="shared" si="33"/>
        <v>0</v>
      </c>
      <c r="R176" s="13">
        <f t="shared" si="33"/>
        <v>4.1533960433978256</v>
      </c>
      <c r="S176" s="13">
        <f t="shared" si="33"/>
        <v>28002.905252240191</v>
      </c>
    </row>
    <row r="177" spans="1:19" ht="10.5" x14ac:dyDescent="0.2">
      <c r="A177" s="17" t="s">
        <v>239</v>
      </c>
      <c r="B177" s="18">
        <f t="shared" ref="B177:S177" si="34">B168-B176</f>
        <v>-27801.002596929087</v>
      </c>
      <c r="C177" s="18">
        <f t="shared" si="34"/>
        <v>0</v>
      </c>
      <c r="D177" s="18">
        <f t="shared" si="34"/>
        <v>0</v>
      </c>
      <c r="E177" s="18">
        <f t="shared" si="34"/>
        <v>-1.7480919304009179</v>
      </c>
      <c r="F177" s="18">
        <f t="shared" si="34"/>
        <v>0</v>
      </c>
      <c r="G177" s="18">
        <f t="shared" si="34"/>
        <v>6.0763524251620001E-5</v>
      </c>
      <c r="H177" s="18">
        <f t="shared" si="34"/>
        <v>0</v>
      </c>
      <c r="I177" s="18">
        <f t="shared" si="34"/>
        <v>0</v>
      </c>
      <c r="J177" s="18">
        <f t="shared" si="34"/>
        <v>0</v>
      </c>
      <c r="K177" s="18">
        <f t="shared" si="34"/>
        <v>0</v>
      </c>
      <c r="L177" s="18">
        <f t="shared" si="34"/>
        <v>0</v>
      </c>
      <c r="M177" s="18">
        <f t="shared" si="34"/>
        <v>0</v>
      </c>
      <c r="N177" s="18">
        <f t="shared" si="34"/>
        <v>0</v>
      </c>
      <c r="O177" s="18">
        <f t="shared" si="34"/>
        <v>0</v>
      </c>
      <c r="P177" s="18">
        <f t="shared" si="34"/>
        <v>0</v>
      </c>
      <c r="Q177" s="18">
        <f t="shared" si="34"/>
        <v>0</v>
      </c>
      <c r="R177" s="18">
        <f t="shared" si="34"/>
        <v>-4.1533960433978256</v>
      </c>
      <c r="S177" s="18">
        <f t="shared" si="34"/>
        <v>-27806.904024139367</v>
      </c>
    </row>
    <row r="178" spans="1:19" ht="10.5" x14ac:dyDescent="0.2">
      <c r="A178" s="17" t="s">
        <v>60</v>
      </c>
      <c r="B178" s="18">
        <f t="shared" ref="B178:S178" si="35">B161+B177</f>
        <v>-5898700.6009368114</v>
      </c>
      <c r="C178" s="18">
        <f t="shared" si="35"/>
        <v>-2852.835671244758</v>
      </c>
      <c r="D178" s="18">
        <f t="shared" si="35"/>
        <v>3947.7930407869408</v>
      </c>
      <c r="E178" s="18">
        <f t="shared" si="35"/>
        <v>3564126.7187318797</v>
      </c>
      <c r="F178" s="18">
        <f t="shared" si="35"/>
        <v>-16522.110551164707</v>
      </c>
      <c r="G178" s="18">
        <f t="shared" si="35"/>
        <v>82351.487177647679</v>
      </c>
      <c r="H178" s="18">
        <f t="shared" si="35"/>
        <v>1466.9227729376435</v>
      </c>
      <c r="I178" s="18">
        <f t="shared" si="35"/>
        <v>473.01175041214697</v>
      </c>
      <c r="J178" s="18">
        <f t="shared" si="35"/>
        <v>15369.892085599695</v>
      </c>
      <c r="K178" s="18">
        <f t="shared" si="35"/>
        <v>4106.177182585152</v>
      </c>
      <c r="L178" s="18">
        <f t="shared" si="35"/>
        <v>114584.64898377366</v>
      </c>
      <c r="M178" s="18">
        <f t="shared" si="35"/>
        <v>194.21594252372358</v>
      </c>
      <c r="N178" s="18">
        <f t="shared" si="35"/>
        <v>11253.006286668879</v>
      </c>
      <c r="O178" s="18">
        <f t="shared" si="35"/>
        <v>43011.289397910492</v>
      </c>
      <c r="P178" s="18">
        <f t="shared" si="35"/>
        <v>25958.695113068676</v>
      </c>
      <c r="Q178" s="18">
        <f t="shared" si="35"/>
        <v>4615.0307265169413</v>
      </c>
      <c r="R178" s="18">
        <f t="shared" si="35"/>
        <v>-166904.20474655891</v>
      </c>
      <c r="S178" s="18">
        <f t="shared" si="35"/>
        <v>-2213520.8627134706</v>
      </c>
    </row>
  </sheetData>
  <mergeCells count="6">
    <mergeCell ref="A1:S1"/>
    <mergeCell ref="A2:S2"/>
    <mergeCell ref="A3:S3"/>
    <mergeCell ref="A4:S4"/>
    <mergeCell ref="A5:S5"/>
    <mergeCell ref="A6:S6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64574-8BB3-49E8-9A0A-4E59DD8087AA}">
  <sheetPr codeName="Sheet5"/>
  <dimension ref="A1:Z180"/>
  <sheetViews>
    <sheetView workbookViewId="0">
      <selection sqref="A1:Z1"/>
    </sheetView>
  </sheetViews>
  <sheetFormatPr defaultRowHeight="10" x14ac:dyDescent="0.2"/>
  <cols>
    <col min="1" max="1" width="41.1796875" style="1" bestFit="1" customWidth="1"/>
    <col min="2" max="2" width="11" style="1" bestFit="1" customWidth="1"/>
    <col min="3" max="3" width="9" style="1" bestFit="1" customWidth="1"/>
    <col min="4" max="4" width="9.36328125" style="1" bestFit="1" customWidth="1"/>
    <col min="5" max="5" width="9.81640625" style="1" bestFit="1" customWidth="1"/>
    <col min="6" max="6" width="8.1796875" style="1" bestFit="1" customWidth="1"/>
    <col min="7" max="8" width="10.54296875" style="1" bestFit="1" customWidth="1"/>
    <col min="9" max="10" width="9" style="1" bestFit="1" customWidth="1"/>
    <col min="11" max="11" width="8.54296875" style="1" bestFit="1" customWidth="1"/>
    <col min="12" max="13" width="10.54296875" style="1" bestFit="1" customWidth="1"/>
    <col min="14" max="14" width="9" style="1" bestFit="1" customWidth="1"/>
    <col min="15" max="15" width="8.1796875" style="1" bestFit="1" customWidth="1"/>
    <col min="16" max="16" width="6.1796875" style="1" bestFit="1" customWidth="1"/>
    <col min="17" max="18" width="9" style="1" bestFit="1" customWidth="1"/>
    <col min="19" max="19" width="9.36328125" style="1" bestFit="1" customWidth="1"/>
    <col min="20" max="20" width="8.54296875" style="1" bestFit="1" customWidth="1"/>
    <col min="21" max="21" width="9.81640625" style="1" bestFit="1" customWidth="1"/>
    <col min="22" max="22" width="10.81640625" style="1" bestFit="1" customWidth="1"/>
    <col min="23" max="24" width="10.54296875" style="1" bestFit="1" customWidth="1"/>
    <col min="25" max="25" width="14" style="1" bestFit="1" customWidth="1"/>
    <col min="26" max="26" width="11" style="1" bestFit="1" customWidth="1"/>
    <col min="27" max="16384" width="8.7265625" style="1"/>
  </cols>
  <sheetData>
    <row r="1" spans="1:26" ht="15.5" x14ac:dyDescent="0.35">
      <c r="A1" s="58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</row>
    <row r="2" spans="1:26" ht="15.5" x14ac:dyDescent="0.35">
      <c r="A2" s="58" t="s">
        <v>1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</row>
    <row r="3" spans="1:26" ht="18" x14ac:dyDescent="0.4">
      <c r="A3" s="59" t="s">
        <v>61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</row>
    <row r="4" spans="1:26" ht="18" x14ac:dyDescent="0.4">
      <c r="A4" s="59" t="s">
        <v>2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</row>
    <row r="5" spans="1:26" ht="18" x14ac:dyDescent="0.4">
      <c r="A5" s="59" t="s">
        <v>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</row>
    <row r="6" spans="1:26" ht="18" x14ac:dyDescent="0.4">
      <c r="A6" s="59" t="s">
        <v>3</v>
      </c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</row>
    <row r="7" spans="1:26" x14ac:dyDescent="0.2">
      <c r="A7" s="2" t="s">
        <v>4</v>
      </c>
      <c r="B7" s="53" t="s">
        <v>232</v>
      </c>
      <c r="C7" s="61" t="s">
        <v>253</v>
      </c>
      <c r="D7" s="61"/>
      <c r="E7" s="61"/>
      <c r="F7" s="61"/>
      <c r="G7" s="61"/>
      <c r="H7" s="61"/>
      <c r="I7" s="61" t="s">
        <v>254</v>
      </c>
      <c r="J7" s="61"/>
      <c r="K7" s="61"/>
      <c r="L7" s="61"/>
      <c r="M7" s="61"/>
      <c r="N7" s="61" t="s">
        <v>255</v>
      </c>
      <c r="O7" s="61"/>
      <c r="P7" s="61"/>
      <c r="Q7" s="61"/>
      <c r="R7" s="61"/>
      <c r="S7" s="61"/>
      <c r="T7" s="61"/>
      <c r="U7" s="61"/>
      <c r="V7" s="61"/>
      <c r="W7" s="61"/>
      <c r="X7" s="61"/>
      <c r="Y7" s="53" t="s">
        <v>19</v>
      </c>
      <c r="Z7" s="53" t="s">
        <v>64</v>
      </c>
    </row>
    <row r="8" spans="1:26" x14ac:dyDescent="0.2">
      <c r="A8" s="2" t="s">
        <v>62</v>
      </c>
      <c r="B8" s="60" t="s">
        <v>11</v>
      </c>
      <c r="C8" s="60" t="s">
        <v>11</v>
      </c>
      <c r="D8" s="53" t="s">
        <v>28</v>
      </c>
      <c r="E8" s="53" t="s">
        <v>244</v>
      </c>
      <c r="F8" s="53" t="s">
        <v>256</v>
      </c>
      <c r="G8" s="53" t="s">
        <v>27</v>
      </c>
      <c r="H8" s="53" t="s">
        <v>64</v>
      </c>
      <c r="I8" s="60" t="s">
        <v>11</v>
      </c>
      <c r="J8" s="53" t="s">
        <v>246</v>
      </c>
      <c r="K8" s="53" t="s">
        <v>249</v>
      </c>
      <c r="L8" s="53" t="s">
        <v>31</v>
      </c>
      <c r="M8" s="53" t="s">
        <v>64</v>
      </c>
      <c r="N8" s="60" t="s">
        <v>11</v>
      </c>
      <c r="O8" s="61" t="s">
        <v>248</v>
      </c>
      <c r="P8" s="61"/>
      <c r="Q8" s="61"/>
      <c r="R8" s="61"/>
      <c r="S8" s="61" t="s">
        <v>21</v>
      </c>
      <c r="T8" s="61"/>
      <c r="U8" s="61"/>
      <c r="V8" s="61"/>
      <c r="W8" s="61"/>
      <c r="X8" s="53" t="s">
        <v>64</v>
      </c>
      <c r="Y8" s="60" t="s">
        <v>11</v>
      </c>
      <c r="Z8" s="60" t="s">
        <v>11</v>
      </c>
    </row>
    <row r="9" spans="1:26" x14ac:dyDescent="0.2">
      <c r="A9" s="2" t="s">
        <v>62</v>
      </c>
      <c r="B9" s="60"/>
      <c r="C9" s="60"/>
      <c r="D9" s="60" t="s">
        <v>11</v>
      </c>
      <c r="E9" s="60" t="s">
        <v>11</v>
      </c>
      <c r="F9" s="60" t="s">
        <v>11</v>
      </c>
      <c r="G9" s="60" t="s">
        <v>11</v>
      </c>
      <c r="H9" s="60" t="s">
        <v>11</v>
      </c>
      <c r="I9" s="60"/>
      <c r="J9" s="60" t="s">
        <v>11</v>
      </c>
      <c r="K9" s="60" t="s">
        <v>11</v>
      </c>
      <c r="L9" s="60" t="s">
        <v>11</v>
      </c>
      <c r="M9" s="60" t="s">
        <v>11</v>
      </c>
      <c r="N9" s="60"/>
      <c r="O9" s="60" t="s">
        <v>11</v>
      </c>
      <c r="P9" s="53" t="s">
        <v>250</v>
      </c>
      <c r="Q9" s="53" t="s">
        <v>247</v>
      </c>
      <c r="R9" s="53" t="s">
        <v>64</v>
      </c>
      <c r="S9" s="60" t="s">
        <v>11</v>
      </c>
      <c r="T9" s="53" t="s">
        <v>245</v>
      </c>
      <c r="U9" s="53" t="s">
        <v>243</v>
      </c>
      <c r="V9" s="53" t="s">
        <v>242</v>
      </c>
      <c r="W9" s="53" t="s">
        <v>64</v>
      </c>
      <c r="X9" s="60" t="s">
        <v>11</v>
      </c>
      <c r="Y9" s="60"/>
      <c r="Z9" s="60"/>
    </row>
    <row r="10" spans="1:26" x14ac:dyDescent="0.2">
      <c r="A10" s="2" t="s">
        <v>62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53" t="s">
        <v>11</v>
      </c>
      <c r="Q10" s="53" t="s">
        <v>11</v>
      </c>
      <c r="R10" s="53" t="s">
        <v>11</v>
      </c>
      <c r="S10" s="60"/>
      <c r="T10" s="53" t="s">
        <v>11</v>
      </c>
      <c r="U10" s="53" t="s">
        <v>11</v>
      </c>
      <c r="V10" s="53" t="s">
        <v>11</v>
      </c>
      <c r="W10" s="53" t="s">
        <v>11</v>
      </c>
      <c r="X10" s="60"/>
      <c r="Y10" s="60"/>
      <c r="Z10" s="60"/>
    </row>
    <row r="11" spans="1:26" ht="10.5" x14ac:dyDescent="0.2">
      <c r="A11" s="3" t="s">
        <v>12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0.5" x14ac:dyDescent="0.25">
      <c r="A12" s="5" t="s">
        <v>13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0.5" x14ac:dyDescent="0.25">
      <c r="A13" s="6" t="s">
        <v>14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">
      <c r="A14" s="45" t="s">
        <v>15</v>
      </c>
      <c r="B14" s="11">
        <v>0</v>
      </c>
      <c r="C14" s="11">
        <v>-2855.761620809034</v>
      </c>
      <c r="D14" s="11">
        <v>182185.58764577919</v>
      </c>
      <c r="E14" s="11">
        <v>409580.6897805378</v>
      </c>
      <c r="F14" s="11">
        <v>0</v>
      </c>
      <c r="G14" s="11">
        <v>4028796.1661851839</v>
      </c>
      <c r="H14" s="11">
        <f>SUM(C14:G14)</f>
        <v>4617706.6819906924</v>
      </c>
      <c r="I14" s="11">
        <v>0</v>
      </c>
      <c r="J14" s="11">
        <v>4394.4012763955125</v>
      </c>
      <c r="K14" s="11">
        <v>28989.241710482645</v>
      </c>
      <c r="L14" s="11">
        <v>870790.82256087672</v>
      </c>
      <c r="M14" s="11">
        <f>SUM(I14:L14)</f>
        <v>904174.46554775489</v>
      </c>
      <c r="N14" s="11">
        <v>0</v>
      </c>
      <c r="O14" s="11">
        <v>42.132564620941096</v>
      </c>
      <c r="P14" s="11">
        <v>71.172855410622589</v>
      </c>
      <c r="Q14" s="11">
        <v>8.1503853275706604</v>
      </c>
      <c r="R14" s="11">
        <f>SUM(O14:Q14)</f>
        <v>121.45580535913435</v>
      </c>
      <c r="S14" s="11">
        <v>719663.13412406575</v>
      </c>
      <c r="T14" s="11">
        <v>18964.50497342573</v>
      </c>
      <c r="U14" s="11">
        <v>182893.82704731741</v>
      </c>
      <c r="V14" s="11">
        <v>165461.48581861047</v>
      </c>
      <c r="W14" s="11">
        <f>SUM(S14:V14)</f>
        <v>1086982.9519634193</v>
      </c>
      <c r="X14" s="11">
        <f>SUM(N14,R14,W14)</f>
        <v>1087104.4077687785</v>
      </c>
      <c r="Y14" s="11">
        <v>531812.91883184761</v>
      </c>
      <c r="Z14" s="11">
        <f>SUM(B14,H14,M14,X14:Y14)</f>
        <v>7140798.4741390739</v>
      </c>
    </row>
    <row r="15" spans="1:26" x14ac:dyDescent="0.2">
      <c r="A15" s="45" t="s">
        <v>70</v>
      </c>
      <c r="B15" s="11">
        <v>0</v>
      </c>
      <c r="C15" s="11">
        <v>0</v>
      </c>
      <c r="D15" s="11">
        <v>0</v>
      </c>
      <c r="E15" s="11">
        <v>9327.9259502491277</v>
      </c>
      <c r="F15" s="11">
        <v>0</v>
      </c>
      <c r="G15" s="11">
        <v>116169.74494845333</v>
      </c>
      <c r="H15" s="11">
        <f>SUM(C15:G15)</f>
        <v>125497.67089870246</v>
      </c>
      <c r="I15" s="11">
        <v>0</v>
      </c>
      <c r="J15" s="11">
        <v>0</v>
      </c>
      <c r="K15" s="11">
        <v>0</v>
      </c>
      <c r="L15" s="11">
        <v>270.32037921983073</v>
      </c>
      <c r="M15" s="11">
        <f>SUM(I15:L15)</f>
        <v>270.32037921983073</v>
      </c>
      <c r="N15" s="11">
        <v>0</v>
      </c>
      <c r="O15" s="11">
        <v>0</v>
      </c>
      <c r="P15" s="11">
        <v>0</v>
      </c>
      <c r="Q15" s="11">
        <v>0</v>
      </c>
      <c r="R15" s="11">
        <f>SUM(O15:Q15)</f>
        <v>0</v>
      </c>
      <c r="S15" s="11">
        <v>8.0308409285032365</v>
      </c>
      <c r="T15" s="11">
        <v>0</v>
      </c>
      <c r="U15" s="11">
        <v>895.30154009227783</v>
      </c>
      <c r="V15" s="11">
        <v>2042.8351483079878</v>
      </c>
      <c r="W15" s="11">
        <f>SUM(S15:V15)</f>
        <v>2946.167529328769</v>
      </c>
      <c r="X15" s="11">
        <f>SUM(N15,R15,W15)</f>
        <v>2946.167529328769</v>
      </c>
      <c r="Y15" s="11">
        <v>184794.57000327061</v>
      </c>
      <c r="Z15" s="11">
        <f>SUM(B15,H15,M15,X15:Y15)</f>
        <v>313508.72881052166</v>
      </c>
    </row>
    <row r="16" spans="1:26" x14ac:dyDescent="0.2">
      <c r="A16" s="45" t="s">
        <v>71</v>
      </c>
      <c r="B16" s="11">
        <v>0</v>
      </c>
      <c r="C16" s="11">
        <v>0</v>
      </c>
      <c r="D16" s="11">
        <v>147.91503175033978</v>
      </c>
      <c r="E16" s="11">
        <v>0</v>
      </c>
      <c r="F16" s="11">
        <v>0</v>
      </c>
      <c r="G16" s="11">
        <v>0</v>
      </c>
      <c r="H16" s="11">
        <f>SUM(C16:G16)</f>
        <v>147.91503175033978</v>
      </c>
      <c r="I16" s="11">
        <v>0</v>
      </c>
      <c r="J16" s="11">
        <v>0</v>
      </c>
      <c r="K16" s="11">
        <v>0</v>
      </c>
      <c r="L16" s="11">
        <v>-15460.659488541542</v>
      </c>
      <c r="M16" s="11">
        <f>SUM(I16:L16)</f>
        <v>-15460.659488541542</v>
      </c>
      <c r="N16" s="11">
        <v>0</v>
      </c>
      <c r="O16" s="11">
        <v>0</v>
      </c>
      <c r="P16" s="11">
        <v>0</v>
      </c>
      <c r="Q16" s="11">
        <v>0</v>
      </c>
      <c r="R16" s="11">
        <f>SUM(O16:Q16)</f>
        <v>0</v>
      </c>
      <c r="S16" s="11">
        <v>-3612.3843288942217</v>
      </c>
      <c r="T16" s="11">
        <v>0</v>
      </c>
      <c r="U16" s="11">
        <v>-887.43207886940695</v>
      </c>
      <c r="V16" s="11">
        <v>0</v>
      </c>
      <c r="W16" s="11">
        <f>SUM(S16:V16)</f>
        <v>-4499.8164077636284</v>
      </c>
      <c r="X16" s="11">
        <f>SUM(N16,R16,W16)</f>
        <v>-4499.8164077636284</v>
      </c>
      <c r="Y16" s="11">
        <v>-913.06055411377713</v>
      </c>
      <c r="Z16" s="11">
        <f>SUM(B16,H16,M16,X16:Y16)</f>
        <v>-20725.621418668608</v>
      </c>
    </row>
    <row r="17" spans="1:26" x14ac:dyDescent="0.2">
      <c r="A17" s="45" t="s">
        <v>72</v>
      </c>
      <c r="B17" s="11">
        <v>0</v>
      </c>
      <c r="C17" s="11">
        <v>0</v>
      </c>
      <c r="D17" s="11">
        <v>0</v>
      </c>
      <c r="E17" s="11">
        <v>0</v>
      </c>
      <c r="F17" s="11">
        <v>0</v>
      </c>
      <c r="G17" s="11">
        <v>0</v>
      </c>
      <c r="H17" s="11">
        <f>SUM(C17:G17)</f>
        <v>0</v>
      </c>
      <c r="I17" s="11">
        <v>0</v>
      </c>
      <c r="J17" s="11">
        <v>0</v>
      </c>
      <c r="K17" s="11">
        <v>0</v>
      </c>
      <c r="L17" s="11">
        <v>0</v>
      </c>
      <c r="M17" s="11">
        <f>SUM(I17:L17)</f>
        <v>0</v>
      </c>
      <c r="N17" s="11">
        <v>0</v>
      </c>
      <c r="O17" s="11">
        <v>0</v>
      </c>
      <c r="P17" s="11">
        <v>0</v>
      </c>
      <c r="Q17" s="11">
        <v>0</v>
      </c>
      <c r="R17" s="11">
        <f>SUM(O17:Q17)</f>
        <v>0</v>
      </c>
      <c r="S17" s="11">
        <v>0</v>
      </c>
      <c r="T17" s="11">
        <v>0</v>
      </c>
      <c r="U17" s="11">
        <v>129.33912109752427</v>
      </c>
      <c r="V17" s="11">
        <v>0</v>
      </c>
      <c r="W17" s="11">
        <f>SUM(S17:V17)</f>
        <v>129.33912109752427</v>
      </c>
      <c r="X17" s="11">
        <f>SUM(N17,R17,W17)</f>
        <v>129.33912109752427</v>
      </c>
      <c r="Y17" s="11">
        <v>29535.511202069432</v>
      </c>
      <c r="Z17" s="11">
        <f>SUM(B17,H17,M17,X17:Y17)</f>
        <v>29664.850323166957</v>
      </c>
    </row>
    <row r="18" spans="1:26" ht="10.5" x14ac:dyDescent="0.25">
      <c r="A18" s="14" t="s">
        <v>56</v>
      </c>
      <c r="B18" s="13">
        <f t="shared" ref="B18:Z18" si="0">SUM(B14:B17)</f>
        <v>0</v>
      </c>
      <c r="C18" s="13">
        <f t="shared" si="0"/>
        <v>-2855.761620809034</v>
      </c>
      <c r="D18" s="13">
        <f t="shared" si="0"/>
        <v>182333.50267752953</v>
      </c>
      <c r="E18" s="13">
        <f t="shared" si="0"/>
        <v>418908.61573078693</v>
      </c>
      <c r="F18" s="13">
        <f t="shared" si="0"/>
        <v>0</v>
      </c>
      <c r="G18" s="13">
        <f t="shared" si="0"/>
        <v>4144965.9111336372</v>
      </c>
      <c r="H18" s="13">
        <f t="shared" si="0"/>
        <v>4743352.2679211451</v>
      </c>
      <c r="I18" s="13">
        <f t="shared" si="0"/>
        <v>0</v>
      </c>
      <c r="J18" s="13">
        <f t="shared" si="0"/>
        <v>4394.4012763955125</v>
      </c>
      <c r="K18" s="13">
        <f t="shared" si="0"/>
        <v>28989.241710482645</v>
      </c>
      <c r="L18" s="13">
        <f t="shared" si="0"/>
        <v>855600.48345155502</v>
      </c>
      <c r="M18" s="13">
        <f t="shared" si="0"/>
        <v>888984.12643843319</v>
      </c>
      <c r="N18" s="13">
        <f t="shared" si="0"/>
        <v>0</v>
      </c>
      <c r="O18" s="13">
        <f t="shared" si="0"/>
        <v>42.132564620941096</v>
      </c>
      <c r="P18" s="13">
        <f t="shared" si="0"/>
        <v>71.172855410622589</v>
      </c>
      <c r="Q18" s="13">
        <f t="shared" si="0"/>
        <v>8.1503853275706604</v>
      </c>
      <c r="R18" s="13">
        <f t="shared" si="0"/>
        <v>121.45580535913435</v>
      </c>
      <c r="S18" s="13">
        <f t="shared" si="0"/>
        <v>716058.7806361001</v>
      </c>
      <c r="T18" s="13">
        <f t="shared" si="0"/>
        <v>18964.50497342573</v>
      </c>
      <c r="U18" s="13">
        <f t="shared" si="0"/>
        <v>183031.0356296378</v>
      </c>
      <c r="V18" s="13">
        <f t="shared" si="0"/>
        <v>167504.32096691846</v>
      </c>
      <c r="W18" s="13">
        <f t="shared" si="0"/>
        <v>1085558.6422060819</v>
      </c>
      <c r="X18" s="13">
        <f t="shared" si="0"/>
        <v>1085680.0980114411</v>
      </c>
      <c r="Y18" s="13">
        <f t="shared" si="0"/>
        <v>745229.93948307389</v>
      </c>
      <c r="Z18" s="13">
        <f t="shared" si="0"/>
        <v>7463246.4318540934</v>
      </c>
    </row>
    <row r="19" spans="1:26" ht="10.5" x14ac:dyDescent="0.25">
      <c r="A19" s="15" t="s">
        <v>57</v>
      </c>
      <c r="B19" s="13">
        <f t="shared" ref="B19:Z19" si="1">SUM(B18)</f>
        <v>0</v>
      </c>
      <c r="C19" s="13">
        <f t="shared" si="1"/>
        <v>-2855.761620809034</v>
      </c>
      <c r="D19" s="13">
        <f t="shared" si="1"/>
        <v>182333.50267752953</v>
      </c>
      <c r="E19" s="13">
        <f t="shared" si="1"/>
        <v>418908.61573078693</v>
      </c>
      <c r="F19" s="13">
        <f t="shared" si="1"/>
        <v>0</v>
      </c>
      <c r="G19" s="13">
        <f t="shared" si="1"/>
        <v>4144965.9111336372</v>
      </c>
      <c r="H19" s="13">
        <f t="shared" si="1"/>
        <v>4743352.2679211451</v>
      </c>
      <c r="I19" s="13">
        <f t="shared" si="1"/>
        <v>0</v>
      </c>
      <c r="J19" s="13">
        <f t="shared" si="1"/>
        <v>4394.4012763955125</v>
      </c>
      <c r="K19" s="13">
        <f t="shared" si="1"/>
        <v>28989.241710482645</v>
      </c>
      <c r="L19" s="13">
        <f t="shared" si="1"/>
        <v>855600.48345155502</v>
      </c>
      <c r="M19" s="13">
        <f t="shared" si="1"/>
        <v>888984.12643843319</v>
      </c>
      <c r="N19" s="13">
        <f t="shared" si="1"/>
        <v>0</v>
      </c>
      <c r="O19" s="13">
        <f t="shared" si="1"/>
        <v>42.132564620941096</v>
      </c>
      <c r="P19" s="13">
        <f t="shared" si="1"/>
        <v>71.172855410622589</v>
      </c>
      <c r="Q19" s="13">
        <f t="shared" si="1"/>
        <v>8.1503853275706604</v>
      </c>
      <c r="R19" s="13">
        <f t="shared" si="1"/>
        <v>121.45580535913435</v>
      </c>
      <c r="S19" s="13">
        <f t="shared" si="1"/>
        <v>716058.7806361001</v>
      </c>
      <c r="T19" s="13">
        <f t="shared" si="1"/>
        <v>18964.50497342573</v>
      </c>
      <c r="U19" s="13">
        <f t="shared" si="1"/>
        <v>183031.0356296378</v>
      </c>
      <c r="V19" s="13">
        <f t="shared" si="1"/>
        <v>167504.32096691846</v>
      </c>
      <c r="W19" s="13">
        <f t="shared" si="1"/>
        <v>1085558.6422060819</v>
      </c>
      <c r="X19" s="13">
        <f t="shared" si="1"/>
        <v>1085680.0980114411</v>
      </c>
      <c r="Y19" s="13">
        <f t="shared" si="1"/>
        <v>745229.93948307389</v>
      </c>
      <c r="Z19" s="13">
        <f t="shared" si="1"/>
        <v>7463246.4318540934</v>
      </c>
    </row>
    <row r="20" spans="1:26" ht="10.5" x14ac:dyDescent="0.25">
      <c r="A20" s="5" t="s">
        <v>221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0.5" x14ac:dyDescent="0.25">
      <c r="A21" s="6" t="s">
        <v>73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2">
      <c r="A22" s="45" t="s">
        <v>74</v>
      </c>
      <c r="B22" s="11">
        <v>55631.557448896179</v>
      </c>
      <c r="C22" s="11">
        <v>0</v>
      </c>
      <c r="D22" s="11">
        <v>77360.229074225586</v>
      </c>
      <c r="E22" s="11">
        <v>174164.76793493665</v>
      </c>
      <c r="F22" s="11">
        <v>0</v>
      </c>
      <c r="G22" s="11">
        <v>1005290.815593143</v>
      </c>
      <c r="H22" s="11">
        <f>SUM(C22:G22)</f>
        <v>1256815.8126023053</v>
      </c>
      <c r="I22" s="11">
        <v>0</v>
      </c>
      <c r="J22" s="11">
        <v>1795.1691279060844</v>
      </c>
      <c r="K22" s="11">
        <v>9629.0388483568058</v>
      </c>
      <c r="L22" s="11">
        <v>112966.35589832433</v>
      </c>
      <c r="M22" s="11">
        <f>SUM(I22:L22)</f>
        <v>124390.56387458721</v>
      </c>
      <c r="N22" s="11">
        <v>0</v>
      </c>
      <c r="O22" s="11">
        <v>46.898959198050335</v>
      </c>
      <c r="P22" s="11">
        <v>81.918915906504893</v>
      </c>
      <c r="Q22" s="11">
        <v>12.639003334058849</v>
      </c>
      <c r="R22" s="11">
        <f>SUM(O22:Q22)</f>
        <v>141.4568784386141</v>
      </c>
      <c r="S22" s="11">
        <v>339962.10974656546</v>
      </c>
      <c r="T22" s="11">
        <v>6793.6778198345628</v>
      </c>
      <c r="U22" s="11">
        <v>116494.94767723784</v>
      </c>
      <c r="V22" s="11">
        <v>82811.453590814082</v>
      </c>
      <c r="W22" s="11">
        <f>SUM(S22:V22)</f>
        <v>546062.18883445195</v>
      </c>
      <c r="X22" s="11">
        <f>SUM(N22,R22,W22)</f>
        <v>546203.64571289055</v>
      </c>
      <c r="Y22" s="11">
        <v>197206.07611173729</v>
      </c>
      <c r="Z22" s="11">
        <f>SUM(B22,H22,M22,X22:Y22)</f>
        <v>2180247.6557504162</v>
      </c>
    </row>
    <row r="23" spans="1:26" x14ac:dyDescent="0.2">
      <c r="A23" s="45" t="s">
        <v>75</v>
      </c>
      <c r="B23" s="11">
        <v>49415.050164174449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f>SUM(C23:G23)</f>
        <v>0</v>
      </c>
      <c r="I23" s="11">
        <v>0</v>
      </c>
      <c r="J23" s="11">
        <v>0</v>
      </c>
      <c r="K23" s="11">
        <v>0</v>
      </c>
      <c r="L23" s="11">
        <v>0</v>
      </c>
      <c r="M23" s="11">
        <f>SUM(I23:L23)</f>
        <v>0</v>
      </c>
      <c r="N23" s="11">
        <v>0</v>
      </c>
      <c r="O23" s="11">
        <v>0</v>
      </c>
      <c r="P23" s="11">
        <v>0</v>
      </c>
      <c r="Q23" s="11">
        <v>0</v>
      </c>
      <c r="R23" s="11">
        <f>SUM(O23:Q23)</f>
        <v>0</v>
      </c>
      <c r="S23" s="11">
        <v>0</v>
      </c>
      <c r="T23" s="11">
        <v>0</v>
      </c>
      <c r="U23" s="11">
        <v>0</v>
      </c>
      <c r="V23" s="11">
        <v>0</v>
      </c>
      <c r="W23" s="11">
        <f>SUM(S23:V23)</f>
        <v>0</v>
      </c>
      <c r="X23" s="11">
        <f>SUM(N23,R23,W23)</f>
        <v>0</v>
      </c>
      <c r="Y23" s="11">
        <v>0</v>
      </c>
      <c r="Z23" s="11">
        <f>SUM(B23,H23,M23,X23:Y23)</f>
        <v>49415.050164174449</v>
      </c>
    </row>
    <row r="24" spans="1:26" x14ac:dyDescent="0.2">
      <c r="A24" s="45" t="s">
        <v>76</v>
      </c>
      <c r="B24" s="11">
        <v>0</v>
      </c>
      <c r="C24" s="11">
        <v>0</v>
      </c>
      <c r="D24" s="11">
        <v>0</v>
      </c>
      <c r="E24" s="11">
        <v>27285.513097847655</v>
      </c>
      <c r="F24" s="11">
        <v>0</v>
      </c>
      <c r="G24" s="11">
        <v>82129.300769503185</v>
      </c>
      <c r="H24" s="11">
        <f>SUM(C24:G24)</f>
        <v>109414.81386735084</v>
      </c>
      <c r="I24" s="11">
        <v>0</v>
      </c>
      <c r="J24" s="11">
        <v>0</v>
      </c>
      <c r="K24" s="11">
        <v>0</v>
      </c>
      <c r="L24" s="11">
        <v>453.91659138229352</v>
      </c>
      <c r="M24" s="11">
        <f>SUM(I24:L24)</f>
        <v>453.91659138229352</v>
      </c>
      <c r="N24" s="11">
        <v>0</v>
      </c>
      <c r="O24" s="11">
        <v>0</v>
      </c>
      <c r="P24" s="11">
        <v>0</v>
      </c>
      <c r="Q24" s="11">
        <v>0</v>
      </c>
      <c r="R24" s="11">
        <f>SUM(O24:Q24)</f>
        <v>0</v>
      </c>
      <c r="S24" s="11">
        <v>839.84814372788207</v>
      </c>
      <c r="T24" s="11">
        <v>0</v>
      </c>
      <c r="U24" s="11">
        <v>954.05141973260254</v>
      </c>
      <c r="V24" s="11">
        <v>1302.4942913912155</v>
      </c>
      <c r="W24" s="11">
        <f>SUM(S24:V24)</f>
        <v>3096.3938548516999</v>
      </c>
      <c r="X24" s="11">
        <f>SUM(N24,R24,W24)</f>
        <v>3096.3938548516999</v>
      </c>
      <c r="Y24" s="11">
        <v>125637.40194941031</v>
      </c>
      <c r="Z24" s="11">
        <f>SUM(B24,H24,M24,X24:Y24)</f>
        <v>238602.52626299515</v>
      </c>
    </row>
    <row r="25" spans="1:26" x14ac:dyDescent="0.2">
      <c r="A25" s="45" t="s">
        <v>77</v>
      </c>
      <c r="B25" s="11">
        <v>19279.382707593541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f>SUM(C25:G25)</f>
        <v>0</v>
      </c>
      <c r="I25" s="11">
        <v>0</v>
      </c>
      <c r="J25" s="11">
        <v>0</v>
      </c>
      <c r="K25" s="11">
        <v>0</v>
      </c>
      <c r="L25" s="11">
        <v>0</v>
      </c>
      <c r="M25" s="11">
        <f>SUM(I25:L25)</f>
        <v>0</v>
      </c>
      <c r="N25" s="11">
        <v>0</v>
      </c>
      <c r="O25" s="11">
        <v>0</v>
      </c>
      <c r="P25" s="11">
        <v>0</v>
      </c>
      <c r="Q25" s="11">
        <v>0</v>
      </c>
      <c r="R25" s="11">
        <f>SUM(O25:Q25)</f>
        <v>0</v>
      </c>
      <c r="S25" s="11">
        <v>0</v>
      </c>
      <c r="T25" s="11">
        <v>0</v>
      </c>
      <c r="U25" s="11">
        <v>0</v>
      </c>
      <c r="V25" s="11">
        <v>0</v>
      </c>
      <c r="W25" s="11">
        <f>SUM(S25:V25)</f>
        <v>0</v>
      </c>
      <c r="X25" s="11">
        <f>SUM(N25,R25,W25)</f>
        <v>0</v>
      </c>
      <c r="Y25" s="11">
        <v>0</v>
      </c>
      <c r="Z25" s="11">
        <f>SUM(B25,H25,M25,X25:Y25)</f>
        <v>19279.382707593541</v>
      </c>
    </row>
    <row r="26" spans="1:26" x14ac:dyDescent="0.2">
      <c r="A26" s="45" t="s">
        <v>78</v>
      </c>
      <c r="B26" s="11">
        <v>58153.013154899774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f>SUM(C26:G26)</f>
        <v>0</v>
      </c>
      <c r="I26" s="11">
        <v>0</v>
      </c>
      <c r="J26" s="11">
        <v>0</v>
      </c>
      <c r="K26" s="11">
        <v>0</v>
      </c>
      <c r="L26" s="11">
        <v>0</v>
      </c>
      <c r="M26" s="11">
        <f>SUM(I26:L26)</f>
        <v>0</v>
      </c>
      <c r="N26" s="11">
        <v>0</v>
      </c>
      <c r="O26" s="11">
        <v>0</v>
      </c>
      <c r="P26" s="11">
        <v>0</v>
      </c>
      <c r="Q26" s="11">
        <v>0</v>
      </c>
      <c r="R26" s="11">
        <f>SUM(O26:Q26)</f>
        <v>0</v>
      </c>
      <c r="S26" s="11">
        <v>0</v>
      </c>
      <c r="T26" s="11">
        <v>0</v>
      </c>
      <c r="U26" s="11">
        <v>0</v>
      </c>
      <c r="V26" s="11">
        <v>0</v>
      </c>
      <c r="W26" s="11">
        <f>SUM(S26:V26)</f>
        <v>0</v>
      </c>
      <c r="X26" s="11">
        <f>SUM(N26,R26,W26)</f>
        <v>0</v>
      </c>
      <c r="Y26" s="11">
        <v>0</v>
      </c>
      <c r="Z26" s="11">
        <f>SUM(B26,H26,M26,X26:Y26)</f>
        <v>58153.013154899774</v>
      </c>
    </row>
    <row r="27" spans="1:26" ht="10.5" x14ac:dyDescent="0.25">
      <c r="A27" s="7" t="s">
        <v>79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2">
      <c r="A28" s="8" t="s">
        <v>80</v>
      </c>
      <c r="B28" s="11">
        <v>0</v>
      </c>
      <c r="C28" s="11">
        <v>0</v>
      </c>
      <c r="D28" s="11">
        <v>0</v>
      </c>
      <c r="E28" s="11">
        <v>0</v>
      </c>
      <c r="F28" s="11">
        <v>0</v>
      </c>
      <c r="G28" s="11">
        <v>8.7881204466089997</v>
      </c>
      <c r="H28" s="11">
        <f>SUM(C28:G28)</f>
        <v>8.7881204466089997</v>
      </c>
      <c r="I28" s="11">
        <v>0</v>
      </c>
      <c r="J28" s="11">
        <v>0</v>
      </c>
      <c r="K28" s="11">
        <v>0</v>
      </c>
      <c r="L28" s="11">
        <v>0</v>
      </c>
      <c r="M28" s="11">
        <f>SUM(I28:L28)</f>
        <v>0</v>
      </c>
      <c r="N28" s="11">
        <v>0</v>
      </c>
      <c r="O28" s="11">
        <v>0</v>
      </c>
      <c r="P28" s="11">
        <v>0</v>
      </c>
      <c r="Q28" s="11">
        <v>0</v>
      </c>
      <c r="R28" s="11">
        <f>SUM(O28:Q28)</f>
        <v>0</v>
      </c>
      <c r="S28" s="11">
        <v>0</v>
      </c>
      <c r="T28" s="11">
        <v>0</v>
      </c>
      <c r="U28" s="11">
        <v>0</v>
      </c>
      <c r="V28" s="11">
        <v>0</v>
      </c>
      <c r="W28" s="11">
        <f>SUM(S28:V28)</f>
        <v>0</v>
      </c>
      <c r="X28" s="11">
        <f>SUM(N28,R28,W28)</f>
        <v>0</v>
      </c>
      <c r="Y28" s="11">
        <v>0</v>
      </c>
      <c r="Z28" s="11">
        <f>SUM(B28,H28,M28,X28:Y28)</f>
        <v>8.7881204466089997</v>
      </c>
    </row>
    <row r="29" spans="1:26" x14ac:dyDescent="0.2">
      <c r="A29" s="8" t="s">
        <v>259</v>
      </c>
      <c r="B29" s="11">
        <v>0</v>
      </c>
      <c r="C29" s="11">
        <v>0</v>
      </c>
      <c r="D29" s="11">
        <v>0</v>
      </c>
      <c r="E29" s="11">
        <v>0</v>
      </c>
      <c r="F29" s="11">
        <v>0</v>
      </c>
      <c r="G29" s="11">
        <v>8.858619570339</v>
      </c>
      <c r="H29" s="11">
        <f>SUM(C29:G29)</f>
        <v>8.858619570339</v>
      </c>
      <c r="I29" s="11">
        <v>0</v>
      </c>
      <c r="J29" s="11">
        <v>0</v>
      </c>
      <c r="K29" s="11">
        <v>0</v>
      </c>
      <c r="L29" s="11">
        <v>0</v>
      </c>
      <c r="M29" s="11">
        <f>SUM(I29:L29)</f>
        <v>0</v>
      </c>
      <c r="N29" s="11">
        <v>0</v>
      </c>
      <c r="O29" s="11">
        <v>0</v>
      </c>
      <c r="P29" s="11">
        <v>0</v>
      </c>
      <c r="Q29" s="11">
        <v>0</v>
      </c>
      <c r="R29" s="11">
        <f>SUM(O29:Q29)</f>
        <v>0</v>
      </c>
      <c r="S29" s="11">
        <v>0</v>
      </c>
      <c r="T29" s="11">
        <v>0</v>
      </c>
      <c r="U29" s="11">
        <v>0</v>
      </c>
      <c r="V29" s="11">
        <v>0</v>
      </c>
      <c r="W29" s="11">
        <f>SUM(S29:V29)</f>
        <v>0</v>
      </c>
      <c r="X29" s="11">
        <f>SUM(N29,R29,W29)</f>
        <v>0</v>
      </c>
      <c r="Y29" s="11">
        <v>0</v>
      </c>
      <c r="Z29" s="11">
        <f>SUM(B29,H29,M29,X29:Y29)</f>
        <v>8.858619570339</v>
      </c>
    </row>
    <row r="30" spans="1:26" x14ac:dyDescent="0.2">
      <c r="A30" s="8" t="s">
        <v>81</v>
      </c>
      <c r="B30" s="11">
        <v>0</v>
      </c>
      <c r="C30" s="11">
        <v>0</v>
      </c>
      <c r="D30" s="11">
        <v>0</v>
      </c>
      <c r="E30" s="11">
        <v>0</v>
      </c>
      <c r="F30" s="11">
        <v>0</v>
      </c>
      <c r="G30" s="11">
        <v>127.4277464758305</v>
      </c>
      <c r="H30" s="11">
        <f>SUM(C30:G30)</f>
        <v>127.4277464758305</v>
      </c>
      <c r="I30" s="11">
        <v>0</v>
      </c>
      <c r="J30" s="11">
        <v>0</v>
      </c>
      <c r="K30" s="11">
        <v>0</v>
      </c>
      <c r="L30" s="11">
        <v>14539.15534933526</v>
      </c>
      <c r="M30" s="11">
        <f>SUM(I30:L30)</f>
        <v>14539.15534933526</v>
      </c>
      <c r="N30" s="11">
        <v>0</v>
      </c>
      <c r="O30" s="11">
        <v>0</v>
      </c>
      <c r="P30" s="11">
        <v>0</v>
      </c>
      <c r="Q30" s="11">
        <v>0</v>
      </c>
      <c r="R30" s="11">
        <f>SUM(O30:Q30)</f>
        <v>0</v>
      </c>
      <c r="S30" s="11">
        <v>0</v>
      </c>
      <c r="T30" s="11">
        <v>0</v>
      </c>
      <c r="U30" s="11">
        <v>0</v>
      </c>
      <c r="V30" s="11">
        <v>0</v>
      </c>
      <c r="W30" s="11">
        <f>SUM(S30:V30)</f>
        <v>0</v>
      </c>
      <c r="X30" s="11">
        <f>SUM(N30,R30,W30)</f>
        <v>0</v>
      </c>
      <c r="Y30" s="11">
        <v>0</v>
      </c>
      <c r="Z30" s="11">
        <f>SUM(B30,H30,M30,X30:Y30)</f>
        <v>14666.583095811091</v>
      </c>
    </row>
    <row r="31" spans="1:26" ht="10.5" x14ac:dyDescent="0.25">
      <c r="A31" s="46" t="s">
        <v>82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2">
      <c r="A32" s="47" t="s">
        <v>83</v>
      </c>
      <c r="B32" s="11">
        <v>0</v>
      </c>
      <c r="C32" s="11">
        <v>0</v>
      </c>
      <c r="D32" s="11">
        <v>0</v>
      </c>
      <c r="E32" s="11">
        <v>0</v>
      </c>
      <c r="F32" s="11">
        <v>0</v>
      </c>
      <c r="G32" s="11">
        <v>68.547339483550203</v>
      </c>
      <c r="H32" s="11">
        <f>SUM(C32:G32)</f>
        <v>68.547339483550203</v>
      </c>
      <c r="I32" s="11">
        <v>0</v>
      </c>
      <c r="J32" s="11">
        <v>0</v>
      </c>
      <c r="K32" s="11">
        <v>0</v>
      </c>
      <c r="L32" s="11">
        <v>0</v>
      </c>
      <c r="M32" s="11">
        <f>SUM(I32:L32)</f>
        <v>0</v>
      </c>
      <c r="N32" s="11">
        <v>0</v>
      </c>
      <c r="O32" s="11">
        <v>0</v>
      </c>
      <c r="P32" s="11">
        <v>0</v>
      </c>
      <c r="Q32" s="11">
        <v>0</v>
      </c>
      <c r="R32" s="11">
        <f>SUM(O32:Q32)</f>
        <v>0</v>
      </c>
      <c r="S32" s="11">
        <v>0</v>
      </c>
      <c r="T32" s="11">
        <v>0</v>
      </c>
      <c r="U32" s="11">
        <v>0</v>
      </c>
      <c r="V32" s="11">
        <v>0</v>
      </c>
      <c r="W32" s="11">
        <f>SUM(S32:V32)</f>
        <v>0</v>
      </c>
      <c r="X32" s="11">
        <f>SUM(N32,R32,W32)</f>
        <v>0</v>
      </c>
      <c r="Y32" s="11">
        <v>0</v>
      </c>
      <c r="Z32" s="11">
        <f>SUM(B32,H32,M32,X32:Y32)</f>
        <v>68.547339483550203</v>
      </c>
    </row>
    <row r="33" spans="1:26" x14ac:dyDescent="0.2">
      <c r="A33" s="47" t="s">
        <v>84</v>
      </c>
      <c r="B33" s="11">
        <v>0</v>
      </c>
      <c r="C33" s="11">
        <v>0</v>
      </c>
      <c r="D33" s="11">
        <v>0</v>
      </c>
      <c r="E33" s="11">
        <v>0</v>
      </c>
      <c r="F33" s="11">
        <v>0</v>
      </c>
      <c r="G33" s="11">
        <v>18.4550529378789</v>
      </c>
      <c r="H33" s="11">
        <f>SUM(C33:G33)</f>
        <v>18.4550529378789</v>
      </c>
      <c r="I33" s="11">
        <v>0</v>
      </c>
      <c r="J33" s="11">
        <v>0</v>
      </c>
      <c r="K33" s="11">
        <v>0</v>
      </c>
      <c r="L33" s="11">
        <v>0</v>
      </c>
      <c r="M33" s="11">
        <f>SUM(I33:L33)</f>
        <v>0</v>
      </c>
      <c r="N33" s="11">
        <v>0</v>
      </c>
      <c r="O33" s="11">
        <v>0</v>
      </c>
      <c r="P33" s="11">
        <v>0</v>
      </c>
      <c r="Q33" s="11">
        <v>0</v>
      </c>
      <c r="R33" s="11">
        <f>SUM(O33:Q33)</f>
        <v>0</v>
      </c>
      <c r="S33" s="11">
        <v>0</v>
      </c>
      <c r="T33" s="11">
        <v>0</v>
      </c>
      <c r="U33" s="11">
        <v>0</v>
      </c>
      <c r="V33" s="11">
        <v>0</v>
      </c>
      <c r="W33" s="11">
        <f>SUM(S33:V33)</f>
        <v>0</v>
      </c>
      <c r="X33" s="11">
        <f>SUM(N33,R33,W33)</f>
        <v>0</v>
      </c>
      <c r="Y33" s="11">
        <v>0</v>
      </c>
      <c r="Z33" s="11">
        <f>SUM(B33,H33,M33,X33:Y33)</f>
        <v>18.4550529378789</v>
      </c>
    </row>
    <row r="34" spans="1:26" ht="10.5" x14ac:dyDescent="0.25">
      <c r="A34" s="48" t="s">
        <v>85</v>
      </c>
      <c r="B34" s="13">
        <f t="shared" ref="B34:Z34" si="2">SUM(B32:B33)</f>
        <v>0</v>
      </c>
      <c r="C34" s="13">
        <f t="shared" si="2"/>
        <v>0</v>
      </c>
      <c r="D34" s="13">
        <f t="shared" si="2"/>
        <v>0</v>
      </c>
      <c r="E34" s="13">
        <f t="shared" si="2"/>
        <v>0</v>
      </c>
      <c r="F34" s="13">
        <f t="shared" si="2"/>
        <v>0</v>
      </c>
      <c r="G34" s="13">
        <f t="shared" si="2"/>
        <v>87.002392421429107</v>
      </c>
      <c r="H34" s="13">
        <f t="shared" si="2"/>
        <v>87.002392421429107</v>
      </c>
      <c r="I34" s="13">
        <f t="shared" si="2"/>
        <v>0</v>
      </c>
      <c r="J34" s="13">
        <f t="shared" si="2"/>
        <v>0</v>
      </c>
      <c r="K34" s="13">
        <f t="shared" si="2"/>
        <v>0</v>
      </c>
      <c r="L34" s="13">
        <f t="shared" si="2"/>
        <v>0</v>
      </c>
      <c r="M34" s="13">
        <f t="shared" si="2"/>
        <v>0</v>
      </c>
      <c r="N34" s="13">
        <f t="shared" si="2"/>
        <v>0</v>
      </c>
      <c r="O34" s="13">
        <f t="shared" si="2"/>
        <v>0</v>
      </c>
      <c r="P34" s="13">
        <f t="shared" si="2"/>
        <v>0</v>
      </c>
      <c r="Q34" s="13">
        <f t="shared" si="2"/>
        <v>0</v>
      </c>
      <c r="R34" s="13">
        <f t="shared" si="2"/>
        <v>0</v>
      </c>
      <c r="S34" s="13">
        <f t="shared" si="2"/>
        <v>0</v>
      </c>
      <c r="T34" s="13">
        <f t="shared" si="2"/>
        <v>0</v>
      </c>
      <c r="U34" s="13">
        <f t="shared" si="2"/>
        <v>0</v>
      </c>
      <c r="V34" s="13">
        <f t="shared" si="2"/>
        <v>0</v>
      </c>
      <c r="W34" s="13">
        <f t="shared" si="2"/>
        <v>0</v>
      </c>
      <c r="X34" s="13">
        <f t="shared" si="2"/>
        <v>0</v>
      </c>
      <c r="Y34" s="13">
        <f t="shared" si="2"/>
        <v>0</v>
      </c>
      <c r="Z34" s="13">
        <f t="shared" si="2"/>
        <v>87.002392421429107</v>
      </c>
    </row>
    <row r="35" spans="1:26" ht="10.5" x14ac:dyDescent="0.25">
      <c r="A35" s="12" t="s">
        <v>86</v>
      </c>
      <c r="B35" s="13">
        <f t="shared" ref="B35:Z35" si="3">SUM(B28:B30,B34)</f>
        <v>0</v>
      </c>
      <c r="C35" s="13">
        <f t="shared" si="3"/>
        <v>0</v>
      </c>
      <c r="D35" s="13">
        <f t="shared" si="3"/>
        <v>0</v>
      </c>
      <c r="E35" s="13">
        <f t="shared" si="3"/>
        <v>0</v>
      </c>
      <c r="F35" s="13">
        <f t="shared" si="3"/>
        <v>0</v>
      </c>
      <c r="G35" s="13">
        <f t="shared" si="3"/>
        <v>232.07687891420761</v>
      </c>
      <c r="H35" s="13">
        <f t="shared" si="3"/>
        <v>232.07687891420761</v>
      </c>
      <c r="I35" s="13">
        <f t="shared" si="3"/>
        <v>0</v>
      </c>
      <c r="J35" s="13">
        <f t="shared" si="3"/>
        <v>0</v>
      </c>
      <c r="K35" s="13">
        <f t="shared" si="3"/>
        <v>0</v>
      </c>
      <c r="L35" s="13">
        <f t="shared" si="3"/>
        <v>14539.15534933526</v>
      </c>
      <c r="M35" s="13">
        <f t="shared" si="3"/>
        <v>14539.15534933526</v>
      </c>
      <c r="N35" s="13">
        <f t="shared" si="3"/>
        <v>0</v>
      </c>
      <c r="O35" s="13">
        <f t="shared" si="3"/>
        <v>0</v>
      </c>
      <c r="P35" s="13">
        <f t="shared" si="3"/>
        <v>0</v>
      </c>
      <c r="Q35" s="13">
        <f t="shared" si="3"/>
        <v>0</v>
      </c>
      <c r="R35" s="13">
        <f t="shared" si="3"/>
        <v>0</v>
      </c>
      <c r="S35" s="13">
        <f t="shared" si="3"/>
        <v>0</v>
      </c>
      <c r="T35" s="13">
        <f t="shared" si="3"/>
        <v>0</v>
      </c>
      <c r="U35" s="13">
        <f t="shared" si="3"/>
        <v>0</v>
      </c>
      <c r="V35" s="13">
        <f t="shared" si="3"/>
        <v>0</v>
      </c>
      <c r="W35" s="13">
        <f t="shared" si="3"/>
        <v>0</v>
      </c>
      <c r="X35" s="13">
        <f t="shared" si="3"/>
        <v>0</v>
      </c>
      <c r="Y35" s="13">
        <f t="shared" si="3"/>
        <v>0</v>
      </c>
      <c r="Z35" s="13">
        <f t="shared" si="3"/>
        <v>14771.232228249468</v>
      </c>
    </row>
    <row r="36" spans="1:26" ht="10.5" x14ac:dyDescent="0.25">
      <c r="A36" s="14" t="s">
        <v>87</v>
      </c>
      <c r="B36" s="13">
        <f t="shared" ref="B36:Z36" si="4">SUM(B22:B26,B35)</f>
        <v>182479.00347556395</v>
      </c>
      <c r="C36" s="13">
        <f t="shared" si="4"/>
        <v>0</v>
      </c>
      <c r="D36" s="13">
        <f t="shared" si="4"/>
        <v>77360.229074225586</v>
      </c>
      <c r="E36" s="13">
        <f t="shared" si="4"/>
        <v>201450.28103278432</v>
      </c>
      <c r="F36" s="13">
        <f t="shared" si="4"/>
        <v>0</v>
      </c>
      <c r="G36" s="13">
        <f t="shared" si="4"/>
        <v>1087652.1932415604</v>
      </c>
      <c r="H36" s="13">
        <f t="shared" si="4"/>
        <v>1366462.7033485703</v>
      </c>
      <c r="I36" s="13">
        <f t="shared" si="4"/>
        <v>0</v>
      </c>
      <c r="J36" s="13">
        <f t="shared" si="4"/>
        <v>1795.1691279060844</v>
      </c>
      <c r="K36" s="13">
        <f t="shared" si="4"/>
        <v>9629.0388483568058</v>
      </c>
      <c r="L36" s="13">
        <f t="shared" si="4"/>
        <v>127959.42783904188</v>
      </c>
      <c r="M36" s="13">
        <f t="shared" si="4"/>
        <v>139383.63581530476</v>
      </c>
      <c r="N36" s="13">
        <f t="shared" si="4"/>
        <v>0</v>
      </c>
      <c r="O36" s="13">
        <f t="shared" si="4"/>
        <v>46.898959198050335</v>
      </c>
      <c r="P36" s="13">
        <f t="shared" si="4"/>
        <v>81.918915906504893</v>
      </c>
      <c r="Q36" s="13">
        <f t="shared" si="4"/>
        <v>12.639003334058849</v>
      </c>
      <c r="R36" s="13">
        <f t="shared" si="4"/>
        <v>141.4568784386141</v>
      </c>
      <c r="S36" s="13">
        <f t="shared" si="4"/>
        <v>340801.95789029333</v>
      </c>
      <c r="T36" s="13">
        <f t="shared" si="4"/>
        <v>6793.6778198345628</v>
      </c>
      <c r="U36" s="13">
        <f t="shared" si="4"/>
        <v>117448.99909697044</v>
      </c>
      <c r="V36" s="13">
        <f t="shared" si="4"/>
        <v>84113.947882205292</v>
      </c>
      <c r="W36" s="13">
        <f t="shared" si="4"/>
        <v>549158.58268930367</v>
      </c>
      <c r="X36" s="13">
        <f t="shared" si="4"/>
        <v>549300.03956774226</v>
      </c>
      <c r="Y36" s="13">
        <f t="shared" si="4"/>
        <v>322843.47806114762</v>
      </c>
      <c r="Z36" s="13">
        <f t="shared" si="4"/>
        <v>2560468.8602683283</v>
      </c>
    </row>
    <row r="37" spans="1:26" ht="10.5" x14ac:dyDescent="0.25">
      <c r="A37" s="15" t="s">
        <v>231</v>
      </c>
      <c r="B37" s="13">
        <f t="shared" ref="B37:Z37" si="5">SUM(B36)</f>
        <v>182479.00347556395</v>
      </c>
      <c r="C37" s="13">
        <f t="shared" si="5"/>
        <v>0</v>
      </c>
      <c r="D37" s="13">
        <f t="shared" si="5"/>
        <v>77360.229074225586</v>
      </c>
      <c r="E37" s="13">
        <f t="shared" si="5"/>
        <v>201450.28103278432</v>
      </c>
      <c r="F37" s="13">
        <f t="shared" si="5"/>
        <v>0</v>
      </c>
      <c r="G37" s="13">
        <f t="shared" si="5"/>
        <v>1087652.1932415604</v>
      </c>
      <c r="H37" s="13">
        <f t="shared" si="5"/>
        <v>1366462.7033485703</v>
      </c>
      <c r="I37" s="13">
        <f t="shared" si="5"/>
        <v>0</v>
      </c>
      <c r="J37" s="13">
        <f t="shared" si="5"/>
        <v>1795.1691279060844</v>
      </c>
      <c r="K37" s="13">
        <f t="shared" si="5"/>
        <v>9629.0388483568058</v>
      </c>
      <c r="L37" s="13">
        <f t="shared" si="5"/>
        <v>127959.42783904188</v>
      </c>
      <c r="M37" s="13">
        <f t="shared" si="5"/>
        <v>139383.63581530476</v>
      </c>
      <c r="N37" s="13">
        <f t="shared" si="5"/>
        <v>0</v>
      </c>
      <c r="O37" s="13">
        <f t="shared" si="5"/>
        <v>46.898959198050335</v>
      </c>
      <c r="P37" s="13">
        <f t="shared" si="5"/>
        <v>81.918915906504893</v>
      </c>
      <c r="Q37" s="13">
        <f t="shared" si="5"/>
        <v>12.639003334058849</v>
      </c>
      <c r="R37" s="13">
        <f t="shared" si="5"/>
        <v>141.4568784386141</v>
      </c>
      <c r="S37" s="13">
        <f t="shared" si="5"/>
        <v>340801.95789029333</v>
      </c>
      <c r="T37" s="13">
        <f t="shared" si="5"/>
        <v>6793.6778198345628</v>
      </c>
      <c r="U37" s="13">
        <f t="shared" si="5"/>
        <v>117448.99909697044</v>
      </c>
      <c r="V37" s="13">
        <f t="shared" si="5"/>
        <v>84113.947882205292</v>
      </c>
      <c r="W37" s="13">
        <f t="shared" si="5"/>
        <v>549158.58268930367</v>
      </c>
      <c r="X37" s="13">
        <f t="shared" si="5"/>
        <v>549300.03956774226</v>
      </c>
      <c r="Y37" s="13">
        <f t="shared" si="5"/>
        <v>322843.47806114762</v>
      </c>
      <c r="Z37" s="13">
        <f t="shared" si="5"/>
        <v>2560468.8602683283</v>
      </c>
    </row>
    <row r="38" spans="1:26" ht="10.5" x14ac:dyDescent="0.25">
      <c r="A38" s="16" t="s">
        <v>58</v>
      </c>
      <c r="B38" s="18">
        <f t="shared" ref="B38:Z38" si="6">B19-B37</f>
        <v>-182479.00347556395</v>
      </c>
      <c r="C38" s="18">
        <f t="shared" si="6"/>
        <v>-2855.761620809034</v>
      </c>
      <c r="D38" s="18">
        <f t="shared" si="6"/>
        <v>104973.27360330394</v>
      </c>
      <c r="E38" s="18">
        <f t="shared" si="6"/>
        <v>217458.33469800261</v>
      </c>
      <c r="F38" s="18">
        <f t="shared" si="6"/>
        <v>0</v>
      </c>
      <c r="G38" s="18">
        <f t="shared" si="6"/>
        <v>3057313.7178920768</v>
      </c>
      <c r="H38" s="18">
        <f t="shared" si="6"/>
        <v>3376889.5645725746</v>
      </c>
      <c r="I38" s="18">
        <f t="shared" si="6"/>
        <v>0</v>
      </c>
      <c r="J38" s="18">
        <f t="shared" si="6"/>
        <v>2599.2321484894283</v>
      </c>
      <c r="K38" s="18">
        <f t="shared" si="6"/>
        <v>19360.20286212584</v>
      </c>
      <c r="L38" s="18">
        <f t="shared" si="6"/>
        <v>727641.0556125131</v>
      </c>
      <c r="M38" s="18">
        <f t="shared" si="6"/>
        <v>749600.49062312837</v>
      </c>
      <c r="N38" s="18">
        <f t="shared" si="6"/>
        <v>0</v>
      </c>
      <c r="O38" s="18">
        <f t="shared" si="6"/>
        <v>-4.7663945771092386</v>
      </c>
      <c r="P38" s="18">
        <f t="shared" si="6"/>
        <v>-10.746060495882304</v>
      </c>
      <c r="Q38" s="18">
        <f t="shared" si="6"/>
        <v>-4.4886180064881884</v>
      </c>
      <c r="R38" s="18">
        <f t="shared" si="6"/>
        <v>-20.001073079479752</v>
      </c>
      <c r="S38" s="18">
        <f t="shared" si="6"/>
        <v>375256.82274580677</v>
      </c>
      <c r="T38" s="18">
        <f t="shared" si="6"/>
        <v>12170.827153591166</v>
      </c>
      <c r="U38" s="18">
        <f t="shared" si="6"/>
        <v>65582.036532667364</v>
      </c>
      <c r="V38" s="18">
        <f t="shared" si="6"/>
        <v>83390.373084713166</v>
      </c>
      <c r="W38" s="18">
        <f t="shared" si="6"/>
        <v>536400.05951677822</v>
      </c>
      <c r="X38" s="18">
        <f t="shared" si="6"/>
        <v>536380.0584436988</v>
      </c>
      <c r="Y38" s="18">
        <f t="shared" si="6"/>
        <v>422386.46142192627</v>
      </c>
      <c r="Z38" s="18">
        <f t="shared" si="6"/>
        <v>4902777.5715857651</v>
      </c>
    </row>
    <row r="39" spans="1:26" ht="10.5" x14ac:dyDescent="0.25">
      <c r="A39" s="5" t="s">
        <v>234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0.5" x14ac:dyDescent="0.25">
      <c r="A40" s="6" t="s">
        <v>88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x14ac:dyDescent="0.2">
      <c r="A41" s="45" t="s">
        <v>89</v>
      </c>
      <c r="B41" s="11">
        <v>0</v>
      </c>
      <c r="C41" s="11">
        <v>0</v>
      </c>
      <c r="D41" s="11">
        <v>0</v>
      </c>
      <c r="E41" s="11">
        <v>0</v>
      </c>
      <c r="F41" s="11">
        <v>0</v>
      </c>
      <c r="G41" s="11">
        <v>0</v>
      </c>
      <c r="H41" s="11">
        <f>SUM(C41:G41)</f>
        <v>0</v>
      </c>
      <c r="I41" s="11">
        <v>0</v>
      </c>
      <c r="J41" s="11">
        <v>0</v>
      </c>
      <c r="K41" s="11">
        <v>0</v>
      </c>
      <c r="L41" s="11">
        <v>649.03805217454578</v>
      </c>
      <c r="M41" s="11">
        <f>SUM(I41:L41)</f>
        <v>649.03805217454578</v>
      </c>
      <c r="N41" s="11">
        <v>0</v>
      </c>
      <c r="O41" s="11">
        <v>0</v>
      </c>
      <c r="P41" s="11">
        <v>0</v>
      </c>
      <c r="Q41" s="11">
        <v>0</v>
      </c>
      <c r="R41" s="11">
        <f>SUM(O41:Q41)</f>
        <v>0</v>
      </c>
      <c r="S41" s="11">
        <v>0</v>
      </c>
      <c r="T41" s="11">
        <v>0</v>
      </c>
      <c r="U41" s="11">
        <v>0</v>
      </c>
      <c r="V41" s="11">
        <v>0</v>
      </c>
      <c r="W41" s="11">
        <f>SUM(S41:V41)</f>
        <v>0</v>
      </c>
      <c r="X41" s="11">
        <f>SUM(N41,R41,W41)</f>
        <v>0</v>
      </c>
      <c r="Y41" s="11">
        <v>2713.5758147243432</v>
      </c>
      <c r="Z41" s="11">
        <f>SUM(B41,H41,M41,X41:Y41)</f>
        <v>3362.6138668988888</v>
      </c>
    </row>
    <row r="42" spans="1:26" ht="10.5" x14ac:dyDescent="0.25">
      <c r="A42" s="7" t="s">
        <v>90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x14ac:dyDescent="0.2">
      <c r="A43" s="8" t="s">
        <v>91</v>
      </c>
      <c r="B43" s="11">
        <v>384610.7076820744</v>
      </c>
      <c r="C43" s="11">
        <v>0</v>
      </c>
      <c r="D43" s="11">
        <v>0</v>
      </c>
      <c r="E43" s="11">
        <v>3587.523267016149</v>
      </c>
      <c r="F43" s="11">
        <v>0</v>
      </c>
      <c r="G43" s="11">
        <v>13682.294470672541</v>
      </c>
      <c r="H43" s="11">
        <f>SUM(C43:G43)</f>
        <v>17269.817737688689</v>
      </c>
      <c r="I43" s="11">
        <v>0</v>
      </c>
      <c r="J43" s="11">
        <v>0</v>
      </c>
      <c r="K43" s="11">
        <v>0</v>
      </c>
      <c r="L43" s="11">
        <v>0</v>
      </c>
      <c r="M43" s="11">
        <f>SUM(I43:L43)</f>
        <v>0</v>
      </c>
      <c r="N43" s="11">
        <v>0</v>
      </c>
      <c r="O43" s="11">
        <v>0</v>
      </c>
      <c r="P43" s="11">
        <v>0</v>
      </c>
      <c r="Q43" s="11">
        <v>0</v>
      </c>
      <c r="R43" s="11">
        <f>SUM(O43:Q43)</f>
        <v>0</v>
      </c>
      <c r="S43" s="11">
        <v>0</v>
      </c>
      <c r="T43" s="11">
        <v>0</v>
      </c>
      <c r="U43" s="11">
        <v>0</v>
      </c>
      <c r="V43" s="11">
        <v>0</v>
      </c>
      <c r="W43" s="11">
        <f>SUM(S43:V43)</f>
        <v>0</v>
      </c>
      <c r="X43" s="11">
        <f>SUM(N43,R43,W43)</f>
        <v>0</v>
      </c>
      <c r="Y43" s="11">
        <v>0</v>
      </c>
      <c r="Z43" s="11">
        <f>SUM(B43,H43,M43,X43:Y43)</f>
        <v>401880.52541976306</v>
      </c>
    </row>
    <row r="44" spans="1:26" x14ac:dyDescent="0.2">
      <c r="A44" s="8" t="s">
        <v>92</v>
      </c>
      <c r="B44" s="11">
        <v>927764.3082934313</v>
      </c>
      <c r="C44" s="11">
        <v>13881.473566229857</v>
      </c>
      <c r="D44" s="11">
        <v>0</v>
      </c>
      <c r="E44" s="11">
        <v>96795.083249641597</v>
      </c>
      <c r="F44" s="11">
        <v>0</v>
      </c>
      <c r="G44" s="11">
        <v>56039.661176910144</v>
      </c>
      <c r="H44" s="11">
        <f>SUM(C44:G44)</f>
        <v>166716.2179927816</v>
      </c>
      <c r="I44" s="11">
        <v>0</v>
      </c>
      <c r="J44" s="11">
        <v>0</v>
      </c>
      <c r="K44" s="11">
        <v>0</v>
      </c>
      <c r="L44" s="11">
        <v>0</v>
      </c>
      <c r="M44" s="11">
        <f>SUM(I44:L44)</f>
        <v>0</v>
      </c>
      <c r="N44" s="11">
        <v>0</v>
      </c>
      <c r="O44" s="11">
        <v>0</v>
      </c>
      <c r="P44" s="11">
        <v>0</v>
      </c>
      <c r="Q44" s="11">
        <v>0</v>
      </c>
      <c r="R44" s="11">
        <f>SUM(O44:Q44)</f>
        <v>0</v>
      </c>
      <c r="S44" s="11">
        <v>0</v>
      </c>
      <c r="T44" s="11">
        <v>0</v>
      </c>
      <c r="U44" s="11">
        <v>0</v>
      </c>
      <c r="V44" s="11">
        <v>0</v>
      </c>
      <c r="W44" s="11">
        <f>SUM(S44:V44)</f>
        <v>0</v>
      </c>
      <c r="X44" s="11">
        <f>SUM(N44,R44,W44)</f>
        <v>0</v>
      </c>
      <c r="Y44" s="11">
        <v>15765.747689843422</v>
      </c>
      <c r="Z44" s="11">
        <f>SUM(B44,H44,M44,X44:Y44)</f>
        <v>1110246.2739760564</v>
      </c>
    </row>
    <row r="45" spans="1:26" x14ac:dyDescent="0.2">
      <c r="A45" s="8" t="s">
        <v>93</v>
      </c>
      <c r="B45" s="11">
        <v>136997.05612850701</v>
      </c>
      <c r="C45" s="11">
        <v>0</v>
      </c>
      <c r="D45" s="11">
        <v>0</v>
      </c>
      <c r="E45" s="11">
        <v>0</v>
      </c>
      <c r="F45" s="11">
        <v>0</v>
      </c>
      <c r="G45" s="11">
        <v>0</v>
      </c>
      <c r="H45" s="11">
        <f>SUM(C45:G45)</f>
        <v>0</v>
      </c>
      <c r="I45" s="11">
        <v>0</v>
      </c>
      <c r="J45" s="11">
        <v>0</v>
      </c>
      <c r="K45" s="11">
        <v>0</v>
      </c>
      <c r="L45" s="11">
        <v>0</v>
      </c>
      <c r="M45" s="11">
        <f>SUM(I45:L45)</f>
        <v>0</v>
      </c>
      <c r="N45" s="11">
        <v>0</v>
      </c>
      <c r="O45" s="11">
        <v>0</v>
      </c>
      <c r="P45" s="11">
        <v>0</v>
      </c>
      <c r="Q45" s="11">
        <v>0</v>
      </c>
      <c r="R45" s="11">
        <f>SUM(O45:Q45)</f>
        <v>0</v>
      </c>
      <c r="S45" s="11">
        <v>0</v>
      </c>
      <c r="T45" s="11">
        <v>0</v>
      </c>
      <c r="U45" s="11">
        <v>0</v>
      </c>
      <c r="V45" s="11">
        <v>0</v>
      </c>
      <c r="W45" s="11">
        <f>SUM(S45:V45)</f>
        <v>0</v>
      </c>
      <c r="X45" s="11">
        <f>SUM(N45,R45,W45)</f>
        <v>0</v>
      </c>
      <c r="Y45" s="11">
        <v>0</v>
      </c>
      <c r="Z45" s="11">
        <f>SUM(B45,H45,M45,X45:Y45)</f>
        <v>136997.05612850701</v>
      </c>
    </row>
    <row r="46" spans="1:26" x14ac:dyDescent="0.2">
      <c r="A46" s="8" t="s">
        <v>94</v>
      </c>
      <c r="B46" s="11">
        <v>35313.060709925317</v>
      </c>
      <c r="C46" s="11">
        <v>0</v>
      </c>
      <c r="D46" s="11">
        <v>0</v>
      </c>
      <c r="E46" s="11">
        <v>0</v>
      </c>
      <c r="F46" s="11">
        <v>0</v>
      </c>
      <c r="G46" s="11">
        <v>0</v>
      </c>
      <c r="H46" s="11">
        <f>SUM(C46:G46)</f>
        <v>0</v>
      </c>
      <c r="I46" s="11">
        <v>0</v>
      </c>
      <c r="J46" s="11">
        <v>0</v>
      </c>
      <c r="K46" s="11">
        <v>0</v>
      </c>
      <c r="L46" s="11">
        <v>0</v>
      </c>
      <c r="M46" s="11">
        <f>SUM(I46:L46)</f>
        <v>0</v>
      </c>
      <c r="N46" s="11">
        <v>0</v>
      </c>
      <c r="O46" s="11">
        <v>0</v>
      </c>
      <c r="P46" s="11">
        <v>0</v>
      </c>
      <c r="Q46" s="11">
        <v>0</v>
      </c>
      <c r="R46" s="11">
        <f>SUM(O46:Q46)</f>
        <v>0</v>
      </c>
      <c r="S46" s="11">
        <v>0</v>
      </c>
      <c r="T46" s="11">
        <v>0</v>
      </c>
      <c r="U46" s="11">
        <v>0</v>
      </c>
      <c r="V46" s="11">
        <v>0</v>
      </c>
      <c r="W46" s="11">
        <f>SUM(S46:V46)</f>
        <v>0</v>
      </c>
      <c r="X46" s="11">
        <f>SUM(N46,R46,W46)</f>
        <v>0</v>
      </c>
      <c r="Y46" s="11">
        <v>4831.5017631427318</v>
      </c>
      <c r="Z46" s="11">
        <f>SUM(B46,H46,M46,X46:Y46)</f>
        <v>40144.56247306805</v>
      </c>
    </row>
    <row r="47" spans="1:26" ht="10.5" x14ac:dyDescent="0.25">
      <c r="A47" s="12" t="s">
        <v>95</v>
      </c>
      <c r="B47" s="13">
        <f t="shared" ref="B47:Z47" si="7">SUM(B43:B46)</f>
        <v>1484685.132813938</v>
      </c>
      <c r="C47" s="13">
        <f t="shared" si="7"/>
        <v>13881.473566229857</v>
      </c>
      <c r="D47" s="13">
        <f t="shared" si="7"/>
        <v>0</v>
      </c>
      <c r="E47" s="13">
        <f t="shared" si="7"/>
        <v>100382.60651665775</v>
      </c>
      <c r="F47" s="13">
        <f t="shared" si="7"/>
        <v>0</v>
      </c>
      <c r="G47" s="13">
        <f t="shared" si="7"/>
        <v>69721.955647582683</v>
      </c>
      <c r="H47" s="13">
        <f t="shared" si="7"/>
        <v>183986.03573047029</v>
      </c>
      <c r="I47" s="13">
        <f t="shared" si="7"/>
        <v>0</v>
      </c>
      <c r="J47" s="13">
        <f t="shared" si="7"/>
        <v>0</v>
      </c>
      <c r="K47" s="13">
        <f t="shared" si="7"/>
        <v>0</v>
      </c>
      <c r="L47" s="13">
        <f t="shared" si="7"/>
        <v>0</v>
      </c>
      <c r="M47" s="13">
        <f t="shared" si="7"/>
        <v>0</v>
      </c>
      <c r="N47" s="13">
        <f t="shared" si="7"/>
        <v>0</v>
      </c>
      <c r="O47" s="13">
        <f t="shared" si="7"/>
        <v>0</v>
      </c>
      <c r="P47" s="13">
        <f t="shared" si="7"/>
        <v>0</v>
      </c>
      <c r="Q47" s="13">
        <f t="shared" si="7"/>
        <v>0</v>
      </c>
      <c r="R47" s="13">
        <f t="shared" si="7"/>
        <v>0</v>
      </c>
      <c r="S47" s="13">
        <f t="shared" si="7"/>
        <v>0</v>
      </c>
      <c r="T47" s="13">
        <f t="shared" si="7"/>
        <v>0</v>
      </c>
      <c r="U47" s="13">
        <f t="shared" si="7"/>
        <v>0</v>
      </c>
      <c r="V47" s="13">
        <f t="shared" si="7"/>
        <v>0</v>
      </c>
      <c r="W47" s="13">
        <f t="shared" si="7"/>
        <v>0</v>
      </c>
      <c r="X47" s="13">
        <f t="shared" si="7"/>
        <v>0</v>
      </c>
      <c r="Y47" s="13">
        <f t="shared" si="7"/>
        <v>20597.249452986154</v>
      </c>
      <c r="Z47" s="13">
        <f t="shared" si="7"/>
        <v>1689268.4179973945</v>
      </c>
    </row>
    <row r="48" spans="1:26" ht="10.5" x14ac:dyDescent="0.25">
      <c r="A48" s="7" t="s">
        <v>96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x14ac:dyDescent="0.2">
      <c r="A49" s="8" t="s">
        <v>97</v>
      </c>
      <c r="B49" s="11">
        <v>0</v>
      </c>
      <c r="C49" s="11">
        <v>0</v>
      </c>
      <c r="D49" s="11">
        <v>0</v>
      </c>
      <c r="E49" s="11">
        <v>0</v>
      </c>
      <c r="F49" s="11">
        <v>0</v>
      </c>
      <c r="G49" s="11">
        <v>665.61224262616565</v>
      </c>
      <c r="H49" s="11">
        <f>SUM(C49:G49)</f>
        <v>665.61224262616565</v>
      </c>
      <c r="I49" s="11">
        <v>0</v>
      </c>
      <c r="J49" s="11">
        <v>0</v>
      </c>
      <c r="K49" s="11">
        <v>0</v>
      </c>
      <c r="L49" s="11">
        <v>0</v>
      </c>
      <c r="M49" s="11">
        <f>SUM(I49:L49)</f>
        <v>0</v>
      </c>
      <c r="N49" s="11">
        <v>0</v>
      </c>
      <c r="O49" s="11">
        <v>0</v>
      </c>
      <c r="P49" s="11">
        <v>0</v>
      </c>
      <c r="Q49" s="11">
        <v>0</v>
      </c>
      <c r="R49" s="11">
        <f>SUM(O49:Q49)</f>
        <v>0</v>
      </c>
      <c r="S49" s="11">
        <v>0</v>
      </c>
      <c r="T49" s="11">
        <v>0</v>
      </c>
      <c r="U49" s="11">
        <v>8713.2775933916928</v>
      </c>
      <c r="V49" s="11">
        <v>0</v>
      </c>
      <c r="W49" s="11">
        <f>SUM(S49:V49)</f>
        <v>8713.2775933916928</v>
      </c>
      <c r="X49" s="11">
        <f>SUM(N49,R49,W49)</f>
        <v>8713.2775933916928</v>
      </c>
      <c r="Y49" s="11">
        <v>0</v>
      </c>
      <c r="Z49" s="11">
        <f>SUM(B49,H49,M49,X49:Y49)</f>
        <v>9378.8898360178591</v>
      </c>
    </row>
    <row r="50" spans="1:26" x14ac:dyDescent="0.2">
      <c r="A50" s="8" t="s">
        <v>98</v>
      </c>
      <c r="B50" s="11">
        <v>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f>SUM(C50:G50)</f>
        <v>0</v>
      </c>
      <c r="I50" s="11">
        <v>0</v>
      </c>
      <c r="J50" s="11">
        <v>0</v>
      </c>
      <c r="K50" s="11">
        <v>0</v>
      </c>
      <c r="L50" s="11">
        <v>19358.85578515815</v>
      </c>
      <c r="M50" s="11">
        <f>SUM(I50:L50)</f>
        <v>19358.85578515815</v>
      </c>
      <c r="N50" s="11">
        <v>0</v>
      </c>
      <c r="O50" s="11">
        <v>0</v>
      </c>
      <c r="P50" s="11">
        <v>0</v>
      </c>
      <c r="Q50" s="11">
        <v>0</v>
      </c>
      <c r="R50" s="11">
        <f>SUM(O50:Q50)</f>
        <v>0</v>
      </c>
      <c r="S50" s="11">
        <v>0</v>
      </c>
      <c r="T50" s="11">
        <v>0</v>
      </c>
      <c r="U50" s="11">
        <v>0</v>
      </c>
      <c r="V50" s="11">
        <v>0</v>
      </c>
      <c r="W50" s="11">
        <f>SUM(S50:V50)</f>
        <v>0</v>
      </c>
      <c r="X50" s="11">
        <f>SUM(N50,R50,W50)</f>
        <v>0</v>
      </c>
      <c r="Y50" s="11">
        <v>0</v>
      </c>
      <c r="Z50" s="11">
        <f>SUM(B50,H50,M50,X50:Y50)</f>
        <v>19358.85578515815</v>
      </c>
    </row>
    <row r="51" spans="1:26" x14ac:dyDescent="0.2">
      <c r="A51" s="8" t="s">
        <v>99</v>
      </c>
      <c r="B51" s="11">
        <v>0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f>SUM(C51:G51)</f>
        <v>0</v>
      </c>
      <c r="I51" s="11">
        <v>0</v>
      </c>
      <c r="J51" s="11">
        <v>0</v>
      </c>
      <c r="K51" s="11">
        <v>0</v>
      </c>
      <c r="L51" s="11">
        <v>0</v>
      </c>
      <c r="M51" s="11">
        <f>SUM(I51:L51)</f>
        <v>0</v>
      </c>
      <c r="N51" s="11">
        <v>0</v>
      </c>
      <c r="O51" s="11">
        <v>0</v>
      </c>
      <c r="P51" s="11">
        <v>0</v>
      </c>
      <c r="Q51" s="11">
        <v>0</v>
      </c>
      <c r="R51" s="11">
        <f>SUM(O51:Q51)</f>
        <v>0</v>
      </c>
      <c r="S51" s="11">
        <v>0</v>
      </c>
      <c r="T51" s="11">
        <v>0</v>
      </c>
      <c r="U51" s="11">
        <v>21492.120991764608</v>
      </c>
      <c r="V51" s="11">
        <v>0</v>
      </c>
      <c r="W51" s="11">
        <f>SUM(S51:V51)</f>
        <v>21492.120991764608</v>
      </c>
      <c r="X51" s="11">
        <f>SUM(N51,R51,W51)</f>
        <v>21492.120991764608</v>
      </c>
      <c r="Y51" s="11">
        <v>0</v>
      </c>
      <c r="Z51" s="11">
        <f>SUM(B51,H51,M51,X51:Y51)</f>
        <v>21492.120991764608</v>
      </c>
    </row>
    <row r="52" spans="1:26" x14ac:dyDescent="0.2">
      <c r="A52" s="8" t="s">
        <v>100</v>
      </c>
      <c r="B52" s="11">
        <v>-2019.9815259113473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f>SUM(C52:G52)</f>
        <v>0</v>
      </c>
      <c r="I52" s="11">
        <v>0</v>
      </c>
      <c r="J52" s="11">
        <v>0</v>
      </c>
      <c r="K52" s="11">
        <v>0</v>
      </c>
      <c r="L52" s="11">
        <v>0</v>
      </c>
      <c r="M52" s="11">
        <f>SUM(I52:L52)</f>
        <v>0</v>
      </c>
      <c r="N52" s="11">
        <v>0</v>
      </c>
      <c r="O52" s="11">
        <v>0</v>
      </c>
      <c r="P52" s="11">
        <v>0</v>
      </c>
      <c r="Q52" s="11">
        <v>0</v>
      </c>
      <c r="R52" s="11">
        <f>SUM(O52:Q52)</f>
        <v>0</v>
      </c>
      <c r="S52" s="11">
        <v>0</v>
      </c>
      <c r="T52" s="11">
        <v>0</v>
      </c>
      <c r="U52" s="11">
        <v>937.13136904906855</v>
      </c>
      <c r="V52" s="11">
        <v>0</v>
      </c>
      <c r="W52" s="11">
        <f>SUM(S52:V52)</f>
        <v>937.13136904906855</v>
      </c>
      <c r="X52" s="11">
        <f>SUM(N52,R52,W52)</f>
        <v>937.13136904906855</v>
      </c>
      <c r="Y52" s="11">
        <v>0</v>
      </c>
      <c r="Z52" s="11">
        <f>SUM(B52,H52,M52,X52:Y52)</f>
        <v>-1082.8501568622787</v>
      </c>
    </row>
    <row r="53" spans="1:26" ht="10.5" x14ac:dyDescent="0.25">
      <c r="A53" s="12" t="s">
        <v>101</v>
      </c>
      <c r="B53" s="13">
        <f t="shared" ref="B53:Z53" si="8">SUM(B49:B52)</f>
        <v>-2019.9815259113473</v>
      </c>
      <c r="C53" s="13">
        <f t="shared" si="8"/>
        <v>0</v>
      </c>
      <c r="D53" s="13">
        <f t="shared" si="8"/>
        <v>0</v>
      </c>
      <c r="E53" s="13">
        <f t="shared" si="8"/>
        <v>0</v>
      </c>
      <c r="F53" s="13">
        <f t="shared" si="8"/>
        <v>0</v>
      </c>
      <c r="G53" s="13">
        <f t="shared" si="8"/>
        <v>665.61224262616565</v>
      </c>
      <c r="H53" s="13">
        <f t="shared" si="8"/>
        <v>665.61224262616565</v>
      </c>
      <c r="I53" s="13">
        <f t="shared" si="8"/>
        <v>0</v>
      </c>
      <c r="J53" s="13">
        <f t="shared" si="8"/>
        <v>0</v>
      </c>
      <c r="K53" s="13">
        <f t="shared" si="8"/>
        <v>0</v>
      </c>
      <c r="L53" s="13">
        <f t="shared" si="8"/>
        <v>19358.85578515815</v>
      </c>
      <c r="M53" s="13">
        <f t="shared" si="8"/>
        <v>19358.85578515815</v>
      </c>
      <c r="N53" s="13">
        <f t="shared" si="8"/>
        <v>0</v>
      </c>
      <c r="O53" s="13">
        <f t="shared" si="8"/>
        <v>0</v>
      </c>
      <c r="P53" s="13">
        <f t="shared" si="8"/>
        <v>0</v>
      </c>
      <c r="Q53" s="13">
        <f t="shared" si="8"/>
        <v>0</v>
      </c>
      <c r="R53" s="13">
        <f t="shared" si="8"/>
        <v>0</v>
      </c>
      <c r="S53" s="13">
        <f t="shared" si="8"/>
        <v>0</v>
      </c>
      <c r="T53" s="13">
        <f t="shared" si="8"/>
        <v>0</v>
      </c>
      <c r="U53" s="13">
        <f t="shared" si="8"/>
        <v>31142.529954205369</v>
      </c>
      <c r="V53" s="13">
        <f t="shared" si="8"/>
        <v>0</v>
      </c>
      <c r="W53" s="13">
        <f t="shared" si="8"/>
        <v>31142.529954205369</v>
      </c>
      <c r="X53" s="13">
        <f t="shared" si="8"/>
        <v>31142.529954205369</v>
      </c>
      <c r="Y53" s="13">
        <f t="shared" si="8"/>
        <v>0</v>
      </c>
      <c r="Z53" s="13">
        <f t="shared" si="8"/>
        <v>49147.016456078338</v>
      </c>
    </row>
    <row r="54" spans="1:26" ht="10.5" x14ac:dyDescent="0.25">
      <c r="A54" s="7" t="s">
        <v>102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x14ac:dyDescent="0.2">
      <c r="A55" s="8" t="s">
        <v>103</v>
      </c>
      <c r="B55" s="11">
        <v>0</v>
      </c>
      <c r="C55" s="11">
        <v>0</v>
      </c>
      <c r="D55" s="11">
        <v>0</v>
      </c>
      <c r="E55" s="11">
        <v>4063.1705852169907</v>
      </c>
      <c r="F55" s="11">
        <v>0</v>
      </c>
      <c r="G55" s="11">
        <v>2064.9802186960333</v>
      </c>
      <c r="H55" s="11">
        <f>SUM(C55:G55)</f>
        <v>6128.150803913024</v>
      </c>
      <c r="I55" s="11">
        <v>13023.772726653166</v>
      </c>
      <c r="J55" s="11">
        <v>0</v>
      </c>
      <c r="K55" s="11">
        <v>0</v>
      </c>
      <c r="L55" s="11">
        <v>44504.095374964512</v>
      </c>
      <c r="M55" s="11">
        <f>SUM(I55:L55)</f>
        <v>57527.868101617678</v>
      </c>
      <c r="N55" s="11">
        <v>0</v>
      </c>
      <c r="O55" s="11">
        <v>0</v>
      </c>
      <c r="P55" s="11">
        <v>0</v>
      </c>
      <c r="Q55" s="11">
        <v>0</v>
      </c>
      <c r="R55" s="11">
        <f>SUM(O55:Q55)</f>
        <v>0</v>
      </c>
      <c r="S55" s="11">
        <v>0</v>
      </c>
      <c r="T55" s="11">
        <v>0</v>
      </c>
      <c r="U55" s="11">
        <v>33014.155322191604</v>
      </c>
      <c r="V55" s="11">
        <v>0</v>
      </c>
      <c r="W55" s="11">
        <f>SUM(S55:V55)</f>
        <v>33014.155322191604</v>
      </c>
      <c r="X55" s="11">
        <f>SUM(N55,R55,W55)</f>
        <v>33014.155322191604</v>
      </c>
      <c r="Y55" s="11">
        <v>8792.5675909720394</v>
      </c>
      <c r="Z55" s="11">
        <f>SUM(B55,H55,M55,X55:Y55)</f>
        <v>105462.74181869435</v>
      </c>
    </row>
    <row r="56" spans="1:26" x14ac:dyDescent="0.2">
      <c r="A56" s="8" t="s">
        <v>104</v>
      </c>
      <c r="B56" s="11">
        <v>0</v>
      </c>
      <c r="C56" s="11">
        <v>0</v>
      </c>
      <c r="D56" s="11">
        <v>17275.363086167668</v>
      </c>
      <c r="E56" s="11">
        <v>16611.76988710482</v>
      </c>
      <c r="F56" s="11">
        <v>0</v>
      </c>
      <c r="G56" s="11">
        <v>589.44689927451304</v>
      </c>
      <c r="H56" s="11">
        <f>SUM(C56:G56)</f>
        <v>34476.579872546994</v>
      </c>
      <c r="I56" s="11">
        <v>0</v>
      </c>
      <c r="J56" s="11">
        <v>299.75197916590292</v>
      </c>
      <c r="K56" s="11">
        <v>0</v>
      </c>
      <c r="L56" s="11">
        <v>67779.59427938037</v>
      </c>
      <c r="M56" s="11">
        <f>SUM(I56:L56)</f>
        <v>68079.346258546269</v>
      </c>
      <c r="N56" s="11">
        <v>0</v>
      </c>
      <c r="O56" s="11">
        <v>0</v>
      </c>
      <c r="P56" s="11">
        <v>0</v>
      </c>
      <c r="Q56" s="11">
        <v>2837.3047539743261</v>
      </c>
      <c r="R56" s="11">
        <f>SUM(O56:Q56)</f>
        <v>2837.3047539743261</v>
      </c>
      <c r="S56" s="11">
        <v>42808.344620107127</v>
      </c>
      <c r="T56" s="11">
        <v>0</v>
      </c>
      <c r="U56" s="11">
        <v>90800.964142314639</v>
      </c>
      <c r="V56" s="11">
        <v>0</v>
      </c>
      <c r="W56" s="11">
        <f>SUM(S56:V56)</f>
        <v>133609.30876242177</v>
      </c>
      <c r="X56" s="11">
        <f>SUM(N56,R56,W56)</f>
        <v>136446.61351639609</v>
      </c>
      <c r="Y56" s="11">
        <v>30336.252702234775</v>
      </c>
      <c r="Z56" s="11">
        <f>SUM(B56,H56,M56,X56:Y56)</f>
        <v>269338.7923497241</v>
      </c>
    </row>
    <row r="57" spans="1:26" ht="10.5" x14ac:dyDescent="0.25">
      <c r="A57" s="12" t="s">
        <v>105</v>
      </c>
      <c r="B57" s="13">
        <f t="shared" ref="B57:Z57" si="9">SUM(B55:B56)</f>
        <v>0</v>
      </c>
      <c r="C57" s="13">
        <f t="shared" si="9"/>
        <v>0</v>
      </c>
      <c r="D57" s="13">
        <f t="shared" si="9"/>
        <v>17275.363086167668</v>
      </c>
      <c r="E57" s="13">
        <f t="shared" si="9"/>
        <v>20674.94047232181</v>
      </c>
      <c r="F57" s="13">
        <f t="shared" si="9"/>
        <v>0</v>
      </c>
      <c r="G57" s="13">
        <f t="shared" si="9"/>
        <v>2654.4271179705465</v>
      </c>
      <c r="H57" s="13">
        <f t="shared" si="9"/>
        <v>40604.730676460022</v>
      </c>
      <c r="I57" s="13">
        <f t="shared" si="9"/>
        <v>13023.772726653166</v>
      </c>
      <c r="J57" s="13">
        <f t="shared" si="9"/>
        <v>299.75197916590292</v>
      </c>
      <c r="K57" s="13">
        <f t="shared" si="9"/>
        <v>0</v>
      </c>
      <c r="L57" s="13">
        <f t="shared" si="9"/>
        <v>112283.68965434488</v>
      </c>
      <c r="M57" s="13">
        <f t="shared" si="9"/>
        <v>125607.21436016395</v>
      </c>
      <c r="N57" s="13">
        <f t="shared" si="9"/>
        <v>0</v>
      </c>
      <c r="O57" s="13">
        <f t="shared" si="9"/>
        <v>0</v>
      </c>
      <c r="P57" s="13">
        <f t="shared" si="9"/>
        <v>0</v>
      </c>
      <c r="Q57" s="13">
        <f t="shared" si="9"/>
        <v>2837.3047539743261</v>
      </c>
      <c r="R57" s="13">
        <f t="shared" si="9"/>
        <v>2837.3047539743261</v>
      </c>
      <c r="S57" s="13">
        <f t="shared" si="9"/>
        <v>42808.344620107127</v>
      </c>
      <c r="T57" s="13">
        <f t="shared" si="9"/>
        <v>0</v>
      </c>
      <c r="U57" s="13">
        <f t="shared" si="9"/>
        <v>123815.11946450625</v>
      </c>
      <c r="V57" s="13">
        <f t="shared" si="9"/>
        <v>0</v>
      </c>
      <c r="W57" s="13">
        <f t="shared" si="9"/>
        <v>166623.46408461337</v>
      </c>
      <c r="X57" s="13">
        <f t="shared" si="9"/>
        <v>169460.76883858768</v>
      </c>
      <c r="Y57" s="13">
        <f t="shared" si="9"/>
        <v>39128.820293206816</v>
      </c>
      <c r="Z57" s="13">
        <f t="shared" si="9"/>
        <v>374801.53416841844</v>
      </c>
    </row>
    <row r="58" spans="1:26" ht="10.5" x14ac:dyDescent="0.25">
      <c r="A58" s="7" t="s">
        <v>106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x14ac:dyDescent="0.2">
      <c r="A59" s="8" t="s">
        <v>107</v>
      </c>
      <c r="B59" s="11">
        <v>0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f>SUM(C59:G59)</f>
        <v>0</v>
      </c>
      <c r="I59" s="11">
        <v>0</v>
      </c>
      <c r="J59" s="11">
        <v>0</v>
      </c>
      <c r="K59" s="11">
        <v>0</v>
      </c>
      <c r="L59" s="11">
        <v>0</v>
      </c>
      <c r="M59" s="11">
        <f>SUM(I59:L59)</f>
        <v>0</v>
      </c>
      <c r="N59" s="11">
        <v>0</v>
      </c>
      <c r="O59" s="11">
        <v>0</v>
      </c>
      <c r="P59" s="11">
        <v>0</v>
      </c>
      <c r="Q59" s="11">
        <v>0</v>
      </c>
      <c r="R59" s="11">
        <f>SUM(O59:Q59)</f>
        <v>0</v>
      </c>
      <c r="S59" s="11">
        <v>0</v>
      </c>
      <c r="T59" s="11">
        <v>0</v>
      </c>
      <c r="U59" s="11">
        <v>3372.8537475666076</v>
      </c>
      <c r="V59" s="11">
        <v>0</v>
      </c>
      <c r="W59" s="11">
        <f>SUM(S59:V59)</f>
        <v>3372.8537475666076</v>
      </c>
      <c r="X59" s="11">
        <f>SUM(N59,R59,W59)</f>
        <v>3372.8537475666076</v>
      </c>
      <c r="Y59" s="11">
        <v>590.28987640691082</v>
      </c>
      <c r="Z59" s="11">
        <f>SUM(B59,H59,M59,X59:Y59)</f>
        <v>3963.1436239735185</v>
      </c>
    </row>
    <row r="60" spans="1:26" x14ac:dyDescent="0.2">
      <c r="A60" s="8" t="s">
        <v>108</v>
      </c>
      <c r="B60" s="11">
        <v>0</v>
      </c>
      <c r="C60" s="11">
        <v>0</v>
      </c>
      <c r="D60" s="11">
        <v>0</v>
      </c>
      <c r="E60" s="11">
        <v>0</v>
      </c>
      <c r="F60" s="11">
        <v>0</v>
      </c>
      <c r="G60" s="11">
        <v>0</v>
      </c>
      <c r="H60" s="11">
        <f>SUM(C60:G60)</f>
        <v>0</v>
      </c>
      <c r="I60" s="11">
        <v>0</v>
      </c>
      <c r="J60" s="11">
        <v>0</v>
      </c>
      <c r="K60" s="11">
        <v>0</v>
      </c>
      <c r="L60" s="11">
        <v>19.205683483946547</v>
      </c>
      <c r="M60" s="11">
        <f>SUM(I60:L60)</f>
        <v>19.205683483946547</v>
      </c>
      <c r="N60" s="11">
        <v>0</v>
      </c>
      <c r="O60" s="11">
        <v>0</v>
      </c>
      <c r="P60" s="11">
        <v>0</v>
      </c>
      <c r="Q60" s="11">
        <v>0</v>
      </c>
      <c r="R60" s="11">
        <f>SUM(O60:Q60)</f>
        <v>0</v>
      </c>
      <c r="S60" s="11">
        <v>0</v>
      </c>
      <c r="T60" s="11">
        <v>0</v>
      </c>
      <c r="U60" s="11">
        <v>837.06155441609519</v>
      </c>
      <c r="V60" s="11">
        <v>0</v>
      </c>
      <c r="W60" s="11">
        <f>SUM(S60:V60)</f>
        <v>837.06155441609519</v>
      </c>
      <c r="X60" s="11">
        <f>SUM(N60,R60,W60)</f>
        <v>837.06155441609519</v>
      </c>
      <c r="Y60" s="11">
        <v>474.71453043756151</v>
      </c>
      <c r="Z60" s="11">
        <f>SUM(B60,H60,M60,X60:Y60)</f>
        <v>1330.9817683376032</v>
      </c>
    </row>
    <row r="61" spans="1:26" ht="10.5" x14ac:dyDescent="0.25">
      <c r="A61" s="12" t="s">
        <v>109</v>
      </c>
      <c r="B61" s="13">
        <f t="shared" ref="B61:Z61" si="10">SUM(B59:B60)</f>
        <v>0</v>
      </c>
      <c r="C61" s="13">
        <f t="shared" si="10"/>
        <v>0</v>
      </c>
      <c r="D61" s="13">
        <f t="shared" si="10"/>
        <v>0</v>
      </c>
      <c r="E61" s="13">
        <f t="shared" si="10"/>
        <v>0</v>
      </c>
      <c r="F61" s="13">
        <f t="shared" si="10"/>
        <v>0</v>
      </c>
      <c r="G61" s="13">
        <f t="shared" si="10"/>
        <v>0</v>
      </c>
      <c r="H61" s="13">
        <f t="shared" si="10"/>
        <v>0</v>
      </c>
      <c r="I61" s="13">
        <f t="shared" si="10"/>
        <v>0</v>
      </c>
      <c r="J61" s="13">
        <f t="shared" si="10"/>
        <v>0</v>
      </c>
      <c r="K61" s="13">
        <f t="shared" si="10"/>
        <v>0</v>
      </c>
      <c r="L61" s="13">
        <f t="shared" si="10"/>
        <v>19.205683483946547</v>
      </c>
      <c r="M61" s="13">
        <f t="shared" si="10"/>
        <v>19.205683483946547</v>
      </c>
      <c r="N61" s="13">
        <f t="shared" si="10"/>
        <v>0</v>
      </c>
      <c r="O61" s="13">
        <f t="shared" si="10"/>
        <v>0</v>
      </c>
      <c r="P61" s="13">
        <f t="shared" si="10"/>
        <v>0</v>
      </c>
      <c r="Q61" s="13">
        <f t="shared" si="10"/>
        <v>0</v>
      </c>
      <c r="R61" s="13">
        <f t="shared" si="10"/>
        <v>0</v>
      </c>
      <c r="S61" s="13">
        <f t="shared" si="10"/>
        <v>0</v>
      </c>
      <c r="T61" s="13">
        <f t="shared" si="10"/>
        <v>0</v>
      </c>
      <c r="U61" s="13">
        <f t="shared" si="10"/>
        <v>4209.9153019827027</v>
      </c>
      <c r="V61" s="13">
        <f t="shared" si="10"/>
        <v>0</v>
      </c>
      <c r="W61" s="13">
        <f t="shared" si="10"/>
        <v>4209.9153019827027</v>
      </c>
      <c r="X61" s="13">
        <f t="shared" si="10"/>
        <v>4209.9153019827027</v>
      </c>
      <c r="Y61" s="13">
        <f t="shared" si="10"/>
        <v>1065.0044068444722</v>
      </c>
      <c r="Z61" s="13">
        <f t="shared" si="10"/>
        <v>5294.1253923111217</v>
      </c>
    </row>
    <row r="62" spans="1:26" ht="10.5" x14ac:dyDescent="0.25">
      <c r="A62" s="7" t="s">
        <v>110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x14ac:dyDescent="0.2">
      <c r="A63" s="8" t="s">
        <v>111</v>
      </c>
      <c r="B63" s="11">
        <v>0</v>
      </c>
      <c r="C63" s="11">
        <v>0</v>
      </c>
      <c r="D63" s="11">
        <v>566.17690963771474</v>
      </c>
      <c r="E63" s="11">
        <v>0</v>
      </c>
      <c r="F63" s="11">
        <v>0</v>
      </c>
      <c r="G63" s="11">
        <v>4434.7590592233137</v>
      </c>
      <c r="H63" s="11">
        <f t="shared" ref="H63:H71" si="11">SUM(C63:G63)</f>
        <v>5000.9359688610284</v>
      </c>
      <c r="I63" s="11">
        <v>0</v>
      </c>
      <c r="J63" s="11">
        <v>0</v>
      </c>
      <c r="K63" s="11">
        <v>0</v>
      </c>
      <c r="L63" s="11">
        <v>12648.306578323729</v>
      </c>
      <c r="M63" s="11">
        <f t="shared" ref="M63:M71" si="12">SUM(I63:L63)</f>
        <v>12648.306578323729</v>
      </c>
      <c r="N63" s="11">
        <v>0</v>
      </c>
      <c r="O63" s="11">
        <v>0</v>
      </c>
      <c r="P63" s="11">
        <v>0</v>
      </c>
      <c r="Q63" s="11">
        <v>0</v>
      </c>
      <c r="R63" s="11">
        <f t="shared" ref="R63:R71" si="13">SUM(O63:Q63)</f>
        <v>0</v>
      </c>
      <c r="S63" s="11">
        <v>0</v>
      </c>
      <c r="T63" s="11">
        <v>0</v>
      </c>
      <c r="U63" s="11">
        <v>3115.0474499331408</v>
      </c>
      <c r="V63" s="11">
        <v>65.173843190410921</v>
      </c>
      <c r="W63" s="11">
        <f t="shared" ref="W63:W71" si="14">SUM(S63:V63)</f>
        <v>3180.2212931235517</v>
      </c>
      <c r="X63" s="11">
        <f t="shared" ref="X63:X71" si="15">SUM(N63,R63,W63)</f>
        <v>3180.2212931235517</v>
      </c>
      <c r="Y63" s="11">
        <v>873.8380588630381</v>
      </c>
      <c r="Z63" s="11">
        <f t="shared" ref="Z63:Z71" si="16">SUM(B63,H63,M63,X63:Y63)</f>
        <v>21703.301899171347</v>
      </c>
    </row>
    <row r="64" spans="1:26" x14ac:dyDescent="0.2">
      <c r="A64" s="8" t="s">
        <v>112</v>
      </c>
      <c r="B64" s="11">
        <v>0</v>
      </c>
      <c r="C64" s="11">
        <v>0</v>
      </c>
      <c r="D64" s="11">
        <v>611.33163196824592</v>
      </c>
      <c r="E64" s="11">
        <v>0</v>
      </c>
      <c r="F64" s="11">
        <v>0</v>
      </c>
      <c r="G64" s="11">
        <v>230.14859530443616</v>
      </c>
      <c r="H64" s="11">
        <f t="shared" si="11"/>
        <v>841.4802272726821</v>
      </c>
      <c r="I64" s="11">
        <v>0</v>
      </c>
      <c r="J64" s="11">
        <v>0</v>
      </c>
      <c r="K64" s="11">
        <v>0</v>
      </c>
      <c r="L64" s="11">
        <v>40554.264156625912</v>
      </c>
      <c r="M64" s="11">
        <f t="shared" si="12"/>
        <v>40554.264156625912</v>
      </c>
      <c r="N64" s="11">
        <v>0</v>
      </c>
      <c r="O64" s="11">
        <v>0</v>
      </c>
      <c r="P64" s="11">
        <v>0</v>
      </c>
      <c r="Q64" s="11">
        <v>0</v>
      </c>
      <c r="R64" s="11">
        <f t="shared" si="13"/>
        <v>0</v>
      </c>
      <c r="S64" s="11">
        <v>541.23291206880936</v>
      </c>
      <c r="T64" s="11">
        <v>0</v>
      </c>
      <c r="U64" s="11">
        <v>6238.0110806589937</v>
      </c>
      <c r="V64" s="11">
        <v>355.39683492966617</v>
      </c>
      <c r="W64" s="11">
        <f t="shared" si="14"/>
        <v>7134.6408276574693</v>
      </c>
      <c r="X64" s="11">
        <f t="shared" si="15"/>
        <v>7134.6408276574693</v>
      </c>
      <c r="Y64" s="11">
        <v>-1065.9649720367704</v>
      </c>
      <c r="Z64" s="11">
        <f t="shared" si="16"/>
        <v>47464.420239519291</v>
      </c>
    </row>
    <row r="65" spans="1:26" x14ac:dyDescent="0.2">
      <c r="A65" s="8" t="s">
        <v>113</v>
      </c>
      <c r="B65" s="11">
        <v>0</v>
      </c>
      <c r="C65" s="11">
        <v>0</v>
      </c>
      <c r="D65" s="11">
        <v>0</v>
      </c>
      <c r="E65" s="11">
        <v>0</v>
      </c>
      <c r="F65" s="11">
        <v>0</v>
      </c>
      <c r="G65" s="11">
        <v>4272.7533412534913</v>
      </c>
      <c r="H65" s="11">
        <f t="shared" si="11"/>
        <v>4272.7533412534913</v>
      </c>
      <c r="I65" s="11">
        <v>0</v>
      </c>
      <c r="J65" s="11">
        <v>0</v>
      </c>
      <c r="K65" s="11">
        <v>0</v>
      </c>
      <c r="L65" s="11">
        <v>29879.359273787406</v>
      </c>
      <c r="M65" s="11">
        <f t="shared" si="12"/>
        <v>29879.359273787406</v>
      </c>
      <c r="N65" s="11">
        <v>0</v>
      </c>
      <c r="O65" s="11">
        <v>0</v>
      </c>
      <c r="P65" s="11">
        <v>0</v>
      </c>
      <c r="Q65" s="11">
        <v>0</v>
      </c>
      <c r="R65" s="11">
        <f t="shared" si="13"/>
        <v>0</v>
      </c>
      <c r="S65" s="11">
        <v>564.48274180615715</v>
      </c>
      <c r="T65" s="11">
        <v>0</v>
      </c>
      <c r="U65" s="11">
        <v>3003.9022965136987</v>
      </c>
      <c r="V65" s="11">
        <v>0</v>
      </c>
      <c r="W65" s="11">
        <f t="shared" si="14"/>
        <v>3568.385038319856</v>
      </c>
      <c r="X65" s="11">
        <f t="shared" si="15"/>
        <v>3568.385038319856</v>
      </c>
      <c r="Y65" s="11">
        <v>467.78861077708405</v>
      </c>
      <c r="Z65" s="11">
        <f t="shared" si="16"/>
        <v>38188.286264137838</v>
      </c>
    </row>
    <row r="66" spans="1:26" x14ac:dyDescent="0.2">
      <c r="A66" s="8" t="s">
        <v>114</v>
      </c>
      <c r="B66" s="11">
        <v>0</v>
      </c>
      <c r="C66" s="11">
        <v>0</v>
      </c>
      <c r="D66" s="11">
        <v>50.789680341458798</v>
      </c>
      <c r="E66" s="11">
        <v>0</v>
      </c>
      <c r="F66" s="11">
        <v>0</v>
      </c>
      <c r="G66" s="11">
        <v>0</v>
      </c>
      <c r="H66" s="11">
        <f t="shared" si="11"/>
        <v>50.789680341458798</v>
      </c>
      <c r="I66" s="11">
        <v>0</v>
      </c>
      <c r="J66" s="11">
        <v>0</v>
      </c>
      <c r="K66" s="11">
        <v>0</v>
      </c>
      <c r="L66" s="11">
        <v>-38336.440632013</v>
      </c>
      <c r="M66" s="11">
        <f t="shared" si="12"/>
        <v>-38336.440632013</v>
      </c>
      <c r="N66" s="11">
        <v>0</v>
      </c>
      <c r="O66" s="11">
        <v>0</v>
      </c>
      <c r="P66" s="11">
        <v>0</v>
      </c>
      <c r="Q66" s="11">
        <v>0</v>
      </c>
      <c r="R66" s="11">
        <f t="shared" si="13"/>
        <v>0</v>
      </c>
      <c r="S66" s="11">
        <v>39.704817114243788</v>
      </c>
      <c r="T66" s="11">
        <v>0</v>
      </c>
      <c r="U66" s="11">
        <v>2203.2660269804373</v>
      </c>
      <c r="V66" s="11">
        <v>0</v>
      </c>
      <c r="W66" s="11">
        <f t="shared" si="14"/>
        <v>2242.9708440946811</v>
      </c>
      <c r="X66" s="11">
        <f t="shared" si="15"/>
        <v>2242.9708440946811</v>
      </c>
      <c r="Y66" s="11">
        <v>-3889.4147132107782</v>
      </c>
      <c r="Z66" s="11">
        <f t="shared" si="16"/>
        <v>-39932.094820787635</v>
      </c>
    </row>
    <row r="67" spans="1:26" x14ac:dyDescent="0.2">
      <c r="A67" s="8" t="s">
        <v>115</v>
      </c>
      <c r="B67" s="11">
        <v>0</v>
      </c>
      <c r="C67" s="11">
        <v>0</v>
      </c>
      <c r="D67" s="11">
        <v>0</v>
      </c>
      <c r="E67" s="11">
        <v>0</v>
      </c>
      <c r="F67" s="11">
        <v>0</v>
      </c>
      <c r="G67" s="11">
        <v>0</v>
      </c>
      <c r="H67" s="11">
        <f t="shared" si="11"/>
        <v>0</v>
      </c>
      <c r="I67" s="11">
        <v>0</v>
      </c>
      <c r="J67" s="11">
        <v>0</v>
      </c>
      <c r="K67" s="11">
        <v>0</v>
      </c>
      <c r="L67" s="11">
        <v>0</v>
      </c>
      <c r="M67" s="11">
        <f t="shared" si="12"/>
        <v>0</v>
      </c>
      <c r="N67" s="11">
        <v>0</v>
      </c>
      <c r="O67" s="11">
        <v>0</v>
      </c>
      <c r="P67" s="11">
        <v>0</v>
      </c>
      <c r="Q67" s="11">
        <v>0</v>
      </c>
      <c r="R67" s="11">
        <f t="shared" si="13"/>
        <v>0</v>
      </c>
      <c r="S67" s="11">
        <v>0</v>
      </c>
      <c r="T67" s="11">
        <v>0</v>
      </c>
      <c r="U67" s="11">
        <v>24.538659146390458</v>
      </c>
      <c r="V67" s="11">
        <v>0</v>
      </c>
      <c r="W67" s="11">
        <f t="shared" si="14"/>
        <v>24.538659146390458</v>
      </c>
      <c r="X67" s="11">
        <f t="shared" si="15"/>
        <v>24.538659146390458</v>
      </c>
      <c r="Y67" s="11">
        <v>0</v>
      </c>
      <c r="Z67" s="11">
        <f t="shared" si="16"/>
        <v>24.538659146390458</v>
      </c>
    </row>
    <row r="68" spans="1:26" x14ac:dyDescent="0.2">
      <c r="A68" s="8" t="s">
        <v>116</v>
      </c>
      <c r="B68" s="11">
        <v>0</v>
      </c>
      <c r="C68" s="11">
        <v>0</v>
      </c>
      <c r="D68" s="11">
        <v>0</v>
      </c>
      <c r="E68" s="11">
        <v>0</v>
      </c>
      <c r="F68" s="11">
        <v>0</v>
      </c>
      <c r="G68" s="11">
        <v>0</v>
      </c>
      <c r="H68" s="11">
        <f t="shared" si="11"/>
        <v>0</v>
      </c>
      <c r="I68" s="11">
        <v>0</v>
      </c>
      <c r="J68" s="11">
        <v>0</v>
      </c>
      <c r="K68" s="11">
        <v>0</v>
      </c>
      <c r="L68" s="11">
        <v>5034.6081758238661</v>
      </c>
      <c r="M68" s="11">
        <f t="shared" si="12"/>
        <v>5034.6081758238661</v>
      </c>
      <c r="N68" s="11">
        <v>0</v>
      </c>
      <c r="O68" s="11">
        <v>0</v>
      </c>
      <c r="P68" s="11">
        <v>0</v>
      </c>
      <c r="Q68" s="11">
        <v>0</v>
      </c>
      <c r="R68" s="11">
        <f t="shared" si="13"/>
        <v>0</v>
      </c>
      <c r="S68" s="11">
        <v>0</v>
      </c>
      <c r="T68" s="11">
        <v>0</v>
      </c>
      <c r="U68" s="11">
        <v>0</v>
      </c>
      <c r="V68" s="11">
        <v>0</v>
      </c>
      <c r="W68" s="11">
        <f t="shared" si="14"/>
        <v>0</v>
      </c>
      <c r="X68" s="11">
        <f t="shared" si="15"/>
        <v>0</v>
      </c>
      <c r="Y68" s="11">
        <v>157.26119906124055</v>
      </c>
      <c r="Z68" s="11">
        <f t="shared" si="16"/>
        <v>5191.8693748851065</v>
      </c>
    </row>
    <row r="69" spans="1:26" x14ac:dyDescent="0.2">
      <c r="A69" s="8" t="s">
        <v>117</v>
      </c>
      <c r="B69" s="11">
        <v>0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f t="shared" si="11"/>
        <v>0</v>
      </c>
      <c r="I69" s="11">
        <v>0</v>
      </c>
      <c r="J69" s="11">
        <v>0</v>
      </c>
      <c r="K69" s="11">
        <v>0</v>
      </c>
      <c r="L69" s="11">
        <v>0</v>
      </c>
      <c r="M69" s="11">
        <f t="shared" si="12"/>
        <v>0</v>
      </c>
      <c r="N69" s="11">
        <v>0</v>
      </c>
      <c r="O69" s="11">
        <v>0</v>
      </c>
      <c r="P69" s="11">
        <v>0</v>
      </c>
      <c r="Q69" s="11">
        <v>0</v>
      </c>
      <c r="R69" s="11">
        <f t="shared" si="13"/>
        <v>0</v>
      </c>
      <c r="S69" s="11">
        <v>0</v>
      </c>
      <c r="T69" s="11">
        <v>0</v>
      </c>
      <c r="U69" s="11">
        <v>8845.6076394276479</v>
      </c>
      <c r="V69" s="11">
        <v>0</v>
      </c>
      <c r="W69" s="11">
        <f t="shared" si="14"/>
        <v>8845.6076394276479</v>
      </c>
      <c r="X69" s="11">
        <f t="shared" si="15"/>
        <v>8845.6076394276479</v>
      </c>
      <c r="Y69" s="11">
        <v>2962.9273019117177</v>
      </c>
      <c r="Z69" s="11">
        <f t="shared" si="16"/>
        <v>11808.534941339365</v>
      </c>
    </row>
    <row r="70" spans="1:26" x14ac:dyDescent="0.2">
      <c r="A70" s="8" t="s">
        <v>118</v>
      </c>
      <c r="B70" s="11">
        <v>0</v>
      </c>
      <c r="C70" s="11">
        <v>0</v>
      </c>
      <c r="D70" s="11">
        <v>0</v>
      </c>
      <c r="E70" s="11">
        <v>0</v>
      </c>
      <c r="F70" s="11">
        <v>0</v>
      </c>
      <c r="G70" s="11">
        <v>392.7129818149881</v>
      </c>
      <c r="H70" s="11">
        <f t="shared" si="11"/>
        <v>392.7129818149881</v>
      </c>
      <c r="I70" s="11">
        <v>0</v>
      </c>
      <c r="J70" s="11">
        <v>0</v>
      </c>
      <c r="K70" s="11">
        <v>0</v>
      </c>
      <c r="L70" s="11">
        <v>5421.9653869589038</v>
      </c>
      <c r="M70" s="11">
        <f t="shared" si="12"/>
        <v>5421.9653869589038</v>
      </c>
      <c r="N70" s="11">
        <v>0</v>
      </c>
      <c r="O70" s="11">
        <v>0</v>
      </c>
      <c r="P70" s="11">
        <v>0</v>
      </c>
      <c r="Q70" s="11">
        <v>0</v>
      </c>
      <c r="R70" s="11">
        <f t="shared" si="13"/>
        <v>0</v>
      </c>
      <c r="S70" s="11">
        <v>0</v>
      </c>
      <c r="T70" s="11">
        <v>0</v>
      </c>
      <c r="U70" s="11">
        <v>2690.8009260235208</v>
      </c>
      <c r="V70" s="11">
        <v>0</v>
      </c>
      <c r="W70" s="11">
        <f t="shared" si="14"/>
        <v>2690.8009260235208</v>
      </c>
      <c r="X70" s="11">
        <f t="shared" si="15"/>
        <v>2690.8009260235208</v>
      </c>
      <c r="Y70" s="11">
        <v>2610.3140186621004</v>
      </c>
      <c r="Z70" s="11">
        <f t="shared" si="16"/>
        <v>11115.793313459513</v>
      </c>
    </row>
    <row r="71" spans="1:26" x14ac:dyDescent="0.2">
      <c r="A71" s="8" t="s">
        <v>119</v>
      </c>
      <c r="B71" s="11">
        <v>0</v>
      </c>
      <c r="C71" s="11">
        <v>0</v>
      </c>
      <c r="D71" s="11">
        <v>75.116208537176547</v>
      </c>
      <c r="E71" s="11">
        <v>0</v>
      </c>
      <c r="F71" s="11">
        <v>0</v>
      </c>
      <c r="G71" s="11">
        <v>2418.8973011846729</v>
      </c>
      <c r="H71" s="11">
        <f t="shared" si="11"/>
        <v>2494.0135097218495</v>
      </c>
      <c r="I71" s="11">
        <v>0</v>
      </c>
      <c r="J71" s="11">
        <v>0</v>
      </c>
      <c r="K71" s="11">
        <v>0</v>
      </c>
      <c r="L71" s="11">
        <v>6591.190026573161</v>
      </c>
      <c r="M71" s="11">
        <f t="shared" si="12"/>
        <v>6591.190026573161</v>
      </c>
      <c r="N71" s="11">
        <v>0</v>
      </c>
      <c r="O71" s="11">
        <v>0</v>
      </c>
      <c r="P71" s="11">
        <v>0</v>
      </c>
      <c r="Q71" s="11">
        <v>0</v>
      </c>
      <c r="R71" s="11">
        <f t="shared" si="13"/>
        <v>0</v>
      </c>
      <c r="S71" s="11">
        <v>0</v>
      </c>
      <c r="T71" s="11">
        <v>0</v>
      </c>
      <c r="U71" s="11">
        <v>3491.909660090208</v>
      </c>
      <c r="V71" s="11">
        <v>98.622536353520175</v>
      </c>
      <c r="W71" s="11">
        <f t="shared" si="14"/>
        <v>3590.532196443728</v>
      </c>
      <c r="X71" s="11">
        <f t="shared" si="15"/>
        <v>3590.532196443728</v>
      </c>
      <c r="Y71" s="11">
        <v>806.54882809176581</v>
      </c>
      <c r="Z71" s="11">
        <f t="shared" si="16"/>
        <v>13482.284560830503</v>
      </c>
    </row>
    <row r="72" spans="1:26" ht="10.5" x14ac:dyDescent="0.25">
      <c r="A72" s="12" t="s">
        <v>120</v>
      </c>
      <c r="B72" s="13">
        <f t="shared" ref="B72:Z72" si="17">SUM(B63:B71)</f>
        <v>0</v>
      </c>
      <c r="C72" s="13">
        <f t="shared" si="17"/>
        <v>0</v>
      </c>
      <c r="D72" s="13">
        <f t="shared" si="17"/>
        <v>1303.4144304845959</v>
      </c>
      <c r="E72" s="13">
        <f t="shared" si="17"/>
        <v>0</v>
      </c>
      <c r="F72" s="13">
        <f t="shared" si="17"/>
        <v>0</v>
      </c>
      <c r="G72" s="13">
        <f t="shared" si="17"/>
        <v>11749.2712787809</v>
      </c>
      <c r="H72" s="13">
        <f t="shared" si="17"/>
        <v>13052.685709265499</v>
      </c>
      <c r="I72" s="13">
        <f t="shared" si="17"/>
        <v>0</v>
      </c>
      <c r="J72" s="13">
        <f t="shared" si="17"/>
        <v>0</v>
      </c>
      <c r="K72" s="13">
        <f t="shared" si="17"/>
        <v>0</v>
      </c>
      <c r="L72" s="13">
        <f t="shared" si="17"/>
        <v>61793.252966079977</v>
      </c>
      <c r="M72" s="13">
        <f t="shared" si="17"/>
        <v>61793.252966079977</v>
      </c>
      <c r="N72" s="13">
        <f t="shared" si="17"/>
        <v>0</v>
      </c>
      <c r="O72" s="13">
        <f t="shared" si="17"/>
        <v>0</v>
      </c>
      <c r="P72" s="13">
        <f t="shared" si="17"/>
        <v>0</v>
      </c>
      <c r="Q72" s="13">
        <f t="shared" si="17"/>
        <v>0</v>
      </c>
      <c r="R72" s="13">
        <f t="shared" si="17"/>
        <v>0</v>
      </c>
      <c r="S72" s="13">
        <f t="shared" si="17"/>
        <v>1145.4204709892101</v>
      </c>
      <c r="T72" s="13">
        <f t="shared" si="17"/>
        <v>0</v>
      </c>
      <c r="U72" s="13">
        <f t="shared" si="17"/>
        <v>29613.083738774036</v>
      </c>
      <c r="V72" s="13">
        <f t="shared" si="17"/>
        <v>519.19321447359732</v>
      </c>
      <c r="W72" s="13">
        <f t="shared" si="17"/>
        <v>31277.697424236841</v>
      </c>
      <c r="X72" s="13">
        <f t="shared" si="17"/>
        <v>31277.697424236841</v>
      </c>
      <c r="Y72" s="13">
        <f t="shared" si="17"/>
        <v>2923.2983321193979</v>
      </c>
      <c r="Z72" s="13">
        <f t="shared" si="17"/>
        <v>109046.93443170172</v>
      </c>
    </row>
    <row r="73" spans="1:26" ht="10.5" x14ac:dyDescent="0.25">
      <c r="A73" s="7" t="s">
        <v>121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x14ac:dyDescent="0.2">
      <c r="A74" s="8" t="s">
        <v>122</v>
      </c>
      <c r="B74" s="11">
        <v>0</v>
      </c>
      <c r="C74" s="11">
        <v>0</v>
      </c>
      <c r="D74" s="11">
        <v>9702.5207263254906</v>
      </c>
      <c r="E74" s="11">
        <v>0</v>
      </c>
      <c r="F74" s="11">
        <v>0</v>
      </c>
      <c r="G74" s="11">
        <v>7045.0992271518207</v>
      </c>
      <c r="H74" s="11">
        <f>SUM(C74:G74)</f>
        <v>16747.619953477311</v>
      </c>
      <c r="I74" s="11">
        <v>0</v>
      </c>
      <c r="J74" s="11">
        <v>0</v>
      </c>
      <c r="K74" s="11">
        <v>0</v>
      </c>
      <c r="L74" s="11">
        <v>43056.317501809797</v>
      </c>
      <c r="M74" s="11">
        <f>SUM(I74:L74)</f>
        <v>43056.317501809797</v>
      </c>
      <c r="N74" s="11">
        <v>0</v>
      </c>
      <c r="O74" s="11">
        <v>2576.7199811299438</v>
      </c>
      <c r="P74" s="11">
        <v>0</v>
      </c>
      <c r="Q74" s="11">
        <v>0</v>
      </c>
      <c r="R74" s="11">
        <f>SUM(O74:Q74)</f>
        <v>2576.7199811299438</v>
      </c>
      <c r="S74" s="11">
        <v>0</v>
      </c>
      <c r="T74" s="11">
        <v>0</v>
      </c>
      <c r="U74" s="11">
        <v>12655.979933108172</v>
      </c>
      <c r="V74" s="11">
        <v>0</v>
      </c>
      <c r="W74" s="11">
        <f>SUM(S74:V74)</f>
        <v>12655.979933108172</v>
      </c>
      <c r="X74" s="11">
        <f>SUM(N74,R74,W74)</f>
        <v>15232.699914238116</v>
      </c>
      <c r="Y74" s="11">
        <v>196508.55773278937</v>
      </c>
      <c r="Z74" s="11">
        <f>SUM(B74,H74,M74,X74:Y74)</f>
        <v>271545.19510231458</v>
      </c>
    </row>
    <row r="75" spans="1:26" x14ac:dyDescent="0.2">
      <c r="A75" s="8" t="s">
        <v>123</v>
      </c>
      <c r="B75" s="11">
        <v>0</v>
      </c>
      <c r="C75" s="11">
        <v>2331.7721338708029</v>
      </c>
      <c r="D75" s="11">
        <v>1803.4558420910626</v>
      </c>
      <c r="E75" s="11">
        <v>2772.6537783883732</v>
      </c>
      <c r="F75" s="11">
        <v>0</v>
      </c>
      <c r="G75" s="11">
        <v>5096.2950651509364</v>
      </c>
      <c r="H75" s="11">
        <f>SUM(C75:G75)</f>
        <v>12004.176819501175</v>
      </c>
      <c r="I75" s="11">
        <v>0</v>
      </c>
      <c r="J75" s="11">
        <v>297.44118414505527</v>
      </c>
      <c r="K75" s="11">
        <v>1070.8412392347041</v>
      </c>
      <c r="L75" s="11">
        <v>9063.1274298342414</v>
      </c>
      <c r="M75" s="11">
        <f>SUM(I75:L75)</f>
        <v>10431.409853214001</v>
      </c>
      <c r="N75" s="11">
        <v>0</v>
      </c>
      <c r="O75" s="11">
        <v>277.40279316675407</v>
      </c>
      <c r="P75" s="11">
        <v>0</v>
      </c>
      <c r="Q75" s="11">
        <v>1419.1225589841795</v>
      </c>
      <c r="R75" s="11">
        <f>SUM(O75:Q75)</f>
        <v>1696.5253521509335</v>
      </c>
      <c r="S75" s="11">
        <v>6134.0246988916069</v>
      </c>
      <c r="T75" s="11">
        <v>0</v>
      </c>
      <c r="U75" s="11">
        <v>3964.1399588704558</v>
      </c>
      <c r="V75" s="11">
        <v>0</v>
      </c>
      <c r="W75" s="11">
        <f>SUM(S75:V75)</f>
        <v>10098.164657762063</v>
      </c>
      <c r="X75" s="11">
        <f>SUM(N75,R75,W75)</f>
        <v>11794.690009912996</v>
      </c>
      <c r="Y75" s="11">
        <v>31250.233055657081</v>
      </c>
      <c r="Z75" s="11">
        <f>SUM(B75,H75,M75,X75:Y75)</f>
        <v>65480.509738285255</v>
      </c>
    </row>
    <row r="76" spans="1:26" x14ac:dyDescent="0.2">
      <c r="A76" s="8" t="s">
        <v>124</v>
      </c>
      <c r="B76" s="11">
        <v>0</v>
      </c>
      <c r="C76" s="11">
        <v>0</v>
      </c>
      <c r="D76" s="11">
        <v>7395.7422304223564</v>
      </c>
      <c r="E76" s="11">
        <v>16906.841431167373</v>
      </c>
      <c r="F76" s="11">
        <v>0</v>
      </c>
      <c r="G76" s="11">
        <v>109770.92475233681</v>
      </c>
      <c r="H76" s="11">
        <f>SUM(C76:G76)</f>
        <v>134073.50841392652</v>
      </c>
      <c r="I76" s="11">
        <v>0</v>
      </c>
      <c r="J76" s="11">
        <v>0</v>
      </c>
      <c r="K76" s="11">
        <v>0</v>
      </c>
      <c r="L76" s="11">
        <v>15525</v>
      </c>
      <c r="M76" s="11">
        <f>SUM(I76:L76)</f>
        <v>15525</v>
      </c>
      <c r="N76" s="11">
        <v>0</v>
      </c>
      <c r="O76" s="11">
        <v>0</v>
      </c>
      <c r="P76" s="11">
        <v>0</v>
      </c>
      <c r="Q76" s="11">
        <v>0</v>
      </c>
      <c r="R76" s="11">
        <f>SUM(O76:Q76)</f>
        <v>0</v>
      </c>
      <c r="S76" s="11">
        <v>0</v>
      </c>
      <c r="T76" s="11">
        <v>0</v>
      </c>
      <c r="U76" s="11">
        <v>17870.26634343492</v>
      </c>
      <c r="V76" s="11">
        <v>14019.776222522923</v>
      </c>
      <c r="W76" s="11">
        <f>SUM(S76:V76)</f>
        <v>31890.042565957843</v>
      </c>
      <c r="X76" s="11">
        <f>SUM(N76,R76,W76)</f>
        <v>31890.042565957843</v>
      </c>
      <c r="Y76" s="11">
        <v>386476.78414337145</v>
      </c>
      <c r="Z76" s="11">
        <f>SUM(B76,H76,M76,X76:Y76)</f>
        <v>567965.33512325585</v>
      </c>
    </row>
    <row r="77" spans="1:26" x14ac:dyDescent="0.2">
      <c r="A77" s="8" t="s">
        <v>125</v>
      </c>
      <c r="B77" s="11">
        <v>0</v>
      </c>
      <c r="C77" s="11">
        <v>0</v>
      </c>
      <c r="D77" s="11">
        <v>3850.5057942244898</v>
      </c>
      <c r="E77" s="11">
        <v>1699.0087226121284</v>
      </c>
      <c r="F77" s="11">
        <v>0</v>
      </c>
      <c r="G77" s="11">
        <v>19942.838131258279</v>
      </c>
      <c r="H77" s="11">
        <f>SUM(C77:G77)</f>
        <v>25492.352648094897</v>
      </c>
      <c r="I77" s="11">
        <v>2495.8289749234177</v>
      </c>
      <c r="J77" s="11">
        <v>0</v>
      </c>
      <c r="K77" s="11">
        <v>0</v>
      </c>
      <c r="L77" s="11">
        <v>119880.89067622188</v>
      </c>
      <c r="M77" s="11">
        <f>SUM(I77:L77)</f>
        <v>122376.71965114531</v>
      </c>
      <c r="N77" s="11">
        <v>0</v>
      </c>
      <c r="O77" s="11">
        <v>0</v>
      </c>
      <c r="P77" s="11">
        <v>0</v>
      </c>
      <c r="Q77" s="11">
        <v>0</v>
      </c>
      <c r="R77" s="11">
        <f>SUM(O77:Q77)</f>
        <v>0</v>
      </c>
      <c r="S77" s="11">
        <v>0</v>
      </c>
      <c r="T77" s="11">
        <v>0</v>
      </c>
      <c r="U77" s="11">
        <v>293.83340970665751</v>
      </c>
      <c r="V77" s="11">
        <v>0</v>
      </c>
      <c r="W77" s="11">
        <f>SUM(S77:V77)</f>
        <v>293.83340970665751</v>
      </c>
      <c r="X77" s="11">
        <f>SUM(N77,R77,W77)</f>
        <v>293.83340970665751</v>
      </c>
      <c r="Y77" s="11">
        <v>73125.641783038693</v>
      </c>
      <c r="Z77" s="11">
        <f>SUM(B77,H77,M77,X77:Y77)</f>
        <v>221288.54749198555</v>
      </c>
    </row>
    <row r="78" spans="1:26" x14ac:dyDescent="0.2">
      <c r="A78" s="8" t="s">
        <v>126</v>
      </c>
      <c r="B78" s="11">
        <v>0</v>
      </c>
      <c r="C78" s="11">
        <v>0</v>
      </c>
      <c r="D78" s="11">
        <v>0</v>
      </c>
      <c r="E78" s="11">
        <v>5882.0541661671559</v>
      </c>
      <c r="F78" s="11">
        <v>0</v>
      </c>
      <c r="G78" s="11">
        <v>0</v>
      </c>
      <c r="H78" s="11">
        <f>SUM(C78:G78)</f>
        <v>5882.0541661671559</v>
      </c>
      <c r="I78" s="11">
        <v>0</v>
      </c>
      <c r="J78" s="11">
        <v>0</v>
      </c>
      <c r="K78" s="11">
        <v>0</v>
      </c>
      <c r="L78" s="11">
        <v>0</v>
      </c>
      <c r="M78" s="11">
        <f>SUM(I78:L78)</f>
        <v>0</v>
      </c>
      <c r="N78" s="11">
        <v>0</v>
      </c>
      <c r="O78" s="11">
        <v>0</v>
      </c>
      <c r="P78" s="11">
        <v>0</v>
      </c>
      <c r="Q78" s="11">
        <v>0</v>
      </c>
      <c r="R78" s="11">
        <f>SUM(O78:Q78)</f>
        <v>0</v>
      </c>
      <c r="S78" s="11">
        <v>0</v>
      </c>
      <c r="T78" s="11">
        <v>0</v>
      </c>
      <c r="U78" s="11">
        <v>0</v>
      </c>
      <c r="V78" s="11">
        <v>0</v>
      </c>
      <c r="W78" s="11">
        <f>SUM(S78:V78)</f>
        <v>0</v>
      </c>
      <c r="X78" s="11">
        <f>SUM(N78,R78,W78)</f>
        <v>0</v>
      </c>
      <c r="Y78" s="11">
        <v>0</v>
      </c>
      <c r="Z78" s="11">
        <f>SUM(B78,H78,M78,X78:Y78)</f>
        <v>5882.0541661671559</v>
      </c>
    </row>
    <row r="79" spans="1:26" ht="10.5" x14ac:dyDescent="0.25">
      <c r="A79" s="12" t="s">
        <v>127</v>
      </c>
      <c r="B79" s="13">
        <f t="shared" ref="B79:Z79" si="18">SUM(B74:B78)</f>
        <v>0</v>
      </c>
      <c r="C79" s="13">
        <f t="shared" si="18"/>
        <v>2331.7721338708029</v>
      </c>
      <c r="D79" s="13">
        <f t="shared" si="18"/>
        <v>22752.224593063402</v>
      </c>
      <c r="E79" s="13">
        <f t="shared" si="18"/>
        <v>27260.55809833503</v>
      </c>
      <c r="F79" s="13">
        <f t="shared" si="18"/>
        <v>0</v>
      </c>
      <c r="G79" s="13">
        <f t="shared" si="18"/>
        <v>141855.15717589785</v>
      </c>
      <c r="H79" s="13">
        <f t="shared" si="18"/>
        <v>194199.71200116709</v>
      </c>
      <c r="I79" s="13">
        <f t="shared" si="18"/>
        <v>2495.8289749234177</v>
      </c>
      <c r="J79" s="13">
        <f t="shared" si="18"/>
        <v>297.44118414505527</v>
      </c>
      <c r="K79" s="13">
        <f t="shared" si="18"/>
        <v>1070.8412392347041</v>
      </c>
      <c r="L79" s="13">
        <f t="shared" si="18"/>
        <v>187525.33560786594</v>
      </c>
      <c r="M79" s="13">
        <f t="shared" si="18"/>
        <v>191389.44700616912</v>
      </c>
      <c r="N79" s="13">
        <f t="shared" si="18"/>
        <v>0</v>
      </c>
      <c r="O79" s="13">
        <f t="shared" si="18"/>
        <v>2854.122774296698</v>
      </c>
      <c r="P79" s="13">
        <f t="shared" si="18"/>
        <v>0</v>
      </c>
      <c r="Q79" s="13">
        <f t="shared" si="18"/>
        <v>1419.1225589841795</v>
      </c>
      <c r="R79" s="13">
        <f t="shared" si="18"/>
        <v>4273.2453332808773</v>
      </c>
      <c r="S79" s="13">
        <f t="shared" si="18"/>
        <v>6134.0246988916069</v>
      </c>
      <c r="T79" s="13">
        <f t="shared" si="18"/>
        <v>0</v>
      </c>
      <c r="U79" s="13">
        <f t="shared" si="18"/>
        <v>34784.219645120203</v>
      </c>
      <c r="V79" s="13">
        <f t="shared" si="18"/>
        <v>14019.776222522923</v>
      </c>
      <c r="W79" s="13">
        <f t="shared" si="18"/>
        <v>54938.020566534731</v>
      </c>
      <c r="X79" s="13">
        <f t="shared" si="18"/>
        <v>59211.265899815611</v>
      </c>
      <c r="Y79" s="13">
        <f t="shared" si="18"/>
        <v>687361.21671485656</v>
      </c>
      <c r="Z79" s="13">
        <f t="shared" si="18"/>
        <v>1132161.6416220083</v>
      </c>
    </row>
    <row r="80" spans="1:26" ht="10.5" x14ac:dyDescent="0.25">
      <c r="A80" s="7" t="s">
        <v>128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x14ac:dyDescent="0.2">
      <c r="A81" s="8" t="s">
        <v>129</v>
      </c>
      <c r="B81" s="11">
        <v>0</v>
      </c>
      <c r="C81" s="11">
        <v>0</v>
      </c>
      <c r="D81" s="11">
        <v>0</v>
      </c>
      <c r="E81" s="11">
        <v>0</v>
      </c>
      <c r="F81" s="11">
        <v>0</v>
      </c>
      <c r="G81" s="11">
        <v>3015.7989282007838</v>
      </c>
      <c r="H81" s="11">
        <f>SUM(C81:G81)</f>
        <v>3015.7989282007838</v>
      </c>
      <c r="I81" s="11">
        <v>0</v>
      </c>
      <c r="J81" s="11">
        <v>0</v>
      </c>
      <c r="K81" s="11">
        <v>0</v>
      </c>
      <c r="L81" s="11">
        <v>23294.112150026303</v>
      </c>
      <c r="M81" s="11">
        <f>SUM(I81:L81)</f>
        <v>23294.112150026303</v>
      </c>
      <c r="N81" s="11">
        <v>0</v>
      </c>
      <c r="O81" s="11">
        <v>0</v>
      </c>
      <c r="P81" s="11">
        <v>0</v>
      </c>
      <c r="Q81" s="11">
        <v>0</v>
      </c>
      <c r="R81" s="11">
        <f>SUM(O81:Q81)</f>
        <v>0</v>
      </c>
      <c r="S81" s="11">
        <v>0</v>
      </c>
      <c r="T81" s="11">
        <v>0</v>
      </c>
      <c r="U81" s="11">
        <v>3571.6908081607698</v>
      </c>
      <c r="V81" s="11">
        <v>0</v>
      </c>
      <c r="W81" s="11">
        <f>SUM(S81:V81)</f>
        <v>3571.6908081607698</v>
      </c>
      <c r="X81" s="11">
        <f>SUM(N81,R81,W81)</f>
        <v>3571.6908081607698</v>
      </c>
      <c r="Y81" s="11">
        <v>-5741.7329311442163</v>
      </c>
      <c r="Z81" s="11">
        <f>SUM(B81,H81,M81,X81:Y81)</f>
        <v>24139.868955243641</v>
      </c>
    </row>
    <row r="82" spans="1:26" x14ac:dyDescent="0.2">
      <c r="A82" s="8" t="s">
        <v>130</v>
      </c>
      <c r="B82" s="11">
        <v>0</v>
      </c>
      <c r="C82" s="11">
        <v>0</v>
      </c>
      <c r="D82" s="11">
        <v>0</v>
      </c>
      <c r="E82" s="11">
        <v>0</v>
      </c>
      <c r="F82" s="11">
        <v>0</v>
      </c>
      <c r="G82" s="11">
        <v>3730.2161292845408</v>
      </c>
      <c r="H82" s="11">
        <f>SUM(C82:G82)</f>
        <v>3730.2161292845408</v>
      </c>
      <c r="I82" s="11">
        <v>0</v>
      </c>
      <c r="J82" s="11">
        <v>0</v>
      </c>
      <c r="K82" s="11">
        <v>0</v>
      </c>
      <c r="L82" s="11">
        <v>3934.4075950037</v>
      </c>
      <c r="M82" s="11">
        <f>SUM(I82:L82)</f>
        <v>3934.4075950037</v>
      </c>
      <c r="N82" s="11">
        <v>0</v>
      </c>
      <c r="O82" s="11">
        <v>0</v>
      </c>
      <c r="P82" s="11">
        <v>0</v>
      </c>
      <c r="Q82" s="11">
        <v>0</v>
      </c>
      <c r="R82" s="11">
        <f>SUM(O82:Q82)</f>
        <v>0</v>
      </c>
      <c r="S82" s="11">
        <v>1278.1523588607656</v>
      </c>
      <c r="T82" s="11">
        <v>0</v>
      </c>
      <c r="U82" s="11">
        <v>6931.6638974701582</v>
      </c>
      <c r="V82" s="11">
        <v>1523.6365169593626</v>
      </c>
      <c r="W82" s="11">
        <f>SUM(S82:V82)</f>
        <v>9733.4527732902861</v>
      </c>
      <c r="X82" s="11">
        <f>SUM(N82,R82,W82)</f>
        <v>9733.4527732902861</v>
      </c>
      <c r="Y82" s="11">
        <v>2757.4029445875235</v>
      </c>
      <c r="Z82" s="11">
        <f>SUM(B82,H82,M82,X82:Y82)</f>
        <v>20155.479442166052</v>
      </c>
    </row>
    <row r="83" spans="1:26" x14ac:dyDescent="0.2">
      <c r="A83" s="8" t="s">
        <v>131</v>
      </c>
      <c r="B83" s="11">
        <v>0</v>
      </c>
      <c r="C83" s="11">
        <v>0</v>
      </c>
      <c r="D83" s="11">
        <v>321.18688886809389</v>
      </c>
      <c r="E83" s="11">
        <v>0</v>
      </c>
      <c r="F83" s="11">
        <v>0</v>
      </c>
      <c r="G83" s="11">
        <v>285.07117829140668</v>
      </c>
      <c r="H83" s="11">
        <f>SUM(C83:G83)</f>
        <v>606.25806715950057</v>
      </c>
      <c r="I83" s="11">
        <v>0</v>
      </c>
      <c r="J83" s="11">
        <v>0</v>
      </c>
      <c r="K83" s="11">
        <v>0</v>
      </c>
      <c r="L83" s="11">
        <v>17210.050108935222</v>
      </c>
      <c r="M83" s="11">
        <f>SUM(I83:L83)</f>
        <v>17210.050108935222</v>
      </c>
      <c r="N83" s="11">
        <v>0</v>
      </c>
      <c r="O83" s="11">
        <v>0</v>
      </c>
      <c r="P83" s="11">
        <v>0</v>
      </c>
      <c r="Q83" s="11">
        <v>0</v>
      </c>
      <c r="R83" s="11">
        <f>SUM(O83:Q83)</f>
        <v>0</v>
      </c>
      <c r="S83" s="11">
        <v>0</v>
      </c>
      <c r="T83" s="11">
        <v>0</v>
      </c>
      <c r="U83" s="11">
        <v>863.97044492576367</v>
      </c>
      <c r="V83" s="11">
        <v>0</v>
      </c>
      <c r="W83" s="11">
        <f>SUM(S83:V83)</f>
        <v>863.97044492576367</v>
      </c>
      <c r="X83" s="11">
        <f>SUM(N83,R83,W83)</f>
        <v>863.97044492576367</v>
      </c>
      <c r="Y83" s="11">
        <v>549.01405499004329</v>
      </c>
      <c r="Z83" s="11">
        <f>SUM(B83,H83,M83,X83:Y83)</f>
        <v>19229.292676010529</v>
      </c>
    </row>
    <row r="84" spans="1:26" x14ac:dyDescent="0.2">
      <c r="A84" s="8" t="s">
        <v>132</v>
      </c>
      <c r="B84" s="11">
        <v>0</v>
      </c>
      <c r="C84" s="11">
        <v>0</v>
      </c>
      <c r="D84" s="11">
        <v>1520.8171102435215</v>
      </c>
      <c r="E84" s="11">
        <v>114.89208842800873</v>
      </c>
      <c r="F84" s="11">
        <v>0</v>
      </c>
      <c r="G84" s="11">
        <v>0</v>
      </c>
      <c r="H84" s="11">
        <f>SUM(C84:G84)</f>
        <v>1635.7091986715302</v>
      </c>
      <c r="I84" s="11">
        <v>0</v>
      </c>
      <c r="J84" s="11">
        <v>0</v>
      </c>
      <c r="K84" s="11">
        <v>0</v>
      </c>
      <c r="L84" s="11">
        <v>39342.620377985491</v>
      </c>
      <c r="M84" s="11">
        <f>SUM(I84:L84)</f>
        <v>39342.620377985491</v>
      </c>
      <c r="N84" s="11">
        <v>0</v>
      </c>
      <c r="O84" s="11">
        <v>0</v>
      </c>
      <c r="P84" s="11">
        <v>0</v>
      </c>
      <c r="Q84" s="11">
        <v>0</v>
      </c>
      <c r="R84" s="11">
        <f>SUM(O84:Q84)</f>
        <v>0</v>
      </c>
      <c r="S84" s="11">
        <v>0</v>
      </c>
      <c r="T84" s="11">
        <v>0</v>
      </c>
      <c r="U84" s="11">
        <v>19203.439534489404</v>
      </c>
      <c r="V84" s="11">
        <v>195.88865373849788</v>
      </c>
      <c r="W84" s="11">
        <f>SUM(S84:V84)</f>
        <v>19399.328188227901</v>
      </c>
      <c r="X84" s="11">
        <f>SUM(N84,R84,W84)</f>
        <v>19399.328188227901</v>
      </c>
      <c r="Y84" s="11">
        <v>34257.03877433201</v>
      </c>
      <c r="Z84" s="11">
        <f>SUM(B84,H84,M84,X84:Y84)</f>
        <v>94634.696539216937</v>
      </c>
    </row>
    <row r="85" spans="1:26" x14ac:dyDescent="0.2">
      <c r="A85" s="8" t="s">
        <v>133</v>
      </c>
      <c r="B85" s="11">
        <v>0</v>
      </c>
      <c r="C85" s="11">
        <v>0</v>
      </c>
      <c r="D85" s="11">
        <v>0</v>
      </c>
      <c r="E85" s="11">
        <v>0</v>
      </c>
      <c r="F85" s="11">
        <v>0</v>
      </c>
      <c r="G85" s="11">
        <v>229.12961370003043</v>
      </c>
      <c r="H85" s="11">
        <f>SUM(C85:G85)</f>
        <v>229.12961370003043</v>
      </c>
      <c r="I85" s="11">
        <v>0</v>
      </c>
      <c r="J85" s="11">
        <v>0</v>
      </c>
      <c r="K85" s="11">
        <v>0</v>
      </c>
      <c r="L85" s="11">
        <v>0</v>
      </c>
      <c r="M85" s="11">
        <f>SUM(I85:L85)</f>
        <v>0</v>
      </c>
      <c r="N85" s="11">
        <v>0</v>
      </c>
      <c r="O85" s="11">
        <v>0</v>
      </c>
      <c r="P85" s="11">
        <v>0</v>
      </c>
      <c r="Q85" s="11">
        <v>0</v>
      </c>
      <c r="R85" s="11">
        <f>SUM(O85:Q85)</f>
        <v>0</v>
      </c>
      <c r="S85" s="11">
        <v>0</v>
      </c>
      <c r="T85" s="11">
        <v>0</v>
      </c>
      <c r="U85" s="11">
        <v>0</v>
      </c>
      <c r="V85" s="11">
        <v>0</v>
      </c>
      <c r="W85" s="11">
        <f>SUM(S85:V85)</f>
        <v>0</v>
      </c>
      <c r="X85" s="11">
        <f>SUM(N85,R85,W85)</f>
        <v>0</v>
      </c>
      <c r="Y85" s="11">
        <v>78.210512375087134</v>
      </c>
      <c r="Z85" s="11">
        <f>SUM(B85,H85,M85,X85:Y85)</f>
        <v>307.34012607511755</v>
      </c>
    </row>
    <row r="86" spans="1:26" ht="10.5" x14ac:dyDescent="0.25">
      <c r="A86" s="12" t="s">
        <v>134</v>
      </c>
      <c r="B86" s="13">
        <f t="shared" ref="B86:Z86" si="19">SUM(B81:B85)</f>
        <v>0</v>
      </c>
      <c r="C86" s="13">
        <f t="shared" si="19"/>
        <v>0</v>
      </c>
      <c r="D86" s="13">
        <f t="shared" si="19"/>
        <v>1842.0039991116155</v>
      </c>
      <c r="E86" s="13">
        <f t="shared" si="19"/>
        <v>114.89208842800873</v>
      </c>
      <c r="F86" s="13">
        <f t="shared" si="19"/>
        <v>0</v>
      </c>
      <c r="G86" s="13">
        <f t="shared" si="19"/>
        <v>7260.2158494767627</v>
      </c>
      <c r="H86" s="13">
        <f t="shared" si="19"/>
        <v>9217.1119370163851</v>
      </c>
      <c r="I86" s="13">
        <f t="shared" si="19"/>
        <v>0</v>
      </c>
      <c r="J86" s="13">
        <f t="shared" si="19"/>
        <v>0</v>
      </c>
      <c r="K86" s="13">
        <f t="shared" si="19"/>
        <v>0</v>
      </c>
      <c r="L86" s="13">
        <f t="shared" si="19"/>
        <v>83781.190231950721</v>
      </c>
      <c r="M86" s="13">
        <f t="shared" si="19"/>
        <v>83781.190231950721</v>
      </c>
      <c r="N86" s="13">
        <f t="shared" si="19"/>
        <v>0</v>
      </c>
      <c r="O86" s="13">
        <f t="shared" si="19"/>
        <v>0</v>
      </c>
      <c r="P86" s="13">
        <f t="shared" si="19"/>
        <v>0</v>
      </c>
      <c r="Q86" s="13">
        <f t="shared" si="19"/>
        <v>0</v>
      </c>
      <c r="R86" s="13">
        <f t="shared" si="19"/>
        <v>0</v>
      </c>
      <c r="S86" s="13">
        <f t="shared" si="19"/>
        <v>1278.1523588607656</v>
      </c>
      <c r="T86" s="13">
        <f t="shared" si="19"/>
        <v>0</v>
      </c>
      <c r="U86" s="13">
        <f t="shared" si="19"/>
        <v>30570.764685046095</v>
      </c>
      <c r="V86" s="13">
        <f t="shared" si="19"/>
        <v>1719.5251706978604</v>
      </c>
      <c r="W86" s="13">
        <f t="shared" si="19"/>
        <v>33568.442214604722</v>
      </c>
      <c r="X86" s="13">
        <f t="shared" si="19"/>
        <v>33568.442214604722</v>
      </c>
      <c r="Y86" s="13">
        <f t="shared" si="19"/>
        <v>31899.933355140449</v>
      </c>
      <c r="Z86" s="13">
        <f t="shared" si="19"/>
        <v>158466.67773871226</v>
      </c>
    </row>
    <row r="87" spans="1:26" ht="10.5" x14ac:dyDescent="0.25">
      <c r="A87" s="7" t="s">
        <v>135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x14ac:dyDescent="0.2">
      <c r="A88" s="8" t="s">
        <v>136</v>
      </c>
      <c r="B88" s="11">
        <v>0</v>
      </c>
      <c r="C88" s="11">
        <v>0</v>
      </c>
      <c r="D88" s="11">
        <v>0</v>
      </c>
      <c r="E88" s="11">
        <v>0</v>
      </c>
      <c r="F88" s="11">
        <v>0</v>
      </c>
      <c r="G88" s="11">
        <v>0</v>
      </c>
      <c r="H88" s="11">
        <f t="shared" ref="H88:H99" si="20">SUM(C88:G88)</f>
        <v>0</v>
      </c>
      <c r="I88" s="11">
        <v>0</v>
      </c>
      <c r="J88" s="11">
        <v>0</v>
      </c>
      <c r="K88" s="11">
        <v>0</v>
      </c>
      <c r="L88" s="11">
        <v>3631.3253384247905</v>
      </c>
      <c r="M88" s="11">
        <f t="shared" ref="M88:M99" si="21">SUM(I88:L88)</f>
        <v>3631.3253384247905</v>
      </c>
      <c r="N88" s="11">
        <v>0</v>
      </c>
      <c r="O88" s="11">
        <v>0</v>
      </c>
      <c r="P88" s="11">
        <v>0</v>
      </c>
      <c r="Q88" s="11">
        <v>0</v>
      </c>
      <c r="R88" s="11">
        <f t="shared" ref="R88:R99" si="22">SUM(O88:Q88)</f>
        <v>0</v>
      </c>
      <c r="S88" s="11">
        <v>0</v>
      </c>
      <c r="T88" s="11">
        <v>0</v>
      </c>
      <c r="U88" s="11">
        <v>32719.064311392616</v>
      </c>
      <c r="V88" s="11">
        <v>0</v>
      </c>
      <c r="W88" s="11">
        <f t="shared" ref="W88:W99" si="23">SUM(S88:V88)</f>
        <v>32719.064311392616</v>
      </c>
      <c r="X88" s="11">
        <f t="shared" ref="X88:X99" si="24">SUM(N88,R88,W88)</f>
        <v>32719.064311392616</v>
      </c>
      <c r="Y88" s="11">
        <v>15654.143729693642</v>
      </c>
      <c r="Z88" s="11">
        <f t="shared" ref="Z88:Z99" si="25">SUM(B88,H88,M88,X88:Y88)</f>
        <v>52004.533379511049</v>
      </c>
    </row>
    <row r="89" spans="1:26" x14ac:dyDescent="0.2">
      <c r="A89" s="8" t="s">
        <v>137</v>
      </c>
      <c r="B89" s="11">
        <v>0</v>
      </c>
      <c r="C89" s="11">
        <v>0</v>
      </c>
      <c r="D89" s="11">
        <v>0</v>
      </c>
      <c r="E89" s="11">
        <v>0</v>
      </c>
      <c r="F89" s="11">
        <v>0</v>
      </c>
      <c r="G89" s="11">
        <v>0</v>
      </c>
      <c r="H89" s="11">
        <f t="shared" si="20"/>
        <v>0</v>
      </c>
      <c r="I89" s="11">
        <v>0</v>
      </c>
      <c r="J89" s="11">
        <v>0</v>
      </c>
      <c r="K89" s="11">
        <v>0</v>
      </c>
      <c r="L89" s="11">
        <v>0</v>
      </c>
      <c r="M89" s="11">
        <f t="shared" si="21"/>
        <v>0</v>
      </c>
      <c r="N89" s="11">
        <v>0</v>
      </c>
      <c r="O89" s="11">
        <v>0</v>
      </c>
      <c r="P89" s="11">
        <v>0</v>
      </c>
      <c r="Q89" s="11">
        <v>0</v>
      </c>
      <c r="R89" s="11">
        <f t="shared" si="22"/>
        <v>0</v>
      </c>
      <c r="S89" s="11">
        <v>0</v>
      </c>
      <c r="T89" s="11">
        <v>0</v>
      </c>
      <c r="U89" s="11">
        <v>0</v>
      </c>
      <c r="V89" s="11">
        <v>0</v>
      </c>
      <c r="W89" s="11">
        <f t="shared" si="23"/>
        <v>0</v>
      </c>
      <c r="X89" s="11">
        <f t="shared" si="24"/>
        <v>0</v>
      </c>
      <c r="Y89" s="11">
        <v>23050.280330761991</v>
      </c>
      <c r="Z89" s="11">
        <f t="shared" si="25"/>
        <v>23050.280330761991</v>
      </c>
    </row>
    <row r="90" spans="1:26" x14ac:dyDescent="0.2">
      <c r="A90" s="8" t="s">
        <v>138</v>
      </c>
      <c r="B90" s="11">
        <v>0</v>
      </c>
      <c r="C90" s="11">
        <v>0</v>
      </c>
      <c r="D90" s="11">
        <v>0</v>
      </c>
      <c r="E90" s="11">
        <v>0</v>
      </c>
      <c r="F90" s="11">
        <v>0</v>
      </c>
      <c r="G90" s="11">
        <v>0</v>
      </c>
      <c r="H90" s="11">
        <f t="shared" si="20"/>
        <v>0</v>
      </c>
      <c r="I90" s="11">
        <v>0</v>
      </c>
      <c r="J90" s="11">
        <v>0</v>
      </c>
      <c r="K90" s="11">
        <v>0</v>
      </c>
      <c r="L90" s="11">
        <v>0</v>
      </c>
      <c r="M90" s="11">
        <f t="shared" si="21"/>
        <v>0</v>
      </c>
      <c r="N90" s="11">
        <v>0</v>
      </c>
      <c r="O90" s="11">
        <v>0</v>
      </c>
      <c r="P90" s="11">
        <v>0</v>
      </c>
      <c r="Q90" s="11">
        <v>0</v>
      </c>
      <c r="R90" s="11">
        <f t="shared" si="22"/>
        <v>0</v>
      </c>
      <c r="S90" s="11">
        <v>0</v>
      </c>
      <c r="T90" s="11">
        <v>0</v>
      </c>
      <c r="U90" s="11">
        <v>0</v>
      </c>
      <c r="V90" s="11">
        <v>0</v>
      </c>
      <c r="W90" s="11">
        <f t="shared" si="23"/>
        <v>0</v>
      </c>
      <c r="X90" s="11">
        <f t="shared" si="24"/>
        <v>0</v>
      </c>
      <c r="Y90" s="11">
        <v>108939.87</v>
      </c>
      <c r="Z90" s="11">
        <f t="shared" si="25"/>
        <v>108939.87</v>
      </c>
    </row>
    <row r="91" spans="1:26" x14ac:dyDescent="0.2">
      <c r="A91" s="8" t="s">
        <v>139</v>
      </c>
      <c r="B91" s="11">
        <v>0</v>
      </c>
      <c r="C91" s="11">
        <v>0</v>
      </c>
      <c r="D91" s="11">
        <v>0</v>
      </c>
      <c r="E91" s="11">
        <v>0</v>
      </c>
      <c r="F91" s="11">
        <v>0</v>
      </c>
      <c r="G91" s="11">
        <v>512.59282016778934</v>
      </c>
      <c r="H91" s="11">
        <f t="shared" si="20"/>
        <v>512.59282016778934</v>
      </c>
      <c r="I91" s="11">
        <v>0</v>
      </c>
      <c r="J91" s="11">
        <v>0</v>
      </c>
      <c r="K91" s="11">
        <v>0</v>
      </c>
      <c r="L91" s="11">
        <v>46341.775203233403</v>
      </c>
      <c r="M91" s="11">
        <f t="shared" si="21"/>
        <v>46341.775203233403</v>
      </c>
      <c r="N91" s="11">
        <v>0</v>
      </c>
      <c r="O91" s="11">
        <v>0</v>
      </c>
      <c r="P91" s="11">
        <v>0</v>
      </c>
      <c r="Q91" s="11">
        <v>0</v>
      </c>
      <c r="R91" s="11">
        <f t="shared" si="22"/>
        <v>0</v>
      </c>
      <c r="S91" s="11">
        <v>0</v>
      </c>
      <c r="T91" s="11">
        <v>0</v>
      </c>
      <c r="U91" s="11">
        <v>6808.2446478413003</v>
      </c>
      <c r="V91" s="11">
        <v>0</v>
      </c>
      <c r="W91" s="11">
        <f t="shared" si="23"/>
        <v>6808.2446478413003</v>
      </c>
      <c r="X91" s="11">
        <f t="shared" si="24"/>
        <v>6808.2446478413003</v>
      </c>
      <c r="Y91" s="11">
        <v>1300.3991945556832</v>
      </c>
      <c r="Z91" s="11">
        <f t="shared" si="25"/>
        <v>54963.011865798173</v>
      </c>
    </row>
    <row r="92" spans="1:26" x14ac:dyDescent="0.2">
      <c r="A92" s="8" t="s">
        <v>140</v>
      </c>
      <c r="B92" s="11">
        <v>0</v>
      </c>
      <c r="C92" s="11">
        <v>0</v>
      </c>
      <c r="D92" s="11">
        <v>0</v>
      </c>
      <c r="E92" s="11">
        <v>0</v>
      </c>
      <c r="F92" s="11">
        <v>0</v>
      </c>
      <c r="G92" s="11">
        <v>3136.3099648890652</v>
      </c>
      <c r="H92" s="11">
        <f t="shared" si="20"/>
        <v>3136.3099648890652</v>
      </c>
      <c r="I92" s="11">
        <v>0</v>
      </c>
      <c r="J92" s="11">
        <v>0</v>
      </c>
      <c r="K92" s="11">
        <v>0</v>
      </c>
      <c r="L92" s="11">
        <v>0</v>
      </c>
      <c r="M92" s="11">
        <f t="shared" si="21"/>
        <v>0</v>
      </c>
      <c r="N92" s="11">
        <v>0</v>
      </c>
      <c r="O92" s="11">
        <v>0</v>
      </c>
      <c r="P92" s="11">
        <v>0</v>
      </c>
      <c r="Q92" s="11">
        <v>0</v>
      </c>
      <c r="R92" s="11">
        <f t="shared" si="22"/>
        <v>0</v>
      </c>
      <c r="S92" s="11">
        <v>0</v>
      </c>
      <c r="T92" s="11">
        <v>0</v>
      </c>
      <c r="U92" s="11">
        <v>0</v>
      </c>
      <c r="V92" s="11">
        <v>0</v>
      </c>
      <c r="W92" s="11">
        <f t="shared" si="23"/>
        <v>0</v>
      </c>
      <c r="X92" s="11">
        <f t="shared" si="24"/>
        <v>0</v>
      </c>
      <c r="Y92" s="11">
        <v>0</v>
      </c>
      <c r="Z92" s="11">
        <f t="shared" si="25"/>
        <v>3136.3099648890652</v>
      </c>
    </row>
    <row r="93" spans="1:26" x14ac:dyDescent="0.2">
      <c r="A93" s="8" t="s">
        <v>141</v>
      </c>
      <c r="B93" s="11">
        <v>0</v>
      </c>
      <c r="C93" s="11">
        <v>0</v>
      </c>
      <c r="D93" s="11">
        <v>0</v>
      </c>
      <c r="E93" s="11">
        <v>0</v>
      </c>
      <c r="F93" s="11">
        <v>0</v>
      </c>
      <c r="G93" s="11">
        <v>0</v>
      </c>
      <c r="H93" s="11">
        <f t="shared" si="20"/>
        <v>0</v>
      </c>
      <c r="I93" s="11">
        <v>0</v>
      </c>
      <c r="J93" s="11">
        <v>0</v>
      </c>
      <c r="K93" s="11">
        <v>0</v>
      </c>
      <c r="L93" s="11">
        <v>0</v>
      </c>
      <c r="M93" s="11">
        <f t="shared" si="21"/>
        <v>0</v>
      </c>
      <c r="N93" s="11">
        <v>0</v>
      </c>
      <c r="O93" s="11">
        <v>0</v>
      </c>
      <c r="P93" s="11">
        <v>0</v>
      </c>
      <c r="Q93" s="11">
        <v>0</v>
      </c>
      <c r="R93" s="11">
        <f t="shared" si="22"/>
        <v>0</v>
      </c>
      <c r="S93" s="11">
        <v>0</v>
      </c>
      <c r="T93" s="11">
        <v>0</v>
      </c>
      <c r="U93" s="11">
        <v>0</v>
      </c>
      <c r="V93" s="11">
        <v>0</v>
      </c>
      <c r="W93" s="11">
        <f t="shared" si="23"/>
        <v>0</v>
      </c>
      <c r="X93" s="11">
        <f t="shared" si="24"/>
        <v>0</v>
      </c>
      <c r="Y93" s="11">
        <v>8250.84</v>
      </c>
      <c r="Z93" s="11">
        <f t="shared" si="25"/>
        <v>8250.84</v>
      </c>
    </row>
    <row r="94" spans="1:26" x14ac:dyDescent="0.2">
      <c r="A94" s="8" t="s">
        <v>142</v>
      </c>
      <c r="B94" s="11">
        <v>0</v>
      </c>
      <c r="C94" s="11">
        <v>0</v>
      </c>
      <c r="D94" s="11">
        <v>0</v>
      </c>
      <c r="E94" s="11">
        <v>0</v>
      </c>
      <c r="F94" s="11">
        <v>0</v>
      </c>
      <c r="G94" s="11">
        <v>150.50313669013195</v>
      </c>
      <c r="H94" s="11">
        <f t="shared" si="20"/>
        <v>150.50313669013195</v>
      </c>
      <c r="I94" s="11">
        <v>0</v>
      </c>
      <c r="J94" s="11">
        <v>0</v>
      </c>
      <c r="K94" s="11">
        <v>0</v>
      </c>
      <c r="L94" s="11">
        <v>0</v>
      </c>
      <c r="M94" s="11">
        <f t="shared" si="21"/>
        <v>0</v>
      </c>
      <c r="N94" s="11">
        <v>0</v>
      </c>
      <c r="O94" s="11">
        <v>0</v>
      </c>
      <c r="P94" s="11">
        <v>0</v>
      </c>
      <c r="Q94" s="11">
        <v>0</v>
      </c>
      <c r="R94" s="11">
        <f t="shared" si="22"/>
        <v>0</v>
      </c>
      <c r="S94" s="11">
        <v>0</v>
      </c>
      <c r="T94" s="11">
        <v>0</v>
      </c>
      <c r="U94" s="11">
        <v>0</v>
      </c>
      <c r="V94" s="11">
        <v>0</v>
      </c>
      <c r="W94" s="11">
        <f t="shared" si="23"/>
        <v>0</v>
      </c>
      <c r="X94" s="11">
        <f t="shared" si="24"/>
        <v>0</v>
      </c>
      <c r="Y94" s="11">
        <v>0</v>
      </c>
      <c r="Z94" s="11">
        <f t="shared" si="25"/>
        <v>150.50313669013195</v>
      </c>
    </row>
    <row r="95" spans="1:26" x14ac:dyDescent="0.2">
      <c r="A95" s="8" t="s">
        <v>143</v>
      </c>
      <c r="B95" s="11">
        <v>0</v>
      </c>
      <c r="C95" s="11">
        <v>0</v>
      </c>
      <c r="D95" s="11">
        <v>822.06175587207667</v>
      </c>
      <c r="E95" s="11">
        <v>3453.5685775504357</v>
      </c>
      <c r="F95" s="11">
        <v>0</v>
      </c>
      <c r="G95" s="11">
        <v>0</v>
      </c>
      <c r="H95" s="11">
        <f t="shared" si="20"/>
        <v>4275.6303334225122</v>
      </c>
      <c r="I95" s="11">
        <v>0</v>
      </c>
      <c r="J95" s="11">
        <v>0</v>
      </c>
      <c r="K95" s="11">
        <v>0</v>
      </c>
      <c r="L95" s="11">
        <v>31827.144098254812</v>
      </c>
      <c r="M95" s="11">
        <f t="shared" si="21"/>
        <v>31827.144098254812</v>
      </c>
      <c r="N95" s="11">
        <v>0</v>
      </c>
      <c r="O95" s="11">
        <v>0</v>
      </c>
      <c r="P95" s="11">
        <v>0</v>
      </c>
      <c r="Q95" s="11">
        <v>0</v>
      </c>
      <c r="R95" s="11">
        <f t="shared" si="22"/>
        <v>0</v>
      </c>
      <c r="S95" s="11">
        <v>0</v>
      </c>
      <c r="T95" s="11">
        <v>0</v>
      </c>
      <c r="U95" s="11">
        <v>7511.3696875035439</v>
      </c>
      <c r="V95" s="11">
        <v>385.19539518317652</v>
      </c>
      <c r="W95" s="11">
        <f t="shared" si="23"/>
        <v>7896.5650826867204</v>
      </c>
      <c r="X95" s="11">
        <f t="shared" si="24"/>
        <v>7896.5650826867204</v>
      </c>
      <c r="Y95" s="11">
        <v>97460.853201168356</v>
      </c>
      <c r="Z95" s="11">
        <f t="shared" si="25"/>
        <v>141460.19271553241</v>
      </c>
    </row>
    <row r="96" spans="1:26" x14ac:dyDescent="0.2">
      <c r="A96" s="8" t="s">
        <v>144</v>
      </c>
      <c r="B96" s="11">
        <v>0</v>
      </c>
      <c r="C96" s="11">
        <v>0</v>
      </c>
      <c r="D96" s="11">
        <v>0</v>
      </c>
      <c r="E96" s="11">
        <v>0</v>
      </c>
      <c r="F96" s="11">
        <v>0</v>
      </c>
      <c r="G96" s="11">
        <v>895.27046388546512</v>
      </c>
      <c r="H96" s="11">
        <f t="shared" si="20"/>
        <v>895.27046388546512</v>
      </c>
      <c r="I96" s="11">
        <v>0</v>
      </c>
      <c r="J96" s="11">
        <v>0</v>
      </c>
      <c r="K96" s="11">
        <v>0</v>
      </c>
      <c r="L96" s="11">
        <v>0</v>
      </c>
      <c r="M96" s="11">
        <f t="shared" si="21"/>
        <v>0</v>
      </c>
      <c r="N96" s="11">
        <v>0</v>
      </c>
      <c r="O96" s="11">
        <v>0</v>
      </c>
      <c r="P96" s="11">
        <v>0</v>
      </c>
      <c r="Q96" s="11">
        <v>0</v>
      </c>
      <c r="R96" s="11">
        <f t="shared" si="22"/>
        <v>0</v>
      </c>
      <c r="S96" s="11">
        <v>0</v>
      </c>
      <c r="T96" s="11">
        <v>0</v>
      </c>
      <c r="U96" s="11">
        <v>0</v>
      </c>
      <c r="V96" s="11">
        <v>0</v>
      </c>
      <c r="W96" s="11">
        <f t="shared" si="23"/>
        <v>0</v>
      </c>
      <c r="X96" s="11">
        <f t="shared" si="24"/>
        <v>0</v>
      </c>
      <c r="Y96" s="11">
        <v>0</v>
      </c>
      <c r="Z96" s="11">
        <f t="shared" si="25"/>
        <v>895.27046388546512</v>
      </c>
    </row>
    <row r="97" spans="1:26" x14ac:dyDescent="0.2">
      <c r="A97" s="8" t="s">
        <v>145</v>
      </c>
      <c r="B97" s="11">
        <v>0</v>
      </c>
      <c r="C97" s="11">
        <v>0</v>
      </c>
      <c r="D97" s="11">
        <v>330.92604123974434</v>
      </c>
      <c r="E97" s="11">
        <v>0</v>
      </c>
      <c r="F97" s="11">
        <v>0</v>
      </c>
      <c r="G97" s="11">
        <v>0</v>
      </c>
      <c r="H97" s="11">
        <f t="shared" si="20"/>
        <v>330.92604123974434</v>
      </c>
      <c r="I97" s="11">
        <v>0</v>
      </c>
      <c r="J97" s="11">
        <v>0</v>
      </c>
      <c r="K97" s="11">
        <v>0</v>
      </c>
      <c r="L97" s="11">
        <v>0</v>
      </c>
      <c r="M97" s="11">
        <f t="shared" si="21"/>
        <v>0</v>
      </c>
      <c r="N97" s="11">
        <v>0</v>
      </c>
      <c r="O97" s="11">
        <v>0</v>
      </c>
      <c r="P97" s="11">
        <v>0</v>
      </c>
      <c r="Q97" s="11">
        <v>0</v>
      </c>
      <c r="R97" s="11">
        <f t="shared" si="22"/>
        <v>0</v>
      </c>
      <c r="S97" s="11">
        <v>0</v>
      </c>
      <c r="T97" s="11">
        <v>0</v>
      </c>
      <c r="U97" s="11">
        <v>0</v>
      </c>
      <c r="V97" s="11">
        <v>0</v>
      </c>
      <c r="W97" s="11">
        <f t="shared" si="23"/>
        <v>0</v>
      </c>
      <c r="X97" s="11">
        <f t="shared" si="24"/>
        <v>0</v>
      </c>
      <c r="Y97" s="11">
        <v>78.723044628587672</v>
      </c>
      <c r="Z97" s="11">
        <f t="shared" si="25"/>
        <v>409.64908586833201</v>
      </c>
    </row>
    <row r="98" spans="1:26" x14ac:dyDescent="0.2">
      <c r="A98" s="8" t="s">
        <v>146</v>
      </c>
      <c r="B98" s="11">
        <v>0</v>
      </c>
      <c r="C98" s="11">
        <v>0</v>
      </c>
      <c r="D98" s="11">
        <v>0</v>
      </c>
      <c r="E98" s="11">
        <v>0</v>
      </c>
      <c r="F98" s="11">
        <v>0</v>
      </c>
      <c r="G98" s="11">
        <v>0</v>
      </c>
      <c r="H98" s="11">
        <f t="shared" si="20"/>
        <v>0</v>
      </c>
      <c r="I98" s="11">
        <v>0</v>
      </c>
      <c r="J98" s="11">
        <v>0</v>
      </c>
      <c r="K98" s="11">
        <v>0</v>
      </c>
      <c r="L98" s="11">
        <v>-209899.96029634742</v>
      </c>
      <c r="M98" s="11">
        <f t="shared" si="21"/>
        <v>-209899.96029634742</v>
      </c>
      <c r="N98" s="11">
        <v>0</v>
      </c>
      <c r="O98" s="11">
        <v>0</v>
      </c>
      <c r="P98" s="11">
        <v>0</v>
      </c>
      <c r="Q98" s="11">
        <v>0</v>
      </c>
      <c r="R98" s="11">
        <f t="shared" si="22"/>
        <v>0</v>
      </c>
      <c r="S98" s="11">
        <v>0</v>
      </c>
      <c r="T98" s="11">
        <v>0</v>
      </c>
      <c r="U98" s="11">
        <v>0</v>
      </c>
      <c r="V98" s="11">
        <v>0</v>
      </c>
      <c r="W98" s="11">
        <f t="shared" si="23"/>
        <v>0</v>
      </c>
      <c r="X98" s="11">
        <f t="shared" si="24"/>
        <v>0</v>
      </c>
      <c r="Y98" s="11">
        <v>0</v>
      </c>
      <c r="Z98" s="11">
        <f t="shared" si="25"/>
        <v>-209899.96029634742</v>
      </c>
    </row>
    <row r="99" spans="1:26" x14ac:dyDescent="0.2">
      <c r="A99" s="8" t="s">
        <v>147</v>
      </c>
      <c r="B99" s="11">
        <v>0</v>
      </c>
      <c r="C99" s="11">
        <v>0</v>
      </c>
      <c r="D99" s="11">
        <v>0</v>
      </c>
      <c r="E99" s="11">
        <v>0</v>
      </c>
      <c r="F99" s="11">
        <v>0</v>
      </c>
      <c r="G99" s="11">
        <v>0</v>
      </c>
      <c r="H99" s="11">
        <f t="shared" si="20"/>
        <v>0</v>
      </c>
      <c r="I99" s="11">
        <v>0</v>
      </c>
      <c r="J99" s="11">
        <v>0</v>
      </c>
      <c r="K99" s="11">
        <v>0</v>
      </c>
      <c r="L99" s="11">
        <v>0</v>
      </c>
      <c r="M99" s="11">
        <f t="shared" si="21"/>
        <v>0</v>
      </c>
      <c r="N99" s="11">
        <v>0</v>
      </c>
      <c r="O99" s="11">
        <v>0</v>
      </c>
      <c r="P99" s="11">
        <v>0</v>
      </c>
      <c r="Q99" s="11">
        <v>0</v>
      </c>
      <c r="R99" s="11">
        <f t="shared" si="22"/>
        <v>0</v>
      </c>
      <c r="S99" s="11">
        <v>0</v>
      </c>
      <c r="T99" s="11">
        <v>0</v>
      </c>
      <c r="U99" s="11">
        <v>-316.58395696231429</v>
      </c>
      <c r="V99" s="11">
        <v>0</v>
      </c>
      <c r="W99" s="11">
        <f t="shared" si="23"/>
        <v>-316.58395696231429</v>
      </c>
      <c r="X99" s="11">
        <f t="shared" si="24"/>
        <v>-316.58395696231429</v>
      </c>
      <c r="Y99" s="11">
        <v>-3048.9040064395817</v>
      </c>
      <c r="Z99" s="11">
        <f t="shared" si="25"/>
        <v>-3365.4879634018962</v>
      </c>
    </row>
    <row r="100" spans="1:26" ht="10.5" x14ac:dyDescent="0.25">
      <c r="A100" s="12" t="s">
        <v>148</v>
      </c>
      <c r="B100" s="13">
        <f t="shared" ref="B100:Z100" si="26">SUM(B88:B99)</f>
        <v>0</v>
      </c>
      <c r="C100" s="13">
        <f t="shared" si="26"/>
        <v>0</v>
      </c>
      <c r="D100" s="13">
        <f t="shared" si="26"/>
        <v>1152.987797111821</v>
      </c>
      <c r="E100" s="13">
        <f t="shared" si="26"/>
        <v>3453.5685775504357</v>
      </c>
      <c r="F100" s="13">
        <f t="shared" si="26"/>
        <v>0</v>
      </c>
      <c r="G100" s="13">
        <f t="shared" si="26"/>
        <v>4694.6763856324515</v>
      </c>
      <c r="H100" s="13">
        <f t="shared" si="26"/>
        <v>9301.232760294708</v>
      </c>
      <c r="I100" s="13">
        <f t="shared" si="26"/>
        <v>0</v>
      </c>
      <c r="J100" s="13">
        <f t="shared" si="26"/>
        <v>0</v>
      </c>
      <c r="K100" s="13">
        <f t="shared" si="26"/>
        <v>0</v>
      </c>
      <c r="L100" s="13">
        <f t="shared" si="26"/>
        <v>-128099.71565643442</v>
      </c>
      <c r="M100" s="13">
        <f t="shared" si="26"/>
        <v>-128099.71565643442</v>
      </c>
      <c r="N100" s="13">
        <f t="shared" si="26"/>
        <v>0</v>
      </c>
      <c r="O100" s="13">
        <f t="shared" si="26"/>
        <v>0</v>
      </c>
      <c r="P100" s="13">
        <f t="shared" si="26"/>
        <v>0</v>
      </c>
      <c r="Q100" s="13">
        <f t="shared" si="26"/>
        <v>0</v>
      </c>
      <c r="R100" s="13">
        <f t="shared" si="26"/>
        <v>0</v>
      </c>
      <c r="S100" s="13">
        <f t="shared" si="26"/>
        <v>0</v>
      </c>
      <c r="T100" s="13">
        <f t="shared" si="26"/>
        <v>0</v>
      </c>
      <c r="U100" s="13">
        <f t="shared" si="26"/>
        <v>46722.094689775149</v>
      </c>
      <c r="V100" s="13">
        <f t="shared" si="26"/>
        <v>385.19539518317652</v>
      </c>
      <c r="W100" s="13">
        <f t="shared" si="26"/>
        <v>47107.290084958324</v>
      </c>
      <c r="X100" s="13">
        <f t="shared" si="26"/>
        <v>47107.290084958324</v>
      </c>
      <c r="Y100" s="13">
        <f t="shared" si="26"/>
        <v>251686.20549436868</v>
      </c>
      <c r="Z100" s="13">
        <f t="shared" si="26"/>
        <v>179995.01268318729</v>
      </c>
    </row>
    <row r="101" spans="1:26" ht="10.5" x14ac:dyDescent="0.25">
      <c r="A101" s="7" t="s">
        <v>149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x14ac:dyDescent="0.2">
      <c r="A102" s="8" t="s">
        <v>150</v>
      </c>
      <c r="B102" s="11">
        <v>0</v>
      </c>
      <c r="C102" s="11">
        <v>0</v>
      </c>
      <c r="D102" s="11">
        <v>0</v>
      </c>
      <c r="E102" s="11">
        <v>0</v>
      </c>
      <c r="F102" s="11">
        <v>0</v>
      </c>
      <c r="G102" s="11">
        <v>1265.1641838551714</v>
      </c>
      <c r="H102" s="11">
        <f>SUM(C102:G102)</f>
        <v>1265.1641838551714</v>
      </c>
      <c r="I102" s="11">
        <v>0</v>
      </c>
      <c r="J102" s="11">
        <v>0</v>
      </c>
      <c r="K102" s="11">
        <v>0</v>
      </c>
      <c r="L102" s="11">
        <v>0</v>
      </c>
      <c r="M102" s="11">
        <f>SUM(I102:L102)</f>
        <v>0</v>
      </c>
      <c r="N102" s="11">
        <v>0</v>
      </c>
      <c r="O102" s="11">
        <v>0</v>
      </c>
      <c r="P102" s="11">
        <v>0</v>
      </c>
      <c r="Q102" s="11">
        <v>0</v>
      </c>
      <c r="R102" s="11">
        <f>SUM(O102:Q102)</f>
        <v>0</v>
      </c>
      <c r="S102" s="11">
        <v>0</v>
      </c>
      <c r="T102" s="11">
        <v>0</v>
      </c>
      <c r="U102" s="11">
        <v>0</v>
      </c>
      <c r="V102" s="11">
        <v>0</v>
      </c>
      <c r="W102" s="11">
        <f>SUM(S102:V102)</f>
        <v>0</v>
      </c>
      <c r="X102" s="11">
        <f>SUM(N102,R102,W102)</f>
        <v>0</v>
      </c>
      <c r="Y102" s="11">
        <v>0</v>
      </c>
      <c r="Z102" s="11">
        <f>SUM(B102,H102,M102,X102:Y102)</f>
        <v>1265.1641838551714</v>
      </c>
    </row>
    <row r="103" spans="1:26" ht="10.5" x14ac:dyDescent="0.25">
      <c r="A103" s="12" t="s">
        <v>151</v>
      </c>
      <c r="B103" s="13">
        <f t="shared" ref="B103:Z103" si="27">SUM(B102)</f>
        <v>0</v>
      </c>
      <c r="C103" s="13">
        <f t="shared" si="27"/>
        <v>0</v>
      </c>
      <c r="D103" s="13">
        <f t="shared" si="27"/>
        <v>0</v>
      </c>
      <c r="E103" s="13">
        <f t="shared" si="27"/>
        <v>0</v>
      </c>
      <c r="F103" s="13">
        <f t="shared" si="27"/>
        <v>0</v>
      </c>
      <c r="G103" s="13">
        <f t="shared" si="27"/>
        <v>1265.1641838551714</v>
      </c>
      <c r="H103" s="13">
        <f t="shared" si="27"/>
        <v>1265.1641838551714</v>
      </c>
      <c r="I103" s="13">
        <f t="shared" si="27"/>
        <v>0</v>
      </c>
      <c r="J103" s="13">
        <f t="shared" si="27"/>
        <v>0</v>
      </c>
      <c r="K103" s="13">
        <f t="shared" si="27"/>
        <v>0</v>
      </c>
      <c r="L103" s="13">
        <f t="shared" si="27"/>
        <v>0</v>
      </c>
      <c r="M103" s="13">
        <f t="shared" si="27"/>
        <v>0</v>
      </c>
      <c r="N103" s="13">
        <f t="shared" si="27"/>
        <v>0</v>
      </c>
      <c r="O103" s="13">
        <f t="shared" si="27"/>
        <v>0</v>
      </c>
      <c r="P103" s="13">
        <f t="shared" si="27"/>
        <v>0</v>
      </c>
      <c r="Q103" s="13">
        <f t="shared" si="27"/>
        <v>0</v>
      </c>
      <c r="R103" s="13">
        <f t="shared" si="27"/>
        <v>0</v>
      </c>
      <c r="S103" s="13">
        <f t="shared" si="27"/>
        <v>0</v>
      </c>
      <c r="T103" s="13">
        <f t="shared" si="27"/>
        <v>0</v>
      </c>
      <c r="U103" s="13">
        <f t="shared" si="27"/>
        <v>0</v>
      </c>
      <c r="V103" s="13">
        <f t="shared" si="27"/>
        <v>0</v>
      </c>
      <c r="W103" s="13">
        <f t="shared" si="27"/>
        <v>0</v>
      </c>
      <c r="X103" s="13">
        <f t="shared" si="27"/>
        <v>0</v>
      </c>
      <c r="Y103" s="13">
        <f t="shared" si="27"/>
        <v>0</v>
      </c>
      <c r="Z103" s="13">
        <f t="shared" si="27"/>
        <v>1265.1641838551714</v>
      </c>
    </row>
    <row r="104" spans="1:26" ht="10.5" x14ac:dyDescent="0.25">
      <c r="A104" s="7" t="s">
        <v>152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">
      <c r="A105" s="8" t="s">
        <v>153</v>
      </c>
      <c r="B105" s="11">
        <v>0</v>
      </c>
      <c r="C105" s="11">
        <v>0</v>
      </c>
      <c r="D105" s="11">
        <v>0</v>
      </c>
      <c r="E105" s="11">
        <v>0</v>
      </c>
      <c r="F105" s="11">
        <v>0</v>
      </c>
      <c r="G105" s="11">
        <v>0</v>
      </c>
      <c r="H105" s="11">
        <f>SUM(C105:G105)</f>
        <v>0</v>
      </c>
      <c r="I105" s="11">
        <v>0</v>
      </c>
      <c r="J105" s="11">
        <v>0</v>
      </c>
      <c r="K105" s="11">
        <v>0</v>
      </c>
      <c r="L105" s="11">
        <v>0</v>
      </c>
      <c r="M105" s="11">
        <f>SUM(I105:L105)</f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f>SUM(O105:Q105)</f>
        <v>0</v>
      </c>
      <c r="S105" s="11">
        <v>0</v>
      </c>
      <c r="T105" s="11">
        <v>0</v>
      </c>
      <c r="U105" s="11">
        <v>717.50465340322978</v>
      </c>
      <c r="V105" s="11">
        <v>0</v>
      </c>
      <c r="W105" s="11">
        <f>SUM(S105:V105)</f>
        <v>717.50465340322978</v>
      </c>
      <c r="X105" s="11">
        <f>SUM(N105,R105,W105)</f>
        <v>717.50465340322978</v>
      </c>
      <c r="Y105" s="11">
        <v>776.26196811565717</v>
      </c>
      <c r="Z105" s="11">
        <f>SUM(B105,H105,M105,X105:Y105)</f>
        <v>1493.766621518887</v>
      </c>
    </row>
    <row r="106" spans="1:26" x14ac:dyDescent="0.2">
      <c r="A106" s="8" t="s">
        <v>154</v>
      </c>
      <c r="B106" s="11">
        <v>0</v>
      </c>
      <c r="C106" s="11">
        <v>0</v>
      </c>
      <c r="D106" s="11">
        <v>0</v>
      </c>
      <c r="E106" s="11">
        <v>0</v>
      </c>
      <c r="F106" s="11">
        <v>0</v>
      </c>
      <c r="G106" s="11">
        <v>0</v>
      </c>
      <c r="H106" s="11">
        <f>SUM(C106:G106)</f>
        <v>0</v>
      </c>
      <c r="I106" s="11">
        <v>0</v>
      </c>
      <c r="J106" s="11">
        <v>0</v>
      </c>
      <c r="K106" s="11">
        <v>0</v>
      </c>
      <c r="L106" s="11">
        <v>0</v>
      </c>
      <c r="M106" s="11">
        <f>SUM(I106:L106)</f>
        <v>0</v>
      </c>
      <c r="N106" s="11">
        <v>0</v>
      </c>
      <c r="O106" s="11">
        <v>0</v>
      </c>
      <c r="P106" s="11">
        <v>0</v>
      </c>
      <c r="Q106" s="11">
        <v>0</v>
      </c>
      <c r="R106" s="11">
        <f>SUM(O106:Q106)</f>
        <v>0</v>
      </c>
      <c r="S106" s="11">
        <v>0</v>
      </c>
      <c r="T106" s="11">
        <v>0</v>
      </c>
      <c r="U106" s="11">
        <v>0</v>
      </c>
      <c r="V106" s="11">
        <v>0</v>
      </c>
      <c r="W106" s="11">
        <f>SUM(S106:V106)</f>
        <v>0</v>
      </c>
      <c r="X106" s="11">
        <f>SUM(N106,R106,W106)</f>
        <v>0</v>
      </c>
      <c r="Y106" s="11">
        <v>10197.019056020659</v>
      </c>
      <c r="Z106" s="11">
        <f>SUM(B106,H106,M106,X106:Y106)</f>
        <v>10197.019056020659</v>
      </c>
    </row>
    <row r="107" spans="1:26" ht="10.5" x14ac:dyDescent="0.25">
      <c r="A107" s="12" t="s">
        <v>155</v>
      </c>
      <c r="B107" s="13">
        <f t="shared" ref="B107:Z107" si="28">SUM(B105:B106)</f>
        <v>0</v>
      </c>
      <c r="C107" s="13">
        <f t="shared" si="28"/>
        <v>0</v>
      </c>
      <c r="D107" s="13">
        <f t="shared" si="28"/>
        <v>0</v>
      </c>
      <c r="E107" s="13">
        <f t="shared" si="28"/>
        <v>0</v>
      </c>
      <c r="F107" s="13">
        <f t="shared" si="28"/>
        <v>0</v>
      </c>
      <c r="G107" s="13">
        <f t="shared" si="28"/>
        <v>0</v>
      </c>
      <c r="H107" s="13">
        <f t="shared" si="28"/>
        <v>0</v>
      </c>
      <c r="I107" s="13">
        <f t="shared" si="28"/>
        <v>0</v>
      </c>
      <c r="J107" s="13">
        <f t="shared" si="28"/>
        <v>0</v>
      </c>
      <c r="K107" s="13">
        <f t="shared" si="28"/>
        <v>0</v>
      </c>
      <c r="L107" s="13">
        <f t="shared" si="28"/>
        <v>0</v>
      </c>
      <c r="M107" s="13">
        <f t="shared" si="28"/>
        <v>0</v>
      </c>
      <c r="N107" s="13">
        <f t="shared" si="28"/>
        <v>0</v>
      </c>
      <c r="O107" s="13">
        <f t="shared" si="28"/>
        <v>0</v>
      </c>
      <c r="P107" s="13">
        <f t="shared" si="28"/>
        <v>0</v>
      </c>
      <c r="Q107" s="13">
        <f t="shared" si="28"/>
        <v>0</v>
      </c>
      <c r="R107" s="13">
        <f t="shared" si="28"/>
        <v>0</v>
      </c>
      <c r="S107" s="13">
        <f t="shared" si="28"/>
        <v>0</v>
      </c>
      <c r="T107" s="13">
        <f t="shared" si="28"/>
        <v>0</v>
      </c>
      <c r="U107" s="13">
        <f t="shared" si="28"/>
        <v>717.50465340322978</v>
      </c>
      <c r="V107" s="13">
        <f t="shared" si="28"/>
        <v>0</v>
      </c>
      <c r="W107" s="13">
        <f t="shared" si="28"/>
        <v>717.50465340322978</v>
      </c>
      <c r="X107" s="13">
        <f t="shared" si="28"/>
        <v>717.50465340322978</v>
      </c>
      <c r="Y107" s="13">
        <f t="shared" si="28"/>
        <v>10973.281024136317</v>
      </c>
      <c r="Z107" s="13">
        <f t="shared" si="28"/>
        <v>11690.785677539547</v>
      </c>
    </row>
    <row r="108" spans="1:26" ht="10.5" x14ac:dyDescent="0.25">
      <c r="A108" s="7" t="s">
        <v>156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x14ac:dyDescent="0.2">
      <c r="A109" s="8" t="s">
        <v>157</v>
      </c>
      <c r="B109" s="11">
        <v>0</v>
      </c>
      <c r="C109" s="11">
        <v>0</v>
      </c>
      <c r="D109" s="11">
        <v>0</v>
      </c>
      <c r="E109" s="11">
        <v>0</v>
      </c>
      <c r="F109" s="11">
        <v>0</v>
      </c>
      <c r="G109" s="11">
        <v>601.73025359208214</v>
      </c>
      <c r="H109" s="11">
        <f t="shared" ref="H109:H123" si="29">SUM(C109:G109)</f>
        <v>601.73025359208214</v>
      </c>
      <c r="I109" s="11">
        <v>0</v>
      </c>
      <c r="J109" s="11">
        <v>0</v>
      </c>
      <c r="K109" s="11">
        <v>0</v>
      </c>
      <c r="L109" s="11">
        <v>1179.2994674710128</v>
      </c>
      <c r="M109" s="11">
        <f t="shared" ref="M109:M123" si="30">SUM(I109:L109)</f>
        <v>1179.2994674710128</v>
      </c>
      <c r="N109" s="11">
        <v>0</v>
      </c>
      <c r="O109" s="11">
        <v>0</v>
      </c>
      <c r="P109" s="11">
        <v>0</v>
      </c>
      <c r="Q109" s="11">
        <v>0</v>
      </c>
      <c r="R109" s="11">
        <f t="shared" ref="R109:R123" si="31">SUM(O109:Q109)</f>
        <v>0</v>
      </c>
      <c r="S109" s="11">
        <v>215.99582187990978</v>
      </c>
      <c r="T109" s="11">
        <v>0</v>
      </c>
      <c r="U109" s="11">
        <v>0</v>
      </c>
      <c r="V109" s="11">
        <v>0</v>
      </c>
      <c r="W109" s="11">
        <f t="shared" ref="W109:W123" si="32">SUM(S109:V109)</f>
        <v>215.99582187990978</v>
      </c>
      <c r="X109" s="11">
        <f t="shared" ref="X109:X123" si="33">SUM(N109,R109,W109)</f>
        <v>215.99582187990978</v>
      </c>
      <c r="Y109" s="11">
        <v>0</v>
      </c>
      <c r="Z109" s="11">
        <f t="shared" ref="Z109:Z123" si="34">SUM(B109,H109,M109,X109:Y109)</f>
        <v>1997.0255429430047</v>
      </c>
    </row>
    <row r="110" spans="1:26" x14ac:dyDescent="0.2">
      <c r="A110" s="8" t="s">
        <v>158</v>
      </c>
      <c r="B110" s="11">
        <v>0</v>
      </c>
      <c r="C110" s="11">
        <v>0</v>
      </c>
      <c r="D110" s="11">
        <v>0</v>
      </c>
      <c r="E110" s="11">
        <v>0</v>
      </c>
      <c r="F110" s="11">
        <v>0</v>
      </c>
      <c r="G110" s="11">
        <v>0</v>
      </c>
      <c r="H110" s="11">
        <f t="shared" si="29"/>
        <v>0</v>
      </c>
      <c r="I110" s="11">
        <v>0</v>
      </c>
      <c r="J110" s="11">
        <v>0</v>
      </c>
      <c r="K110" s="11">
        <v>0</v>
      </c>
      <c r="L110" s="11">
        <v>1807.2386231341518</v>
      </c>
      <c r="M110" s="11">
        <f t="shared" si="30"/>
        <v>1807.2386231341518</v>
      </c>
      <c r="N110" s="11">
        <v>0</v>
      </c>
      <c r="O110" s="11">
        <v>0</v>
      </c>
      <c r="P110" s="11">
        <v>0</v>
      </c>
      <c r="Q110" s="11">
        <v>0</v>
      </c>
      <c r="R110" s="11">
        <f t="shared" si="31"/>
        <v>0</v>
      </c>
      <c r="S110" s="11">
        <v>0</v>
      </c>
      <c r="T110" s="11">
        <v>0</v>
      </c>
      <c r="U110" s="11">
        <v>0</v>
      </c>
      <c r="V110" s="11">
        <v>0</v>
      </c>
      <c r="W110" s="11">
        <f t="shared" si="32"/>
        <v>0</v>
      </c>
      <c r="X110" s="11">
        <f t="shared" si="33"/>
        <v>0</v>
      </c>
      <c r="Y110" s="11">
        <v>0</v>
      </c>
      <c r="Z110" s="11">
        <f t="shared" si="34"/>
        <v>1807.2386231341518</v>
      </c>
    </row>
    <row r="111" spans="1:26" x14ac:dyDescent="0.2">
      <c r="A111" s="8" t="s">
        <v>159</v>
      </c>
      <c r="B111" s="11">
        <v>0</v>
      </c>
      <c r="C111" s="11">
        <v>0</v>
      </c>
      <c r="D111" s="11">
        <v>7065.1120387024985</v>
      </c>
      <c r="E111" s="11">
        <v>14209.297372060166</v>
      </c>
      <c r="F111" s="11">
        <v>6496.1544872652303</v>
      </c>
      <c r="G111" s="11">
        <v>541.97353649672459</v>
      </c>
      <c r="H111" s="11">
        <f t="shared" si="29"/>
        <v>28312.53743452462</v>
      </c>
      <c r="I111" s="11">
        <v>0</v>
      </c>
      <c r="J111" s="11">
        <v>0</v>
      </c>
      <c r="K111" s="11">
        <v>0</v>
      </c>
      <c r="L111" s="11">
        <v>22971.156232123125</v>
      </c>
      <c r="M111" s="11">
        <f t="shared" si="30"/>
        <v>22971.156232123125</v>
      </c>
      <c r="N111" s="11">
        <v>0</v>
      </c>
      <c r="O111" s="11">
        <v>0</v>
      </c>
      <c r="P111" s="11">
        <v>0</v>
      </c>
      <c r="Q111" s="11">
        <v>0</v>
      </c>
      <c r="R111" s="11">
        <f t="shared" si="31"/>
        <v>0</v>
      </c>
      <c r="S111" s="11">
        <v>40084.031675205253</v>
      </c>
      <c r="T111" s="11">
        <v>0</v>
      </c>
      <c r="U111" s="11">
        <v>32506.806539661426</v>
      </c>
      <c r="V111" s="11">
        <v>3021.8466359744107</v>
      </c>
      <c r="W111" s="11">
        <f t="shared" si="32"/>
        <v>75612.684850841077</v>
      </c>
      <c r="X111" s="11">
        <f t="shared" si="33"/>
        <v>75612.684850841077</v>
      </c>
      <c r="Y111" s="11">
        <v>92564.041560038269</v>
      </c>
      <c r="Z111" s="11">
        <f t="shared" si="34"/>
        <v>219460.42007752709</v>
      </c>
    </row>
    <row r="112" spans="1:26" x14ac:dyDescent="0.2">
      <c r="A112" s="8" t="s">
        <v>160</v>
      </c>
      <c r="B112" s="11">
        <v>0</v>
      </c>
      <c r="C112" s="11">
        <v>0</v>
      </c>
      <c r="D112" s="11">
        <v>0</v>
      </c>
      <c r="E112" s="11">
        <v>0</v>
      </c>
      <c r="F112" s="11">
        <v>0</v>
      </c>
      <c r="G112" s="11">
        <v>0</v>
      </c>
      <c r="H112" s="11">
        <f t="shared" si="29"/>
        <v>0</v>
      </c>
      <c r="I112" s="11">
        <v>0</v>
      </c>
      <c r="J112" s="11">
        <v>0</v>
      </c>
      <c r="K112" s="11">
        <v>0</v>
      </c>
      <c r="L112" s="11">
        <v>1287.8520460814641</v>
      </c>
      <c r="M112" s="11">
        <f t="shared" si="30"/>
        <v>1287.8520460814641</v>
      </c>
      <c r="N112" s="11">
        <v>0</v>
      </c>
      <c r="O112" s="11">
        <v>0</v>
      </c>
      <c r="P112" s="11">
        <v>0</v>
      </c>
      <c r="Q112" s="11">
        <v>0</v>
      </c>
      <c r="R112" s="11">
        <f t="shared" si="31"/>
        <v>0</v>
      </c>
      <c r="S112" s="11">
        <v>0</v>
      </c>
      <c r="T112" s="11">
        <v>0</v>
      </c>
      <c r="U112" s="11">
        <v>11.95841089005383</v>
      </c>
      <c r="V112" s="11">
        <v>0</v>
      </c>
      <c r="W112" s="11">
        <f t="shared" si="32"/>
        <v>11.95841089005383</v>
      </c>
      <c r="X112" s="11">
        <f t="shared" si="33"/>
        <v>11.95841089005383</v>
      </c>
      <c r="Y112" s="11">
        <v>0</v>
      </c>
      <c r="Z112" s="11">
        <f t="shared" si="34"/>
        <v>1299.8104569715179</v>
      </c>
    </row>
    <row r="113" spans="1:26" x14ac:dyDescent="0.2">
      <c r="A113" s="8" t="s">
        <v>161</v>
      </c>
      <c r="B113" s="11">
        <v>0</v>
      </c>
      <c r="C113" s="11">
        <v>633.58788315953132</v>
      </c>
      <c r="D113" s="11">
        <v>291.36129688923239</v>
      </c>
      <c r="E113" s="11">
        <v>0</v>
      </c>
      <c r="F113" s="11">
        <v>0</v>
      </c>
      <c r="G113" s="11">
        <v>0</v>
      </c>
      <c r="H113" s="11">
        <f t="shared" si="29"/>
        <v>924.94918004876376</v>
      </c>
      <c r="I113" s="11">
        <v>0</v>
      </c>
      <c r="J113" s="11">
        <v>0</v>
      </c>
      <c r="K113" s="11">
        <v>0</v>
      </c>
      <c r="L113" s="11">
        <v>0</v>
      </c>
      <c r="M113" s="11">
        <f t="shared" si="30"/>
        <v>0</v>
      </c>
      <c r="N113" s="11">
        <v>0</v>
      </c>
      <c r="O113" s="11">
        <v>0</v>
      </c>
      <c r="P113" s="11">
        <v>0</v>
      </c>
      <c r="Q113" s="11">
        <v>0</v>
      </c>
      <c r="R113" s="11">
        <f t="shared" si="31"/>
        <v>0</v>
      </c>
      <c r="S113" s="11">
        <v>648.63619809092916</v>
      </c>
      <c r="T113" s="11">
        <v>0</v>
      </c>
      <c r="U113" s="11">
        <v>4288.3573952923271</v>
      </c>
      <c r="V113" s="11">
        <v>0</v>
      </c>
      <c r="W113" s="11">
        <f t="shared" si="32"/>
        <v>4936.9935933832567</v>
      </c>
      <c r="X113" s="11">
        <f t="shared" si="33"/>
        <v>4936.9935933832567</v>
      </c>
      <c r="Y113" s="11">
        <v>1035.0216733111026</v>
      </c>
      <c r="Z113" s="11">
        <f t="shared" si="34"/>
        <v>6896.9644467431235</v>
      </c>
    </row>
    <row r="114" spans="1:26" x14ac:dyDescent="0.2">
      <c r="A114" s="8" t="s">
        <v>162</v>
      </c>
      <c r="B114" s="11">
        <v>0</v>
      </c>
      <c r="C114" s="11">
        <v>0</v>
      </c>
      <c r="D114" s="11">
        <v>0</v>
      </c>
      <c r="E114" s="11">
        <v>0</v>
      </c>
      <c r="F114" s="11">
        <v>0</v>
      </c>
      <c r="G114" s="11">
        <v>0</v>
      </c>
      <c r="H114" s="11">
        <f t="shared" si="29"/>
        <v>0</v>
      </c>
      <c r="I114" s="11">
        <v>0</v>
      </c>
      <c r="J114" s="11">
        <v>0</v>
      </c>
      <c r="K114" s="11">
        <v>0</v>
      </c>
      <c r="L114" s="11">
        <v>4135.7434403212092</v>
      </c>
      <c r="M114" s="11">
        <f t="shared" si="30"/>
        <v>4135.7434403212092</v>
      </c>
      <c r="N114" s="11">
        <v>0</v>
      </c>
      <c r="O114" s="11">
        <v>0</v>
      </c>
      <c r="P114" s="11">
        <v>0</v>
      </c>
      <c r="Q114" s="11">
        <v>0</v>
      </c>
      <c r="R114" s="11">
        <f t="shared" si="31"/>
        <v>0</v>
      </c>
      <c r="S114" s="11">
        <v>0</v>
      </c>
      <c r="T114" s="11">
        <v>0</v>
      </c>
      <c r="U114" s="11">
        <v>0</v>
      </c>
      <c r="V114" s="11">
        <v>0</v>
      </c>
      <c r="W114" s="11">
        <f t="shared" si="32"/>
        <v>0</v>
      </c>
      <c r="X114" s="11">
        <f t="shared" si="33"/>
        <v>0</v>
      </c>
      <c r="Y114" s="11">
        <v>1129.5754266674187</v>
      </c>
      <c r="Z114" s="11">
        <f t="shared" si="34"/>
        <v>5265.3188669886276</v>
      </c>
    </row>
    <row r="115" spans="1:26" x14ac:dyDescent="0.2">
      <c r="A115" s="8" t="s">
        <v>163</v>
      </c>
      <c r="B115" s="11">
        <v>0</v>
      </c>
      <c r="C115" s="11">
        <v>0</v>
      </c>
      <c r="D115" s="11">
        <v>0</v>
      </c>
      <c r="E115" s="11">
        <v>0</v>
      </c>
      <c r="F115" s="11">
        <v>0</v>
      </c>
      <c r="G115" s="11">
        <v>0</v>
      </c>
      <c r="H115" s="11">
        <f t="shared" si="29"/>
        <v>0</v>
      </c>
      <c r="I115" s="11">
        <v>250</v>
      </c>
      <c r="J115" s="11">
        <v>0</v>
      </c>
      <c r="K115" s="11">
        <v>0</v>
      </c>
      <c r="L115" s="11">
        <v>1974.2996433968954</v>
      </c>
      <c r="M115" s="11">
        <f t="shared" si="30"/>
        <v>2224.2996433968956</v>
      </c>
      <c r="N115" s="11">
        <v>0</v>
      </c>
      <c r="O115" s="11">
        <v>0</v>
      </c>
      <c r="P115" s="11">
        <v>0</v>
      </c>
      <c r="Q115" s="11">
        <v>0</v>
      </c>
      <c r="R115" s="11">
        <f t="shared" si="31"/>
        <v>0</v>
      </c>
      <c r="S115" s="11">
        <v>0</v>
      </c>
      <c r="T115" s="11">
        <v>0</v>
      </c>
      <c r="U115" s="11">
        <v>0</v>
      </c>
      <c r="V115" s="11">
        <v>0</v>
      </c>
      <c r="W115" s="11">
        <f t="shared" si="32"/>
        <v>0</v>
      </c>
      <c r="X115" s="11">
        <f t="shared" si="33"/>
        <v>0</v>
      </c>
      <c r="Y115" s="11">
        <v>800</v>
      </c>
      <c r="Z115" s="11">
        <f t="shared" si="34"/>
        <v>3024.2996433968956</v>
      </c>
    </row>
    <row r="116" spans="1:26" x14ac:dyDescent="0.2">
      <c r="A116" s="8" t="s">
        <v>164</v>
      </c>
      <c r="B116" s="11">
        <v>0</v>
      </c>
      <c r="C116" s="11">
        <v>0</v>
      </c>
      <c r="D116" s="11">
        <v>0</v>
      </c>
      <c r="E116" s="11">
        <v>0</v>
      </c>
      <c r="F116" s="11">
        <v>0</v>
      </c>
      <c r="G116" s="11">
        <v>0</v>
      </c>
      <c r="H116" s="11">
        <f t="shared" si="29"/>
        <v>0</v>
      </c>
      <c r="I116" s="11">
        <v>0</v>
      </c>
      <c r="J116" s="11">
        <v>0</v>
      </c>
      <c r="K116" s="11">
        <v>0</v>
      </c>
      <c r="L116" s="11">
        <v>0</v>
      </c>
      <c r="M116" s="11">
        <f t="shared" si="30"/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f t="shared" si="31"/>
        <v>0</v>
      </c>
      <c r="S116" s="11">
        <v>674.20993539185156</v>
      </c>
      <c r="T116" s="11">
        <v>0</v>
      </c>
      <c r="U116" s="11">
        <v>0</v>
      </c>
      <c r="V116" s="11">
        <v>0</v>
      </c>
      <c r="W116" s="11">
        <f t="shared" si="32"/>
        <v>674.20993539185156</v>
      </c>
      <c r="X116" s="11">
        <f t="shared" si="33"/>
        <v>674.20993539185156</v>
      </c>
      <c r="Y116" s="11">
        <v>0</v>
      </c>
      <c r="Z116" s="11">
        <f t="shared" si="34"/>
        <v>674.20993539185156</v>
      </c>
    </row>
    <row r="117" spans="1:26" x14ac:dyDescent="0.2">
      <c r="A117" s="8" t="s">
        <v>165</v>
      </c>
      <c r="B117" s="11">
        <v>0</v>
      </c>
      <c r="C117" s="11">
        <v>0</v>
      </c>
      <c r="D117" s="11">
        <v>0</v>
      </c>
      <c r="E117" s="11">
        <v>0</v>
      </c>
      <c r="F117" s="11">
        <v>0</v>
      </c>
      <c r="G117" s="11">
        <v>0</v>
      </c>
      <c r="H117" s="11">
        <f t="shared" si="29"/>
        <v>0</v>
      </c>
      <c r="I117" s="11">
        <v>0</v>
      </c>
      <c r="J117" s="11">
        <v>0</v>
      </c>
      <c r="K117" s="11">
        <v>0</v>
      </c>
      <c r="L117" s="11">
        <v>0</v>
      </c>
      <c r="M117" s="11">
        <f t="shared" si="30"/>
        <v>0</v>
      </c>
      <c r="N117" s="11">
        <v>0</v>
      </c>
      <c r="O117" s="11">
        <v>0</v>
      </c>
      <c r="P117" s="11">
        <v>0</v>
      </c>
      <c r="Q117" s="11">
        <v>0</v>
      </c>
      <c r="R117" s="11">
        <f t="shared" si="31"/>
        <v>0</v>
      </c>
      <c r="S117" s="11">
        <v>0</v>
      </c>
      <c r="T117" s="11">
        <v>0</v>
      </c>
      <c r="U117" s="11">
        <v>9.1267447052198722</v>
      </c>
      <c r="V117" s="11">
        <v>0</v>
      </c>
      <c r="W117" s="11">
        <f t="shared" si="32"/>
        <v>9.1267447052198722</v>
      </c>
      <c r="X117" s="11">
        <f t="shared" si="33"/>
        <v>9.1267447052198722</v>
      </c>
      <c r="Y117" s="11">
        <v>0</v>
      </c>
      <c r="Z117" s="11">
        <f t="shared" si="34"/>
        <v>9.1267447052198722</v>
      </c>
    </row>
    <row r="118" spans="1:26" x14ac:dyDescent="0.2">
      <c r="A118" s="8" t="s">
        <v>166</v>
      </c>
      <c r="B118" s="11">
        <v>0</v>
      </c>
      <c r="C118" s="11">
        <v>0</v>
      </c>
      <c r="D118" s="11">
        <v>0</v>
      </c>
      <c r="E118" s="11">
        <v>0</v>
      </c>
      <c r="F118" s="11">
        <v>0</v>
      </c>
      <c r="G118" s="11">
        <v>0</v>
      </c>
      <c r="H118" s="11">
        <f t="shared" si="29"/>
        <v>0</v>
      </c>
      <c r="I118" s="11">
        <v>0</v>
      </c>
      <c r="J118" s="11">
        <v>0</v>
      </c>
      <c r="K118" s="11">
        <v>0</v>
      </c>
      <c r="L118" s="11">
        <v>50772.389798146694</v>
      </c>
      <c r="M118" s="11">
        <f t="shared" si="30"/>
        <v>50772.389798146694</v>
      </c>
      <c r="N118" s="11">
        <v>0</v>
      </c>
      <c r="O118" s="11">
        <v>0</v>
      </c>
      <c r="P118" s="11">
        <v>0</v>
      </c>
      <c r="Q118" s="11">
        <v>0</v>
      </c>
      <c r="R118" s="11">
        <f t="shared" si="31"/>
        <v>0</v>
      </c>
      <c r="S118" s="11">
        <v>0</v>
      </c>
      <c r="T118" s="11">
        <v>0</v>
      </c>
      <c r="U118" s="11">
        <v>649.35886013586105</v>
      </c>
      <c r="V118" s="11">
        <v>0</v>
      </c>
      <c r="W118" s="11">
        <f t="shared" si="32"/>
        <v>649.35886013586105</v>
      </c>
      <c r="X118" s="11">
        <f t="shared" si="33"/>
        <v>649.35886013586105</v>
      </c>
      <c r="Y118" s="11">
        <v>5593.5624027668873</v>
      </c>
      <c r="Z118" s="11">
        <f t="shared" si="34"/>
        <v>57015.311061049448</v>
      </c>
    </row>
    <row r="119" spans="1:26" x14ac:dyDescent="0.2">
      <c r="A119" s="8" t="s">
        <v>167</v>
      </c>
      <c r="B119" s="11">
        <v>0</v>
      </c>
      <c r="C119" s="11">
        <v>0</v>
      </c>
      <c r="D119" s="11">
        <v>0</v>
      </c>
      <c r="E119" s="11">
        <v>0</v>
      </c>
      <c r="F119" s="11">
        <v>0</v>
      </c>
      <c r="G119" s="11">
        <v>0</v>
      </c>
      <c r="H119" s="11">
        <f t="shared" si="29"/>
        <v>0</v>
      </c>
      <c r="I119" s="11">
        <v>0</v>
      </c>
      <c r="J119" s="11">
        <v>0</v>
      </c>
      <c r="K119" s="11">
        <v>0</v>
      </c>
      <c r="L119" s="11">
        <v>0</v>
      </c>
      <c r="M119" s="11">
        <f t="shared" si="30"/>
        <v>0</v>
      </c>
      <c r="N119" s="11">
        <v>0</v>
      </c>
      <c r="O119" s="11">
        <v>0</v>
      </c>
      <c r="P119" s="11">
        <v>0</v>
      </c>
      <c r="Q119" s="11">
        <v>0</v>
      </c>
      <c r="R119" s="11">
        <f t="shared" si="31"/>
        <v>0</v>
      </c>
      <c r="S119" s="11">
        <v>0</v>
      </c>
      <c r="T119" s="11">
        <v>0</v>
      </c>
      <c r="U119" s="11">
        <v>118.01755707394125</v>
      </c>
      <c r="V119" s="11">
        <v>0</v>
      </c>
      <c r="W119" s="11">
        <f t="shared" si="32"/>
        <v>118.01755707394125</v>
      </c>
      <c r="X119" s="11">
        <f t="shared" si="33"/>
        <v>118.01755707394125</v>
      </c>
      <c r="Y119" s="11">
        <v>1277.7761462747737</v>
      </c>
      <c r="Z119" s="11">
        <f t="shared" si="34"/>
        <v>1395.7937033487151</v>
      </c>
    </row>
    <row r="120" spans="1:26" x14ac:dyDescent="0.2">
      <c r="A120" s="8" t="s">
        <v>168</v>
      </c>
      <c r="B120" s="11">
        <v>0</v>
      </c>
      <c r="C120" s="11">
        <v>0</v>
      </c>
      <c r="D120" s="11">
        <v>29368.763501389742</v>
      </c>
      <c r="E120" s="11">
        <v>0</v>
      </c>
      <c r="F120" s="11">
        <v>0</v>
      </c>
      <c r="G120" s="11">
        <v>0</v>
      </c>
      <c r="H120" s="11">
        <f t="shared" si="29"/>
        <v>29368.763501389742</v>
      </c>
      <c r="I120" s="11">
        <v>0</v>
      </c>
      <c r="J120" s="11">
        <v>0</v>
      </c>
      <c r="K120" s="11">
        <v>0</v>
      </c>
      <c r="L120" s="11">
        <v>0</v>
      </c>
      <c r="M120" s="11">
        <f t="shared" si="30"/>
        <v>0</v>
      </c>
      <c r="N120" s="11">
        <v>0</v>
      </c>
      <c r="O120" s="11">
        <v>0</v>
      </c>
      <c r="P120" s="11">
        <v>0</v>
      </c>
      <c r="Q120" s="11">
        <v>0</v>
      </c>
      <c r="R120" s="11">
        <f t="shared" si="31"/>
        <v>0</v>
      </c>
      <c r="S120" s="11">
        <v>0</v>
      </c>
      <c r="T120" s="11">
        <v>0</v>
      </c>
      <c r="U120" s="11">
        <v>0</v>
      </c>
      <c r="V120" s="11">
        <v>0</v>
      </c>
      <c r="W120" s="11">
        <f t="shared" si="32"/>
        <v>0</v>
      </c>
      <c r="X120" s="11">
        <f t="shared" si="33"/>
        <v>0</v>
      </c>
      <c r="Y120" s="11">
        <v>0</v>
      </c>
      <c r="Z120" s="11">
        <f t="shared" si="34"/>
        <v>29368.763501389742</v>
      </c>
    </row>
    <row r="121" spans="1:26" x14ac:dyDescent="0.2">
      <c r="A121" s="8" t="s">
        <v>169</v>
      </c>
      <c r="B121" s="11">
        <v>0</v>
      </c>
      <c r="C121" s="11">
        <v>0</v>
      </c>
      <c r="D121" s="11">
        <v>0</v>
      </c>
      <c r="E121" s="11">
        <v>0</v>
      </c>
      <c r="F121" s="11">
        <v>0</v>
      </c>
      <c r="G121" s="11">
        <v>0</v>
      </c>
      <c r="H121" s="11">
        <f t="shared" si="29"/>
        <v>0</v>
      </c>
      <c r="I121" s="11">
        <v>0</v>
      </c>
      <c r="J121" s="11">
        <v>0</v>
      </c>
      <c r="K121" s="11">
        <v>0</v>
      </c>
      <c r="L121" s="11">
        <v>0</v>
      </c>
      <c r="M121" s="11">
        <f t="shared" si="30"/>
        <v>0</v>
      </c>
      <c r="N121" s="11">
        <v>0</v>
      </c>
      <c r="O121" s="11">
        <v>0</v>
      </c>
      <c r="P121" s="11">
        <v>0</v>
      </c>
      <c r="Q121" s="11">
        <v>11304.171676393587</v>
      </c>
      <c r="R121" s="11">
        <f t="shared" si="31"/>
        <v>11304.171676393587</v>
      </c>
      <c r="S121" s="11">
        <v>0</v>
      </c>
      <c r="T121" s="11">
        <v>0</v>
      </c>
      <c r="U121" s="11">
        <v>0</v>
      </c>
      <c r="V121" s="11">
        <v>0</v>
      </c>
      <c r="W121" s="11">
        <f t="shared" si="32"/>
        <v>0</v>
      </c>
      <c r="X121" s="11">
        <f t="shared" si="33"/>
        <v>11304.171676393587</v>
      </c>
      <c r="Y121" s="11">
        <v>0</v>
      </c>
      <c r="Z121" s="11">
        <f t="shared" si="34"/>
        <v>11304.171676393587</v>
      </c>
    </row>
    <row r="122" spans="1:26" x14ac:dyDescent="0.2">
      <c r="A122" s="8" t="s">
        <v>170</v>
      </c>
      <c r="B122" s="11">
        <v>0</v>
      </c>
      <c r="C122" s="11">
        <v>0</v>
      </c>
      <c r="D122" s="11">
        <v>0</v>
      </c>
      <c r="E122" s="11">
        <v>0</v>
      </c>
      <c r="F122" s="11">
        <v>0</v>
      </c>
      <c r="G122" s="11">
        <v>0</v>
      </c>
      <c r="H122" s="11">
        <f t="shared" si="29"/>
        <v>0</v>
      </c>
      <c r="I122" s="11">
        <v>0</v>
      </c>
      <c r="J122" s="11">
        <v>0</v>
      </c>
      <c r="K122" s="11">
        <v>0</v>
      </c>
      <c r="L122" s="11">
        <v>0</v>
      </c>
      <c r="M122" s="11">
        <f t="shared" si="30"/>
        <v>0</v>
      </c>
      <c r="N122" s="11">
        <v>0</v>
      </c>
      <c r="O122" s="11">
        <v>0</v>
      </c>
      <c r="P122" s="11">
        <v>0</v>
      </c>
      <c r="Q122" s="11">
        <v>0</v>
      </c>
      <c r="R122" s="11">
        <f t="shared" si="31"/>
        <v>0</v>
      </c>
      <c r="S122" s="11">
        <v>62298.604235600578</v>
      </c>
      <c r="T122" s="11">
        <v>0</v>
      </c>
      <c r="U122" s="11">
        <v>0</v>
      </c>
      <c r="V122" s="11">
        <v>0</v>
      </c>
      <c r="W122" s="11">
        <f t="shared" si="32"/>
        <v>62298.604235600578</v>
      </c>
      <c r="X122" s="11">
        <f t="shared" si="33"/>
        <v>62298.604235600578</v>
      </c>
      <c r="Y122" s="11">
        <v>0</v>
      </c>
      <c r="Z122" s="11">
        <f t="shared" si="34"/>
        <v>62298.604235600578</v>
      </c>
    </row>
    <row r="123" spans="1:26" x14ac:dyDescent="0.2">
      <c r="A123" s="8" t="s">
        <v>171</v>
      </c>
      <c r="B123" s="11">
        <v>0</v>
      </c>
      <c r="C123" s="11">
        <v>0</v>
      </c>
      <c r="D123" s="11">
        <v>0</v>
      </c>
      <c r="E123" s="11">
        <v>0</v>
      </c>
      <c r="F123" s="11">
        <v>0</v>
      </c>
      <c r="G123" s="11">
        <v>0</v>
      </c>
      <c r="H123" s="11">
        <f t="shared" si="29"/>
        <v>0</v>
      </c>
      <c r="I123" s="11">
        <v>0</v>
      </c>
      <c r="J123" s="11">
        <v>21277.695801292739</v>
      </c>
      <c r="K123" s="11">
        <v>0</v>
      </c>
      <c r="L123" s="11">
        <v>0</v>
      </c>
      <c r="M123" s="11">
        <f t="shared" si="30"/>
        <v>21277.695801292739</v>
      </c>
      <c r="N123" s="11">
        <v>0</v>
      </c>
      <c r="O123" s="11">
        <v>0</v>
      </c>
      <c r="P123" s="11">
        <v>0</v>
      </c>
      <c r="Q123" s="11">
        <v>0</v>
      </c>
      <c r="R123" s="11">
        <f t="shared" si="31"/>
        <v>0</v>
      </c>
      <c r="S123" s="11">
        <v>0</v>
      </c>
      <c r="T123" s="11">
        <v>0</v>
      </c>
      <c r="U123" s="11">
        <v>0</v>
      </c>
      <c r="V123" s="11">
        <v>0</v>
      </c>
      <c r="W123" s="11">
        <f t="shared" si="32"/>
        <v>0</v>
      </c>
      <c r="X123" s="11">
        <f t="shared" si="33"/>
        <v>0</v>
      </c>
      <c r="Y123" s="11">
        <v>0</v>
      </c>
      <c r="Z123" s="11">
        <f t="shared" si="34"/>
        <v>21277.695801292739</v>
      </c>
    </row>
    <row r="124" spans="1:26" ht="10.5" x14ac:dyDescent="0.25">
      <c r="A124" s="46" t="s">
        <v>172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x14ac:dyDescent="0.2">
      <c r="A125" s="47" t="s">
        <v>172</v>
      </c>
      <c r="B125" s="11">
        <v>0</v>
      </c>
      <c r="C125" s="11">
        <v>0</v>
      </c>
      <c r="D125" s="11">
        <v>0</v>
      </c>
      <c r="E125" s="11">
        <v>0</v>
      </c>
      <c r="F125" s="11">
        <v>0</v>
      </c>
      <c r="G125" s="11">
        <v>0</v>
      </c>
      <c r="H125" s="11">
        <f>SUM(C125:G125)</f>
        <v>0</v>
      </c>
      <c r="I125" s="11">
        <v>0</v>
      </c>
      <c r="J125" s="11">
        <v>0</v>
      </c>
      <c r="K125" s="11">
        <v>0</v>
      </c>
      <c r="L125" s="11">
        <v>3572.4301161210869</v>
      </c>
      <c r="M125" s="11">
        <f>SUM(I125:L125)</f>
        <v>3572.4301161210869</v>
      </c>
      <c r="N125" s="11">
        <v>0</v>
      </c>
      <c r="O125" s="11">
        <v>0</v>
      </c>
      <c r="P125" s="11">
        <v>0</v>
      </c>
      <c r="Q125" s="11">
        <v>0</v>
      </c>
      <c r="R125" s="11">
        <f>SUM(O125:Q125)</f>
        <v>0</v>
      </c>
      <c r="S125" s="11">
        <v>0</v>
      </c>
      <c r="T125" s="11">
        <v>0</v>
      </c>
      <c r="U125" s="11">
        <v>0</v>
      </c>
      <c r="V125" s="11">
        <v>0</v>
      </c>
      <c r="W125" s="11">
        <f>SUM(S125:V125)</f>
        <v>0</v>
      </c>
      <c r="X125" s="11">
        <f>SUM(N125,R125,W125)</f>
        <v>0</v>
      </c>
      <c r="Y125" s="11">
        <v>0</v>
      </c>
      <c r="Z125" s="11">
        <f>SUM(B125,H125,M125,X125:Y125)</f>
        <v>3572.4301161210869</v>
      </c>
    </row>
    <row r="126" spans="1:26" x14ac:dyDescent="0.2">
      <c r="A126" s="47" t="s">
        <v>173</v>
      </c>
      <c r="B126" s="11">
        <v>0</v>
      </c>
      <c r="C126" s="11">
        <v>0</v>
      </c>
      <c r="D126" s="11">
        <v>0</v>
      </c>
      <c r="E126" s="11">
        <v>0</v>
      </c>
      <c r="F126" s="11">
        <v>0</v>
      </c>
      <c r="G126" s="11">
        <v>0</v>
      </c>
      <c r="H126" s="11">
        <f>SUM(C126:G126)</f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f>SUM(I126:L126)</f>
        <v>0</v>
      </c>
      <c r="N126" s="11">
        <v>0</v>
      </c>
      <c r="O126" s="11">
        <v>0</v>
      </c>
      <c r="P126" s="11">
        <v>0</v>
      </c>
      <c r="Q126" s="11">
        <v>0</v>
      </c>
      <c r="R126" s="11">
        <f>SUM(O126:Q126)</f>
        <v>0</v>
      </c>
      <c r="S126" s="11">
        <v>0</v>
      </c>
      <c r="T126" s="11">
        <v>0</v>
      </c>
      <c r="U126" s="11">
        <v>0</v>
      </c>
      <c r="V126" s="11">
        <v>0</v>
      </c>
      <c r="W126" s="11">
        <f>SUM(S126:V126)</f>
        <v>0</v>
      </c>
      <c r="X126" s="11">
        <f>SUM(N126,R126,W126)</f>
        <v>0</v>
      </c>
      <c r="Y126" s="11">
        <v>231.22128694350545</v>
      </c>
      <c r="Z126" s="11">
        <f>SUM(B126,H126,M126,X126:Y126)</f>
        <v>231.22128694350545</v>
      </c>
    </row>
    <row r="127" spans="1:26" ht="10.5" x14ac:dyDescent="0.25">
      <c r="A127" s="48" t="s">
        <v>174</v>
      </c>
      <c r="B127" s="13">
        <f t="shared" ref="B127:Z127" si="35">SUM(B125:B126)</f>
        <v>0</v>
      </c>
      <c r="C127" s="13">
        <f t="shared" si="35"/>
        <v>0</v>
      </c>
      <c r="D127" s="13">
        <f t="shared" si="35"/>
        <v>0</v>
      </c>
      <c r="E127" s="13">
        <f t="shared" si="35"/>
        <v>0</v>
      </c>
      <c r="F127" s="13">
        <f t="shared" si="35"/>
        <v>0</v>
      </c>
      <c r="G127" s="13">
        <f t="shared" si="35"/>
        <v>0</v>
      </c>
      <c r="H127" s="13">
        <f t="shared" si="35"/>
        <v>0</v>
      </c>
      <c r="I127" s="13">
        <f t="shared" si="35"/>
        <v>0</v>
      </c>
      <c r="J127" s="13">
        <f t="shared" si="35"/>
        <v>0</v>
      </c>
      <c r="K127" s="13">
        <f t="shared" si="35"/>
        <v>0</v>
      </c>
      <c r="L127" s="13">
        <f t="shared" si="35"/>
        <v>3572.4301161210869</v>
      </c>
      <c r="M127" s="13">
        <f t="shared" si="35"/>
        <v>3572.4301161210869</v>
      </c>
      <c r="N127" s="13">
        <f t="shared" si="35"/>
        <v>0</v>
      </c>
      <c r="O127" s="13">
        <f t="shared" si="35"/>
        <v>0</v>
      </c>
      <c r="P127" s="13">
        <f t="shared" si="35"/>
        <v>0</v>
      </c>
      <c r="Q127" s="13">
        <f t="shared" si="35"/>
        <v>0</v>
      </c>
      <c r="R127" s="13">
        <f t="shared" si="35"/>
        <v>0</v>
      </c>
      <c r="S127" s="13">
        <f t="shared" si="35"/>
        <v>0</v>
      </c>
      <c r="T127" s="13">
        <f t="shared" si="35"/>
        <v>0</v>
      </c>
      <c r="U127" s="13">
        <f t="shared" si="35"/>
        <v>0</v>
      </c>
      <c r="V127" s="13">
        <f t="shared" si="35"/>
        <v>0</v>
      </c>
      <c r="W127" s="13">
        <f t="shared" si="35"/>
        <v>0</v>
      </c>
      <c r="X127" s="13">
        <f t="shared" si="35"/>
        <v>0</v>
      </c>
      <c r="Y127" s="13">
        <f t="shared" si="35"/>
        <v>231.22128694350545</v>
      </c>
      <c r="Z127" s="13">
        <f t="shared" si="35"/>
        <v>3803.6514030645922</v>
      </c>
    </row>
    <row r="128" spans="1:26" ht="10.5" x14ac:dyDescent="0.25">
      <c r="A128" s="12" t="s">
        <v>175</v>
      </c>
      <c r="B128" s="13">
        <f t="shared" ref="B128:Z128" si="36">SUM(B109:B123,B127)</f>
        <v>0</v>
      </c>
      <c r="C128" s="13">
        <f t="shared" si="36"/>
        <v>633.58788315953132</v>
      </c>
      <c r="D128" s="13">
        <f t="shared" si="36"/>
        <v>36725.236836981472</v>
      </c>
      <c r="E128" s="13">
        <f t="shared" si="36"/>
        <v>14209.297372060166</v>
      </c>
      <c r="F128" s="13">
        <f t="shared" si="36"/>
        <v>6496.1544872652303</v>
      </c>
      <c r="G128" s="13">
        <f t="shared" si="36"/>
        <v>1143.7037900888067</v>
      </c>
      <c r="H128" s="13">
        <f t="shared" si="36"/>
        <v>59207.980369555211</v>
      </c>
      <c r="I128" s="13">
        <f t="shared" si="36"/>
        <v>250</v>
      </c>
      <c r="J128" s="13">
        <f t="shared" si="36"/>
        <v>21277.695801292739</v>
      </c>
      <c r="K128" s="13">
        <f t="shared" si="36"/>
        <v>0</v>
      </c>
      <c r="L128" s="13">
        <f t="shared" si="36"/>
        <v>87700.409366795648</v>
      </c>
      <c r="M128" s="13">
        <f t="shared" si="36"/>
        <v>109228.10516808838</v>
      </c>
      <c r="N128" s="13">
        <f t="shared" si="36"/>
        <v>0</v>
      </c>
      <c r="O128" s="13">
        <f t="shared" si="36"/>
        <v>0</v>
      </c>
      <c r="P128" s="13">
        <f t="shared" si="36"/>
        <v>0</v>
      </c>
      <c r="Q128" s="13">
        <f t="shared" si="36"/>
        <v>11304.171676393587</v>
      </c>
      <c r="R128" s="13">
        <f t="shared" si="36"/>
        <v>11304.171676393587</v>
      </c>
      <c r="S128" s="13">
        <f t="shared" si="36"/>
        <v>103921.47786616851</v>
      </c>
      <c r="T128" s="13">
        <f t="shared" si="36"/>
        <v>0</v>
      </c>
      <c r="U128" s="13">
        <f t="shared" si="36"/>
        <v>37583.625507758836</v>
      </c>
      <c r="V128" s="13">
        <f t="shared" si="36"/>
        <v>3021.8466359744107</v>
      </c>
      <c r="W128" s="13">
        <f t="shared" si="36"/>
        <v>144526.95000990178</v>
      </c>
      <c r="X128" s="13">
        <f t="shared" si="36"/>
        <v>155831.12168629534</v>
      </c>
      <c r="Y128" s="13">
        <f t="shared" si="36"/>
        <v>102631.19849600195</v>
      </c>
      <c r="Z128" s="13">
        <f t="shared" si="36"/>
        <v>426898.4057199409</v>
      </c>
    </row>
    <row r="129" spans="1:26" ht="10.5" x14ac:dyDescent="0.25">
      <c r="A129" s="7" t="s">
        <v>176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x14ac:dyDescent="0.2">
      <c r="A130" s="8" t="s">
        <v>177</v>
      </c>
      <c r="B130" s="11">
        <v>0</v>
      </c>
      <c r="C130" s="11">
        <v>0</v>
      </c>
      <c r="D130" s="11">
        <v>60.620397259175789</v>
      </c>
      <c r="E130" s="11">
        <v>21.548679204900829</v>
      </c>
      <c r="F130" s="11">
        <v>0</v>
      </c>
      <c r="G130" s="11">
        <v>164.23091835715826</v>
      </c>
      <c r="H130" s="11">
        <f>SUM(C130:G130)</f>
        <v>246.39999482123488</v>
      </c>
      <c r="I130" s="11">
        <v>0</v>
      </c>
      <c r="J130" s="11">
        <v>0</v>
      </c>
      <c r="K130" s="11">
        <v>0</v>
      </c>
      <c r="L130" s="11">
        <v>10284.827209531128</v>
      </c>
      <c r="M130" s="11">
        <f>SUM(I130:L130)</f>
        <v>10284.827209531128</v>
      </c>
      <c r="N130" s="11">
        <v>0</v>
      </c>
      <c r="O130" s="11">
        <v>0</v>
      </c>
      <c r="P130" s="11">
        <v>0</v>
      </c>
      <c r="Q130" s="11">
        <v>0</v>
      </c>
      <c r="R130" s="11">
        <f>SUM(O130:Q130)</f>
        <v>0</v>
      </c>
      <c r="S130" s="11">
        <v>-0.45246570508978118</v>
      </c>
      <c r="T130" s="11">
        <v>0</v>
      </c>
      <c r="U130" s="11">
        <v>3916.4509921014942</v>
      </c>
      <c r="V130" s="11">
        <v>0</v>
      </c>
      <c r="W130" s="11">
        <f>SUM(S130:V130)</f>
        <v>3915.9985263964045</v>
      </c>
      <c r="X130" s="11">
        <f>SUM(N130,R130,W130)</f>
        <v>3915.9985263964045</v>
      </c>
      <c r="Y130" s="11">
        <v>6769.6540020355969</v>
      </c>
      <c r="Z130" s="11">
        <f>SUM(B130,H130,M130,X130:Y130)</f>
        <v>21216.879732784364</v>
      </c>
    </row>
    <row r="131" spans="1:26" x14ac:dyDescent="0.2">
      <c r="A131" s="8" t="s">
        <v>178</v>
      </c>
      <c r="B131" s="11">
        <v>0</v>
      </c>
      <c r="C131" s="11">
        <v>0</v>
      </c>
      <c r="D131" s="11">
        <v>0</v>
      </c>
      <c r="E131" s="11">
        <v>0</v>
      </c>
      <c r="F131" s="11">
        <v>0</v>
      </c>
      <c r="G131" s="11">
        <v>0</v>
      </c>
      <c r="H131" s="11">
        <f>SUM(C131:G131)</f>
        <v>0</v>
      </c>
      <c r="I131" s="11">
        <v>0</v>
      </c>
      <c r="J131" s="11">
        <v>0</v>
      </c>
      <c r="K131" s="11">
        <v>0</v>
      </c>
      <c r="L131" s="11">
        <v>8931.2903082612793</v>
      </c>
      <c r="M131" s="11">
        <f>SUM(I131:L131)</f>
        <v>8931.2903082612793</v>
      </c>
      <c r="N131" s="11">
        <v>0</v>
      </c>
      <c r="O131" s="11">
        <v>0</v>
      </c>
      <c r="P131" s="11">
        <v>0</v>
      </c>
      <c r="Q131" s="11">
        <v>0</v>
      </c>
      <c r="R131" s="11">
        <f>SUM(O131:Q131)</f>
        <v>0</v>
      </c>
      <c r="S131" s="11">
        <v>0</v>
      </c>
      <c r="T131" s="11">
        <v>0</v>
      </c>
      <c r="U131" s="11">
        <v>637.34894574913324</v>
      </c>
      <c r="V131" s="11">
        <v>0</v>
      </c>
      <c r="W131" s="11">
        <f>SUM(S131:V131)</f>
        <v>637.34894574913324</v>
      </c>
      <c r="X131" s="11">
        <f>SUM(N131,R131,W131)</f>
        <v>637.34894574913324</v>
      </c>
      <c r="Y131" s="11">
        <v>176734.53706590901</v>
      </c>
      <c r="Z131" s="11">
        <f>SUM(B131,H131,M131,X131:Y131)</f>
        <v>186303.17631991941</v>
      </c>
    </row>
    <row r="132" spans="1:26" x14ac:dyDescent="0.2">
      <c r="A132" s="8" t="s">
        <v>179</v>
      </c>
      <c r="B132" s="11">
        <v>0</v>
      </c>
      <c r="C132" s="11">
        <v>0</v>
      </c>
      <c r="D132" s="11">
        <v>0</v>
      </c>
      <c r="E132" s="11">
        <v>0</v>
      </c>
      <c r="F132" s="11">
        <v>0</v>
      </c>
      <c r="G132" s="11">
        <v>0</v>
      </c>
      <c r="H132" s="11">
        <f>SUM(C132:G132)</f>
        <v>0</v>
      </c>
      <c r="I132" s="11">
        <v>0</v>
      </c>
      <c r="J132" s="11">
        <v>0</v>
      </c>
      <c r="K132" s="11">
        <v>0</v>
      </c>
      <c r="L132" s="11">
        <v>0</v>
      </c>
      <c r="M132" s="11">
        <f>SUM(I132:L132)</f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f>SUM(O132:Q132)</f>
        <v>0</v>
      </c>
      <c r="S132" s="11">
        <v>0</v>
      </c>
      <c r="T132" s="11">
        <v>0</v>
      </c>
      <c r="U132" s="11">
        <v>187.53572311708706</v>
      </c>
      <c r="V132" s="11">
        <v>0</v>
      </c>
      <c r="W132" s="11">
        <f>SUM(S132:V132)</f>
        <v>187.53572311708706</v>
      </c>
      <c r="X132" s="11">
        <f>SUM(N132,R132,W132)</f>
        <v>187.53572311708706</v>
      </c>
      <c r="Y132" s="11">
        <v>46768.367128018181</v>
      </c>
      <c r="Z132" s="11">
        <f>SUM(B132,H132,M132,X132:Y132)</f>
        <v>46955.902851135266</v>
      </c>
    </row>
    <row r="133" spans="1:26" x14ac:dyDescent="0.2">
      <c r="A133" s="8" t="s">
        <v>180</v>
      </c>
      <c r="B133" s="11">
        <v>0</v>
      </c>
      <c r="C133" s="11">
        <v>0</v>
      </c>
      <c r="D133" s="11">
        <v>0</v>
      </c>
      <c r="E133" s="11">
        <v>0</v>
      </c>
      <c r="F133" s="11">
        <v>0</v>
      </c>
      <c r="G133" s="11">
        <v>0</v>
      </c>
      <c r="H133" s="11">
        <f>SUM(C133:G133)</f>
        <v>0</v>
      </c>
      <c r="I133" s="11">
        <v>0</v>
      </c>
      <c r="J133" s="11">
        <v>0</v>
      </c>
      <c r="K133" s="11">
        <v>91.205774503472639</v>
      </c>
      <c r="L133" s="11">
        <v>-1.57</v>
      </c>
      <c r="M133" s="11">
        <f>SUM(I133:L133)</f>
        <v>89.635774503472646</v>
      </c>
      <c r="N133" s="11">
        <v>0</v>
      </c>
      <c r="O133" s="11">
        <v>0</v>
      </c>
      <c r="P133" s="11">
        <v>0</v>
      </c>
      <c r="Q133" s="11">
        <v>0</v>
      </c>
      <c r="R133" s="11">
        <f>SUM(O133:Q133)</f>
        <v>0</v>
      </c>
      <c r="S133" s="11">
        <v>0</v>
      </c>
      <c r="T133" s="11">
        <v>0</v>
      </c>
      <c r="U133" s="11">
        <v>0</v>
      </c>
      <c r="V133" s="11">
        <v>53.407160548282064</v>
      </c>
      <c r="W133" s="11">
        <f>SUM(S133:V133)</f>
        <v>53.407160548282064</v>
      </c>
      <c r="X133" s="11">
        <f>SUM(N133,R133,W133)</f>
        <v>53.407160548282064</v>
      </c>
      <c r="Y133" s="11">
        <v>93.152428840956034</v>
      </c>
      <c r="Z133" s="11">
        <f>SUM(B133,H133,M133,X133:Y133)</f>
        <v>236.19536389271076</v>
      </c>
    </row>
    <row r="134" spans="1:26" ht="10.5" x14ac:dyDescent="0.25">
      <c r="A134" s="12" t="s">
        <v>181</v>
      </c>
      <c r="B134" s="13">
        <f t="shared" ref="B134:Z134" si="37">SUM(B130:B133)</f>
        <v>0</v>
      </c>
      <c r="C134" s="13">
        <f t="shared" si="37"/>
        <v>0</v>
      </c>
      <c r="D134" s="13">
        <f t="shared" si="37"/>
        <v>60.620397259175789</v>
      </c>
      <c r="E134" s="13">
        <f t="shared" si="37"/>
        <v>21.548679204900829</v>
      </c>
      <c r="F134" s="13">
        <f t="shared" si="37"/>
        <v>0</v>
      </c>
      <c r="G134" s="13">
        <f t="shared" si="37"/>
        <v>164.23091835715826</v>
      </c>
      <c r="H134" s="13">
        <f t="shared" si="37"/>
        <v>246.39999482123488</v>
      </c>
      <c r="I134" s="13">
        <f t="shared" si="37"/>
        <v>0</v>
      </c>
      <c r="J134" s="13">
        <f t="shared" si="37"/>
        <v>0</v>
      </c>
      <c r="K134" s="13">
        <f t="shared" si="37"/>
        <v>91.205774503472639</v>
      </c>
      <c r="L134" s="13">
        <f t="shared" si="37"/>
        <v>19214.547517792409</v>
      </c>
      <c r="M134" s="13">
        <f t="shared" si="37"/>
        <v>19305.753292295882</v>
      </c>
      <c r="N134" s="13">
        <f t="shared" si="37"/>
        <v>0</v>
      </c>
      <c r="O134" s="13">
        <f t="shared" si="37"/>
        <v>0</v>
      </c>
      <c r="P134" s="13">
        <f t="shared" si="37"/>
        <v>0</v>
      </c>
      <c r="Q134" s="13">
        <f t="shared" si="37"/>
        <v>0</v>
      </c>
      <c r="R134" s="13">
        <f t="shared" si="37"/>
        <v>0</v>
      </c>
      <c r="S134" s="13">
        <f t="shared" si="37"/>
        <v>-0.45246570508978118</v>
      </c>
      <c r="T134" s="13">
        <f t="shared" si="37"/>
        <v>0</v>
      </c>
      <c r="U134" s="13">
        <f t="shared" si="37"/>
        <v>4741.3356609677148</v>
      </c>
      <c r="V134" s="13">
        <f t="shared" si="37"/>
        <v>53.407160548282064</v>
      </c>
      <c r="W134" s="13">
        <f t="shared" si="37"/>
        <v>4794.2903558109074</v>
      </c>
      <c r="X134" s="13">
        <f t="shared" si="37"/>
        <v>4794.2903558109074</v>
      </c>
      <c r="Y134" s="13">
        <f t="shared" si="37"/>
        <v>230365.71062480373</v>
      </c>
      <c r="Z134" s="13">
        <f t="shared" si="37"/>
        <v>254712.15426773173</v>
      </c>
    </row>
    <row r="135" spans="1:26" ht="10.5" x14ac:dyDescent="0.25">
      <c r="A135" s="14" t="s">
        <v>182</v>
      </c>
      <c r="B135" s="13">
        <f t="shared" ref="B135:Z135" si="38">SUM(B41,B47,B53,B57,B61,B72,B79,B86,B100,B103,B107,B128,B134)</f>
        <v>1482665.1512880267</v>
      </c>
      <c r="C135" s="13">
        <f t="shared" si="38"/>
        <v>16846.833583260192</v>
      </c>
      <c r="D135" s="13">
        <f t="shared" si="38"/>
        <v>81111.851140179744</v>
      </c>
      <c r="E135" s="13">
        <f t="shared" si="38"/>
        <v>166117.4118045581</v>
      </c>
      <c r="F135" s="13">
        <f t="shared" si="38"/>
        <v>6496.1544872652303</v>
      </c>
      <c r="G135" s="13">
        <f t="shared" si="38"/>
        <v>241174.41459026845</v>
      </c>
      <c r="H135" s="13">
        <f t="shared" si="38"/>
        <v>511746.66560553171</v>
      </c>
      <c r="I135" s="13">
        <f t="shared" si="38"/>
        <v>15769.601701576583</v>
      </c>
      <c r="J135" s="13">
        <f t="shared" si="38"/>
        <v>21874.888964603699</v>
      </c>
      <c r="K135" s="13">
        <f t="shared" si="38"/>
        <v>1162.0470137381767</v>
      </c>
      <c r="L135" s="13">
        <f t="shared" si="38"/>
        <v>444225.80920921185</v>
      </c>
      <c r="M135" s="13">
        <f t="shared" si="38"/>
        <v>483032.34688913031</v>
      </c>
      <c r="N135" s="13">
        <f t="shared" si="38"/>
        <v>0</v>
      </c>
      <c r="O135" s="13">
        <f t="shared" si="38"/>
        <v>2854.122774296698</v>
      </c>
      <c r="P135" s="13">
        <f t="shared" si="38"/>
        <v>0</v>
      </c>
      <c r="Q135" s="13">
        <f t="shared" si="38"/>
        <v>15560.598989352093</v>
      </c>
      <c r="R135" s="13">
        <f t="shared" si="38"/>
        <v>18414.721763648791</v>
      </c>
      <c r="S135" s="13">
        <f t="shared" si="38"/>
        <v>155286.96754931213</v>
      </c>
      <c r="T135" s="13">
        <f t="shared" si="38"/>
        <v>0</v>
      </c>
      <c r="U135" s="13">
        <f t="shared" si="38"/>
        <v>343900.19330153958</v>
      </c>
      <c r="V135" s="13">
        <f t="shared" si="38"/>
        <v>19718.943799400251</v>
      </c>
      <c r="W135" s="13">
        <f t="shared" si="38"/>
        <v>518906.10465025192</v>
      </c>
      <c r="X135" s="13">
        <f t="shared" si="38"/>
        <v>537320.82641390071</v>
      </c>
      <c r="Y135" s="13">
        <f t="shared" si="38"/>
        <v>1381345.4940091891</v>
      </c>
      <c r="Z135" s="13">
        <f t="shared" si="38"/>
        <v>4396110.4842057787</v>
      </c>
    </row>
    <row r="136" spans="1:26" ht="10.5" x14ac:dyDescent="0.25">
      <c r="A136" s="6" t="s">
        <v>183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x14ac:dyDescent="0.2">
      <c r="A137" s="45" t="s">
        <v>184</v>
      </c>
      <c r="B137" s="11">
        <v>0</v>
      </c>
      <c r="C137" s="11">
        <v>0</v>
      </c>
      <c r="D137" s="11">
        <v>34.367452349842928</v>
      </c>
      <c r="E137" s="11">
        <v>0</v>
      </c>
      <c r="F137" s="11">
        <v>0</v>
      </c>
      <c r="G137" s="11">
        <v>479.12823429190502</v>
      </c>
      <c r="H137" s="11">
        <f t="shared" ref="H137:H152" si="39">SUM(C137:G137)</f>
        <v>513.49568664174797</v>
      </c>
      <c r="I137" s="11">
        <v>0</v>
      </c>
      <c r="J137" s="11">
        <v>0</v>
      </c>
      <c r="K137" s="11">
        <v>0</v>
      </c>
      <c r="L137" s="11">
        <v>0</v>
      </c>
      <c r="M137" s="11">
        <f t="shared" ref="M137:M152" si="40">SUM(I137:L137)</f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f t="shared" ref="R137:R152" si="41">SUM(O137:Q137)</f>
        <v>0</v>
      </c>
      <c r="S137" s="11">
        <v>2419.4828851552084</v>
      </c>
      <c r="T137" s="11">
        <v>0</v>
      </c>
      <c r="U137" s="11">
        <v>0</v>
      </c>
      <c r="V137" s="11">
        <v>132.73062927221895</v>
      </c>
      <c r="W137" s="11">
        <f t="shared" ref="W137:W152" si="42">SUM(S137:V137)</f>
        <v>2552.2135144274271</v>
      </c>
      <c r="X137" s="11">
        <f t="shared" ref="X137:X152" si="43">SUM(N137,R137,W137)</f>
        <v>2552.2135144274271</v>
      </c>
      <c r="Y137" s="11">
        <v>0</v>
      </c>
      <c r="Z137" s="11">
        <f t="shared" ref="Z137:Z152" si="44">SUM(B137,H137,M137,X137:Y137)</f>
        <v>3065.7092010691749</v>
      </c>
    </row>
    <row r="138" spans="1:26" x14ac:dyDescent="0.2">
      <c r="A138" s="45" t="s">
        <v>185</v>
      </c>
      <c r="B138" s="11">
        <v>0</v>
      </c>
      <c r="C138" s="11">
        <v>0</v>
      </c>
      <c r="D138" s="11">
        <v>0</v>
      </c>
      <c r="E138" s="11">
        <v>13934.573220332331</v>
      </c>
      <c r="F138" s="11">
        <v>0</v>
      </c>
      <c r="G138" s="11">
        <v>0</v>
      </c>
      <c r="H138" s="11">
        <f t="shared" si="39"/>
        <v>13934.573220332331</v>
      </c>
      <c r="I138" s="11">
        <v>0</v>
      </c>
      <c r="J138" s="11">
        <v>0</v>
      </c>
      <c r="K138" s="11">
        <v>0</v>
      </c>
      <c r="L138" s="11">
        <v>2498.2442010023351</v>
      </c>
      <c r="M138" s="11">
        <f t="shared" si="40"/>
        <v>2498.2442010023351</v>
      </c>
      <c r="N138" s="11">
        <v>0</v>
      </c>
      <c r="O138" s="11">
        <v>0</v>
      </c>
      <c r="P138" s="11">
        <v>0</v>
      </c>
      <c r="Q138" s="11">
        <v>0</v>
      </c>
      <c r="R138" s="11">
        <f t="shared" si="41"/>
        <v>0</v>
      </c>
      <c r="S138" s="11">
        <v>-11962.07564252191</v>
      </c>
      <c r="T138" s="11">
        <v>0</v>
      </c>
      <c r="U138" s="11">
        <v>0</v>
      </c>
      <c r="V138" s="11">
        <v>8795.0497242484107</v>
      </c>
      <c r="W138" s="11">
        <f t="shared" si="42"/>
        <v>-3167.025918273499</v>
      </c>
      <c r="X138" s="11">
        <f t="shared" si="43"/>
        <v>-3167.025918273499</v>
      </c>
      <c r="Y138" s="11">
        <v>365.56573590730051</v>
      </c>
      <c r="Z138" s="11">
        <f t="shared" si="44"/>
        <v>13631.357238968467</v>
      </c>
    </row>
    <row r="139" spans="1:26" x14ac:dyDescent="0.2">
      <c r="A139" s="45" t="s">
        <v>186</v>
      </c>
      <c r="B139" s="11">
        <v>0</v>
      </c>
      <c r="C139" s="11">
        <v>0</v>
      </c>
      <c r="D139" s="11">
        <v>0</v>
      </c>
      <c r="E139" s="11">
        <v>0</v>
      </c>
      <c r="F139" s="11">
        <v>0</v>
      </c>
      <c r="G139" s="11">
        <v>0</v>
      </c>
      <c r="H139" s="11">
        <f t="shared" si="39"/>
        <v>0</v>
      </c>
      <c r="I139" s="11">
        <v>0</v>
      </c>
      <c r="J139" s="11">
        <v>0</v>
      </c>
      <c r="K139" s="11">
        <v>0</v>
      </c>
      <c r="L139" s="11">
        <v>9984.2583511894954</v>
      </c>
      <c r="M139" s="11">
        <f t="shared" si="40"/>
        <v>9984.2583511894954</v>
      </c>
      <c r="N139" s="11">
        <v>0</v>
      </c>
      <c r="O139" s="11">
        <v>0</v>
      </c>
      <c r="P139" s="11">
        <v>0</v>
      </c>
      <c r="Q139" s="11">
        <v>0</v>
      </c>
      <c r="R139" s="11">
        <f t="shared" si="41"/>
        <v>0</v>
      </c>
      <c r="S139" s="11">
        <v>0</v>
      </c>
      <c r="T139" s="11">
        <v>0</v>
      </c>
      <c r="U139" s="11">
        <v>0</v>
      </c>
      <c r="V139" s="11">
        <v>0</v>
      </c>
      <c r="W139" s="11">
        <f t="shared" si="42"/>
        <v>0</v>
      </c>
      <c r="X139" s="11">
        <f t="shared" si="43"/>
        <v>0</v>
      </c>
      <c r="Y139" s="11">
        <v>0</v>
      </c>
      <c r="Z139" s="11">
        <f t="shared" si="44"/>
        <v>9984.2583511894954</v>
      </c>
    </row>
    <row r="140" spans="1:26" x14ac:dyDescent="0.2">
      <c r="A140" s="45" t="s">
        <v>187</v>
      </c>
      <c r="B140" s="11">
        <v>0</v>
      </c>
      <c r="C140" s="11">
        <v>0</v>
      </c>
      <c r="D140" s="11">
        <v>0</v>
      </c>
      <c r="E140" s="11">
        <v>0</v>
      </c>
      <c r="F140" s="11">
        <v>0</v>
      </c>
      <c r="G140" s="11">
        <v>0</v>
      </c>
      <c r="H140" s="11">
        <f t="shared" si="39"/>
        <v>0</v>
      </c>
      <c r="I140" s="11">
        <v>0</v>
      </c>
      <c r="J140" s="11">
        <v>0</v>
      </c>
      <c r="K140" s="11">
        <v>0</v>
      </c>
      <c r="L140" s="11">
        <v>29.837497590497808</v>
      </c>
      <c r="M140" s="11">
        <f t="shared" si="40"/>
        <v>29.837497590497808</v>
      </c>
      <c r="N140" s="11">
        <v>0</v>
      </c>
      <c r="O140" s="11">
        <v>0</v>
      </c>
      <c r="P140" s="11">
        <v>0</v>
      </c>
      <c r="Q140" s="11">
        <v>0</v>
      </c>
      <c r="R140" s="11">
        <f t="shared" si="41"/>
        <v>0</v>
      </c>
      <c r="S140" s="11">
        <v>0</v>
      </c>
      <c r="T140" s="11">
        <v>0</v>
      </c>
      <c r="U140" s="11">
        <v>0</v>
      </c>
      <c r="V140" s="11">
        <v>0</v>
      </c>
      <c r="W140" s="11">
        <f t="shared" si="42"/>
        <v>0</v>
      </c>
      <c r="X140" s="11">
        <f t="shared" si="43"/>
        <v>0</v>
      </c>
      <c r="Y140" s="11">
        <v>0</v>
      </c>
      <c r="Z140" s="11">
        <f t="shared" si="44"/>
        <v>29.837497590497808</v>
      </c>
    </row>
    <row r="141" spans="1:26" x14ac:dyDescent="0.2">
      <c r="A141" s="45" t="s">
        <v>188</v>
      </c>
      <c r="B141" s="11">
        <v>509.19135313811159</v>
      </c>
      <c r="C141" s="11">
        <v>0</v>
      </c>
      <c r="D141" s="11">
        <v>3279.9861982610519</v>
      </c>
      <c r="E141" s="11">
        <v>0</v>
      </c>
      <c r="F141" s="11">
        <v>0</v>
      </c>
      <c r="G141" s="11">
        <v>3841.0829440959014</v>
      </c>
      <c r="H141" s="11">
        <f t="shared" si="39"/>
        <v>7121.0691423569533</v>
      </c>
      <c r="I141" s="11">
        <v>0</v>
      </c>
      <c r="J141" s="11">
        <v>0</v>
      </c>
      <c r="K141" s="11">
        <v>2465.639356619015</v>
      </c>
      <c r="L141" s="11">
        <v>1252.9686097619347</v>
      </c>
      <c r="M141" s="11">
        <f t="shared" si="40"/>
        <v>3718.6079663809496</v>
      </c>
      <c r="N141" s="11">
        <v>0</v>
      </c>
      <c r="O141" s="11">
        <v>0</v>
      </c>
      <c r="P141" s="11">
        <v>0</v>
      </c>
      <c r="Q141" s="11">
        <v>0</v>
      </c>
      <c r="R141" s="11">
        <f t="shared" si="41"/>
        <v>0</v>
      </c>
      <c r="S141" s="11">
        <v>0</v>
      </c>
      <c r="T141" s="11">
        <v>0</v>
      </c>
      <c r="U141" s="11">
        <v>0</v>
      </c>
      <c r="V141" s="11">
        <v>0</v>
      </c>
      <c r="W141" s="11">
        <f t="shared" si="42"/>
        <v>0</v>
      </c>
      <c r="X141" s="11">
        <f t="shared" si="43"/>
        <v>0</v>
      </c>
      <c r="Y141" s="11">
        <v>-117.73135825587805</v>
      </c>
      <c r="Z141" s="11">
        <f t="shared" si="44"/>
        <v>11231.137103620136</v>
      </c>
    </row>
    <row r="142" spans="1:26" x14ac:dyDescent="0.2">
      <c r="A142" s="45" t="s">
        <v>189</v>
      </c>
      <c r="B142" s="11">
        <v>0</v>
      </c>
      <c r="C142" s="11">
        <v>0</v>
      </c>
      <c r="D142" s="11">
        <v>2149.0577688341527</v>
      </c>
      <c r="E142" s="11">
        <v>0</v>
      </c>
      <c r="F142" s="11">
        <v>0</v>
      </c>
      <c r="G142" s="11">
        <v>3696.3010857006302</v>
      </c>
      <c r="H142" s="11">
        <f t="shared" si="39"/>
        <v>5845.3588545347829</v>
      </c>
      <c r="I142" s="11">
        <v>0</v>
      </c>
      <c r="J142" s="11">
        <v>0</v>
      </c>
      <c r="K142" s="11">
        <v>0</v>
      </c>
      <c r="L142" s="11">
        <v>1.696412692485</v>
      </c>
      <c r="M142" s="11">
        <f t="shared" si="40"/>
        <v>1.696412692485</v>
      </c>
      <c r="N142" s="11">
        <v>0</v>
      </c>
      <c r="O142" s="11">
        <v>0</v>
      </c>
      <c r="P142" s="11">
        <v>0</v>
      </c>
      <c r="Q142" s="11">
        <v>0</v>
      </c>
      <c r="R142" s="11">
        <f t="shared" si="41"/>
        <v>0</v>
      </c>
      <c r="S142" s="11">
        <v>0</v>
      </c>
      <c r="T142" s="11">
        <v>0</v>
      </c>
      <c r="U142" s="11">
        <v>11209.011004975924</v>
      </c>
      <c r="V142" s="11">
        <v>69.410874732090093</v>
      </c>
      <c r="W142" s="11">
        <f t="shared" si="42"/>
        <v>11278.421879708014</v>
      </c>
      <c r="X142" s="11">
        <f t="shared" si="43"/>
        <v>11278.421879708014</v>
      </c>
      <c r="Y142" s="11">
        <v>2505.2159579146455</v>
      </c>
      <c r="Z142" s="11">
        <f t="shared" si="44"/>
        <v>19630.693104849928</v>
      </c>
    </row>
    <row r="143" spans="1:26" x14ac:dyDescent="0.2">
      <c r="A143" s="45" t="s">
        <v>190</v>
      </c>
      <c r="B143" s="11">
        <v>0</v>
      </c>
      <c r="C143" s="11">
        <v>0</v>
      </c>
      <c r="D143" s="11">
        <v>0</v>
      </c>
      <c r="E143" s="11">
        <v>0</v>
      </c>
      <c r="F143" s="11">
        <v>0</v>
      </c>
      <c r="G143" s="11">
        <v>0</v>
      </c>
      <c r="H143" s="11">
        <f t="shared" si="39"/>
        <v>0</v>
      </c>
      <c r="I143" s="11">
        <v>0</v>
      </c>
      <c r="J143" s="11">
        <v>0</v>
      </c>
      <c r="K143" s="11">
        <v>0</v>
      </c>
      <c r="L143" s="11">
        <v>22523.566395327598</v>
      </c>
      <c r="M143" s="11">
        <f t="shared" si="40"/>
        <v>22523.566395327598</v>
      </c>
      <c r="N143" s="11">
        <v>0</v>
      </c>
      <c r="O143" s="11">
        <v>0</v>
      </c>
      <c r="P143" s="11">
        <v>0</v>
      </c>
      <c r="Q143" s="11">
        <v>0</v>
      </c>
      <c r="R143" s="11">
        <f t="shared" si="41"/>
        <v>0</v>
      </c>
      <c r="S143" s="11">
        <v>0</v>
      </c>
      <c r="T143" s="11">
        <v>0</v>
      </c>
      <c r="U143" s="11">
        <v>0</v>
      </c>
      <c r="V143" s="11">
        <v>0</v>
      </c>
      <c r="W143" s="11">
        <f t="shared" si="42"/>
        <v>0</v>
      </c>
      <c r="X143" s="11">
        <f t="shared" si="43"/>
        <v>0</v>
      </c>
      <c r="Y143" s="11">
        <v>0</v>
      </c>
      <c r="Z143" s="11">
        <f t="shared" si="44"/>
        <v>22523.566395327598</v>
      </c>
    </row>
    <row r="144" spans="1:26" x14ac:dyDescent="0.2">
      <c r="A144" s="45" t="s">
        <v>191</v>
      </c>
      <c r="B144" s="11">
        <v>0</v>
      </c>
      <c r="C144" s="11">
        <v>0</v>
      </c>
      <c r="D144" s="11">
        <v>0</v>
      </c>
      <c r="E144" s="11">
        <v>0</v>
      </c>
      <c r="F144" s="11">
        <v>0</v>
      </c>
      <c r="G144" s="11">
        <v>0</v>
      </c>
      <c r="H144" s="11">
        <f t="shared" si="39"/>
        <v>0</v>
      </c>
      <c r="I144" s="11">
        <v>0</v>
      </c>
      <c r="J144" s="11">
        <v>0</v>
      </c>
      <c r="K144" s="11">
        <v>0</v>
      </c>
      <c r="L144" s="11">
        <v>191001.67622754484</v>
      </c>
      <c r="M144" s="11">
        <f t="shared" si="40"/>
        <v>191001.67622754484</v>
      </c>
      <c r="N144" s="11">
        <v>0</v>
      </c>
      <c r="O144" s="11">
        <v>0</v>
      </c>
      <c r="P144" s="11">
        <v>0</v>
      </c>
      <c r="Q144" s="11">
        <v>0</v>
      </c>
      <c r="R144" s="11">
        <f t="shared" si="41"/>
        <v>0</v>
      </c>
      <c r="S144" s="11">
        <v>0</v>
      </c>
      <c r="T144" s="11">
        <v>0</v>
      </c>
      <c r="U144" s="11">
        <v>0</v>
      </c>
      <c r="V144" s="11">
        <v>0</v>
      </c>
      <c r="W144" s="11">
        <f t="shared" si="42"/>
        <v>0</v>
      </c>
      <c r="X144" s="11">
        <f t="shared" si="43"/>
        <v>0</v>
      </c>
      <c r="Y144" s="11">
        <v>29.482370172457877</v>
      </c>
      <c r="Z144" s="11">
        <f t="shared" si="44"/>
        <v>191031.15859771729</v>
      </c>
    </row>
    <row r="145" spans="1:26" x14ac:dyDescent="0.2">
      <c r="A145" s="45" t="s">
        <v>192</v>
      </c>
      <c r="B145" s="11">
        <v>0</v>
      </c>
      <c r="C145" s="11">
        <v>0</v>
      </c>
      <c r="D145" s="11">
        <v>0</v>
      </c>
      <c r="E145" s="11">
        <v>0</v>
      </c>
      <c r="F145" s="11">
        <v>0</v>
      </c>
      <c r="G145" s="11">
        <v>0</v>
      </c>
      <c r="H145" s="11">
        <f t="shared" si="39"/>
        <v>0</v>
      </c>
      <c r="I145" s="11">
        <v>0</v>
      </c>
      <c r="J145" s="11">
        <v>0</v>
      </c>
      <c r="K145" s="11">
        <v>0</v>
      </c>
      <c r="L145" s="11">
        <v>391.26642767434964</v>
      </c>
      <c r="M145" s="11">
        <f t="shared" si="40"/>
        <v>391.26642767434964</v>
      </c>
      <c r="N145" s="11">
        <v>0</v>
      </c>
      <c r="O145" s="11">
        <v>0</v>
      </c>
      <c r="P145" s="11">
        <v>0</v>
      </c>
      <c r="Q145" s="11">
        <v>0</v>
      </c>
      <c r="R145" s="11">
        <f t="shared" si="41"/>
        <v>0</v>
      </c>
      <c r="S145" s="11">
        <v>0</v>
      </c>
      <c r="T145" s="11">
        <v>0</v>
      </c>
      <c r="U145" s="11">
        <v>1222.1769054649287</v>
      </c>
      <c r="V145" s="11">
        <v>0</v>
      </c>
      <c r="W145" s="11">
        <f t="shared" si="42"/>
        <v>1222.1769054649287</v>
      </c>
      <c r="X145" s="11">
        <f t="shared" si="43"/>
        <v>1222.1769054649287</v>
      </c>
      <c r="Y145" s="11">
        <v>0</v>
      </c>
      <c r="Z145" s="11">
        <f t="shared" si="44"/>
        <v>1613.4433331392784</v>
      </c>
    </row>
    <row r="146" spans="1:26" x14ac:dyDescent="0.2">
      <c r="A146" s="45" t="s">
        <v>193</v>
      </c>
      <c r="B146" s="11">
        <v>0</v>
      </c>
      <c r="C146" s="11">
        <v>0</v>
      </c>
      <c r="D146" s="11">
        <v>346.88958089479735</v>
      </c>
      <c r="E146" s="11">
        <v>26329.374715420232</v>
      </c>
      <c r="F146" s="11">
        <v>0</v>
      </c>
      <c r="G146" s="11">
        <v>860.56854541573296</v>
      </c>
      <c r="H146" s="11">
        <f t="shared" si="39"/>
        <v>27536.83284173076</v>
      </c>
      <c r="I146" s="11">
        <v>0</v>
      </c>
      <c r="J146" s="11">
        <v>0</v>
      </c>
      <c r="K146" s="11">
        <v>0</v>
      </c>
      <c r="L146" s="11">
        <v>80848.405327733286</v>
      </c>
      <c r="M146" s="11">
        <f t="shared" si="40"/>
        <v>80848.405327733286</v>
      </c>
      <c r="N146" s="11">
        <v>0</v>
      </c>
      <c r="O146" s="11">
        <v>0</v>
      </c>
      <c r="P146" s="11">
        <v>0</v>
      </c>
      <c r="Q146" s="11">
        <v>0</v>
      </c>
      <c r="R146" s="11">
        <f t="shared" si="41"/>
        <v>0</v>
      </c>
      <c r="S146" s="11">
        <v>0</v>
      </c>
      <c r="T146" s="11">
        <v>0</v>
      </c>
      <c r="U146" s="11">
        <v>1080.4563398223384</v>
      </c>
      <c r="V146" s="11">
        <v>2724.3197106960338</v>
      </c>
      <c r="W146" s="11">
        <f t="shared" si="42"/>
        <v>3804.7760505183724</v>
      </c>
      <c r="X146" s="11">
        <f t="shared" si="43"/>
        <v>3804.7760505183724</v>
      </c>
      <c r="Y146" s="11">
        <v>-8156.2677796695634</v>
      </c>
      <c r="Z146" s="11">
        <f t="shared" si="44"/>
        <v>104033.74644031285</v>
      </c>
    </row>
    <row r="147" spans="1:26" x14ac:dyDescent="0.2">
      <c r="A147" s="45" t="s">
        <v>194</v>
      </c>
      <c r="B147" s="11">
        <v>0</v>
      </c>
      <c r="C147" s="11">
        <v>0</v>
      </c>
      <c r="D147" s="11">
        <v>0</v>
      </c>
      <c r="E147" s="11">
        <v>0</v>
      </c>
      <c r="F147" s="11">
        <v>0</v>
      </c>
      <c r="G147" s="11">
        <v>0</v>
      </c>
      <c r="H147" s="11">
        <f t="shared" si="39"/>
        <v>0</v>
      </c>
      <c r="I147" s="11">
        <v>0</v>
      </c>
      <c r="J147" s="11">
        <v>0</v>
      </c>
      <c r="K147" s="11">
        <v>0</v>
      </c>
      <c r="L147" s="11">
        <v>2457.4198613853246</v>
      </c>
      <c r="M147" s="11">
        <f t="shared" si="40"/>
        <v>2457.4198613853246</v>
      </c>
      <c r="N147" s="11">
        <v>0</v>
      </c>
      <c r="O147" s="11">
        <v>0</v>
      </c>
      <c r="P147" s="11">
        <v>0</v>
      </c>
      <c r="Q147" s="11">
        <v>0</v>
      </c>
      <c r="R147" s="11">
        <f t="shared" si="41"/>
        <v>0</v>
      </c>
      <c r="S147" s="11">
        <v>0</v>
      </c>
      <c r="T147" s="11">
        <v>0</v>
      </c>
      <c r="U147" s="11">
        <v>0</v>
      </c>
      <c r="V147" s="11">
        <v>0</v>
      </c>
      <c r="W147" s="11">
        <f t="shared" si="42"/>
        <v>0</v>
      </c>
      <c r="X147" s="11">
        <f t="shared" si="43"/>
        <v>0</v>
      </c>
      <c r="Y147" s="11">
        <v>0</v>
      </c>
      <c r="Z147" s="11">
        <f t="shared" si="44"/>
        <v>2457.4198613853246</v>
      </c>
    </row>
    <row r="148" spans="1:26" x14ac:dyDescent="0.2">
      <c r="A148" s="45" t="s">
        <v>195</v>
      </c>
      <c r="B148" s="11">
        <v>0</v>
      </c>
      <c r="C148" s="11">
        <v>0</v>
      </c>
      <c r="D148" s="11">
        <v>34789.235941986044</v>
      </c>
      <c r="E148" s="11">
        <v>0</v>
      </c>
      <c r="F148" s="11">
        <v>0</v>
      </c>
      <c r="G148" s="11">
        <v>0</v>
      </c>
      <c r="H148" s="11">
        <f t="shared" si="39"/>
        <v>34789.235941986044</v>
      </c>
      <c r="I148" s="11">
        <v>0</v>
      </c>
      <c r="J148" s="11">
        <v>0</v>
      </c>
      <c r="K148" s="11">
        <v>0</v>
      </c>
      <c r="L148" s="11">
        <v>45481.737991949682</v>
      </c>
      <c r="M148" s="11">
        <f t="shared" si="40"/>
        <v>45481.737991949682</v>
      </c>
      <c r="N148" s="11">
        <v>0</v>
      </c>
      <c r="O148" s="11">
        <v>0</v>
      </c>
      <c r="P148" s="11">
        <v>0</v>
      </c>
      <c r="Q148" s="11">
        <v>0</v>
      </c>
      <c r="R148" s="11">
        <f t="shared" si="41"/>
        <v>0</v>
      </c>
      <c r="S148" s="11">
        <v>0</v>
      </c>
      <c r="T148" s="11">
        <v>0</v>
      </c>
      <c r="U148" s="11">
        <v>18217.671401812764</v>
      </c>
      <c r="V148" s="11">
        <v>42315.498092550115</v>
      </c>
      <c r="W148" s="11">
        <f t="shared" si="42"/>
        <v>60533.169494362883</v>
      </c>
      <c r="X148" s="11">
        <f t="shared" si="43"/>
        <v>60533.169494362883</v>
      </c>
      <c r="Y148" s="11">
        <v>60630.276412230371</v>
      </c>
      <c r="Z148" s="11">
        <f t="shared" si="44"/>
        <v>201434.41984052895</v>
      </c>
    </row>
    <row r="149" spans="1:26" x14ac:dyDescent="0.2">
      <c r="A149" s="45" t="s">
        <v>196</v>
      </c>
      <c r="B149" s="11">
        <v>0</v>
      </c>
      <c r="C149" s="11">
        <v>0</v>
      </c>
      <c r="D149" s="11">
        <v>0</v>
      </c>
      <c r="E149" s="11">
        <v>0</v>
      </c>
      <c r="F149" s="11">
        <v>0</v>
      </c>
      <c r="G149" s="11">
        <v>0</v>
      </c>
      <c r="H149" s="11">
        <f t="shared" si="39"/>
        <v>0</v>
      </c>
      <c r="I149" s="11">
        <v>0</v>
      </c>
      <c r="J149" s="11">
        <v>0</v>
      </c>
      <c r="K149" s="11">
        <v>0</v>
      </c>
      <c r="L149" s="11">
        <v>12008.346017201886</v>
      </c>
      <c r="M149" s="11">
        <f t="shared" si="40"/>
        <v>12008.346017201886</v>
      </c>
      <c r="N149" s="11">
        <v>0</v>
      </c>
      <c r="O149" s="11">
        <v>0</v>
      </c>
      <c r="P149" s="11">
        <v>0</v>
      </c>
      <c r="Q149" s="11">
        <v>0</v>
      </c>
      <c r="R149" s="11">
        <f t="shared" si="41"/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f t="shared" si="42"/>
        <v>0</v>
      </c>
      <c r="X149" s="11">
        <f t="shared" si="43"/>
        <v>0</v>
      </c>
      <c r="Y149" s="11">
        <v>0</v>
      </c>
      <c r="Z149" s="11">
        <f t="shared" si="44"/>
        <v>12008.346017201886</v>
      </c>
    </row>
    <row r="150" spans="1:26" x14ac:dyDescent="0.2">
      <c r="A150" s="45" t="s">
        <v>197</v>
      </c>
      <c r="B150" s="11">
        <v>0</v>
      </c>
      <c r="C150" s="11">
        <v>7718.5897637311155</v>
      </c>
      <c r="D150" s="11">
        <v>3082.6357247236942</v>
      </c>
      <c r="E150" s="11">
        <v>15548.915496783853</v>
      </c>
      <c r="F150" s="11">
        <v>0</v>
      </c>
      <c r="G150" s="11">
        <v>0</v>
      </c>
      <c r="H150" s="11">
        <f t="shared" si="39"/>
        <v>26350.140985238664</v>
      </c>
      <c r="I150" s="11">
        <v>0</v>
      </c>
      <c r="J150" s="11">
        <v>0</v>
      </c>
      <c r="K150" s="11">
        <v>0</v>
      </c>
      <c r="L150" s="11">
        <v>363071.58651584061</v>
      </c>
      <c r="M150" s="11">
        <f t="shared" si="40"/>
        <v>363071.58651584061</v>
      </c>
      <c r="N150" s="11">
        <v>0</v>
      </c>
      <c r="O150" s="11">
        <v>821.40702346978844</v>
      </c>
      <c r="P150" s="11">
        <v>0</v>
      </c>
      <c r="Q150" s="11">
        <v>0</v>
      </c>
      <c r="R150" s="11">
        <f t="shared" si="41"/>
        <v>821.40702346978844</v>
      </c>
      <c r="S150" s="11">
        <v>0</v>
      </c>
      <c r="T150" s="11">
        <v>0</v>
      </c>
      <c r="U150" s="11">
        <v>33743.769552076817</v>
      </c>
      <c r="V150" s="11">
        <v>88524.754888719588</v>
      </c>
      <c r="W150" s="11">
        <f t="shared" si="42"/>
        <v>122268.52444079641</v>
      </c>
      <c r="X150" s="11">
        <f t="shared" si="43"/>
        <v>123089.93146426619</v>
      </c>
      <c r="Y150" s="11">
        <v>272984.50347869785</v>
      </c>
      <c r="Z150" s="11">
        <f t="shared" si="44"/>
        <v>785496.16244404332</v>
      </c>
    </row>
    <row r="151" spans="1:26" x14ac:dyDescent="0.2">
      <c r="A151" s="45" t="s">
        <v>198</v>
      </c>
      <c r="B151" s="11">
        <v>0</v>
      </c>
      <c r="C151" s="11">
        <v>0</v>
      </c>
      <c r="D151" s="11">
        <v>0</v>
      </c>
      <c r="E151" s="11">
        <v>0</v>
      </c>
      <c r="F151" s="11">
        <v>0</v>
      </c>
      <c r="G151" s="11">
        <v>62216.067976990511</v>
      </c>
      <c r="H151" s="11">
        <f t="shared" si="39"/>
        <v>62216.067976990511</v>
      </c>
      <c r="I151" s="11">
        <v>1467.5182207633675</v>
      </c>
      <c r="J151" s="11">
        <v>0</v>
      </c>
      <c r="K151" s="11">
        <v>13552.146994970859</v>
      </c>
      <c r="L151" s="11">
        <v>0</v>
      </c>
      <c r="M151" s="11">
        <f t="shared" si="40"/>
        <v>15019.665215734227</v>
      </c>
      <c r="N151" s="11">
        <v>0</v>
      </c>
      <c r="O151" s="11">
        <v>0</v>
      </c>
      <c r="P151" s="11">
        <v>0</v>
      </c>
      <c r="Q151" s="11">
        <v>0</v>
      </c>
      <c r="R151" s="11">
        <f t="shared" si="41"/>
        <v>0</v>
      </c>
      <c r="S151" s="11">
        <v>3563.1674275820269</v>
      </c>
      <c r="T151" s="11">
        <v>0</v>
      </c>
      <c r="U151" s="11">
        <v>1217.0227127885596</v>
      </c>
      <c r="V151" s="11">
        <v>9429.5341235613269</v>
      </c>
      <c r="W151" s="11">
        <f t="shared" si="42"/>
        <v>14209.724263931914</v>
      </c>
      <c r="X151" s="11">
        <f t="shared" si="43"/>
        <v>14209.724263931914</v>
      </c>
      <c r="Y151" s="11">
        <v>166651.39847170582</v>
      </c>
      <c r="Z151" s="11">
        <f t="shared" si="44"/>
        <v>258096.85592836246</v>
      </c>
    </row>
    <row r="152" spans="1:26" x14ac:dyDescent="0.2">
      <c r="A152" s="45" t="s">
        <v>199</v>
      </c>
      <c r="B152" s="11">
        <v>0</v>
      </c>
      <c r="C152" s="11">
        <v>0</v>
      </c>
      <c r="D152" s="11">
        <v>1394.294562158776</v>
      </c>
      <c r="E152" s="11">
        <v>0</v>
      </c>
      <c r="F152" s="11">
        <v>0</v>
      </c>
      <c r="G152" s="11">
        <v>11788.298983846862</v>
      </c>
      <c r="H152" s="11">
        <f t="shared" si="39"/>
        <v>13182.593546005639</v>
      </c>
      <c r="I152" s="11">
        <v>0</v>
      </c>
      <c r="J152" s="11">
        <v>0</v>
      </c>
      <c r="K152" s="11">
        <v>0</v>
      </c>
      <c r="L152" s="11">
        <v>59272.265929421541</v>
      </c>
      <c r="M152" s="11">
        <f t="shared" si="40"/>
        <v>59272.265929421541</v>
      </c>
      <c r="N152" s="11">
        <v>0</v>
      </c>
      <c r="O152" s="11">
        <v>0</v>
      </c>
      <c r="P152" s="11">
        <v>0</v>
      </c>
      <c r="Q152" s="11">
        <v>0</v>
      </c>
      <c r="R152" s="11">
        <f t="shared" si="41"/>
        <v>0</v>
      </c>
      <c r="S152" s="11">
        <v>805.30793284670187</v>
      </c>
      <c r="T152" s="11">
        <v>0</v>
      </c>
      <c r="U152" s="11">
        <v>20897.540523404892</v>
      </c>
      <c r="V152" s="11">
        <v>0</v>
      </c>
      <c r="W152" s="11">
        <f t="shared" si="42"/>
        <v>21702.848456251595</v>
      </c>
      <c r="X152" s="11">
        <f t="shared" si="43"/>
        <v>21702.848456251595</v>
      </c>
      <c r="Y152" s="11">
        <v>8569.1017681333651</v>
      </c>
      <c r="Z152" s="11">
        <f t="shared" si="44"/>
        <v>102726.80969981213</v>
      </c>
    </row>
    <row r="153" spans="1:26" ht="10.5" x14ac:dyDescent="0.25">
      <c r="A153" s="7" t="s">
        <v>200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x14ac:dyDescent="0.2">
      <c r="A154" s="8" t="s">
        <v>201</v>
      </c>
      <c r="B154" s="11">
        <v>0</v>
      </c>
      <c r="C154" s="11">
        <v>0</v>
      </c>
      <c r="D154" s="11">
        <v>0</v>
      </c>
      <c r="E154" s="11">
        <v>0</v>
      </c>
      <c r="F154" s="11">
        <v>0</v>
      </c>
      <c r="G154" s="11">
        <v>0</v>
      </c>
      <c r="H154" s="11">
        <f>SUM(C154:G154)</f>
        <v>0</v>
      </c>
      <c r="I154" s="11">
        <v>0</v>
      </c>
      <c r="J154" s="11">
        <v>0</v>
      </c>
      <c r="K154" s="11">
        <v>0</v>
      </c>
      <c r="L154" s="11">
        <v>3524.1875070885421</v>
      </c>
      <c r="M154" s="11">
        <f>SUM(I154:L154)</f>
        <v>3524.1875070885421</v>
      </c>
      <c r="N154" s="11">
        <v>0</v>
      </c>
      <c r="O154" s="11">
        <v>0</v>
      </c>
      <c r="P154" s="11">
        <v>0</v>
      </c>
      <c r="Q154" s="11">
        <v>0</v>
      </c>
      <c r="R154" s="11">
        <f>SUM(O154:Q154)</f>
        <v>0</v>
      </c>
      <c r="S154" s="11">
        <v>0</v>
      </c>
      <c r="T154" s="11">
        <v>0</v>
      </c>
      <c r="U154" s="11">
        <v>0</v>
      </c>
      <c r="V154" s="11">
        <v>0</v>
      </c>
      <c r="W154" s="11">
        <f>SUM(S154:V154)</f>
        <v>0</v>
      </c>
      <c r="X154" s="11">
        <f>SUM(N154,R154,W154)</f>
        <v>0</v>
      </c>
      <c r="Y154" s="11">
        <v>105461.55883329862</v>
      </c>
      <c r="Z154" s="11">
        <f>SUM(B154,H154,M154,X154:Y154)</f>
        <v>108985.74634038717</v>
      </c>
    </row>
    <row r="155" spans="1:26" x14ac:dyDescent="0.2">
      <c r="A155" s="8" t="s">
        <v>202</v>
      </c>
      <c r="B155" s="11">
        <v>0</v>
      </c>
      <c r="C155" s="11">
        <v>0</v>
      </c>
      <c r="D155" s="11">
        <v>0</v>
      </c>
      <c r="E155" s="11">
        <v>0</v>
      </c>
      <c r="F155" s="11">
        <v>0</v>
      </c>
      <c r="G155" s="11">
        <v>0</v>
      </c>
      <c r="H155" s="11">
        <f>SUM(C155:G155)</f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f>SUM(I155:L155)</f>
        <v>0</v>
      </c>
      <c r="N155" s="11">
        <v>0</v>
      </c>
      <c r="O155" s="11">
        <v>0</v>
      </c>
      <c r="P155" s="11">
        <v>0</v>
      </c>
      <c r="Q155" s="11">
        <v>0</v>
      </c>
      <c r="R155" s="11">
        <f>SUM(O155:Q155)</f>
        <v>0</v>
      </c>
      <c r="S155" s="11">
        <v>0</v>
      </c>
      <c r="T155" s="11">
        <v>0</v>
      </c>
      <c r="U155" s="11">
        <v>0</v>
      </c>
      <c r="V155" s="11">
        <v>0</v>
      </c>
      <c r="W155" s="11">
        <f>SUM(S155:V155)</f>
        <v>0</v>
      </c>
      <c r="X155" s="11">
        <f>SUM(N155,R155,W155)</f>
        <v>0</v>
      </c>
      <c r="Y155" s="11">
        <v>30.815631614654119</v>
      </c>
      <c r="Z155" s="11">
        <f>SUM(B155,H155,M155,X155:Y155)</f>
        <v>30.815631614654119</v>
      </c>
    </row>
    <row r="156" spans="1:26" ht="10.5" x14ac:dyDescent="0.25">
      <c r="A156" s="12" t="s">
        <v>203</v>
      </c>
      <c r="B156" s="13">
        <f t="shared" ref="B156:Z156" si="45">SUM(B154:B155)</f>
        <v>0</v>
      </c>
      <c r="C156" s="13">
        <f t="shared" si="45"/>
        <v>0</v>
      </c>
      <c r="D156" s="13">
        <f t="shared" si="45"/>
        <v>0</v>
      </c>
      <c r="E156" s="13">
        <f t="shared" si="45"/>
        <v>0</v>
      </c>
      <c r="F156" s="13">
        <f t="shared" si="45"/>
        <v>0</v>
      </c>
      <c r="G156" s="13">
        <f t="shared" si="45"/>
        <v>0</v>
      </c>
      <c r="H156" s="13">
        <f t="shared" si="45"/>
        <v>0</v>
      </c>
      <c r="I156" s="13">
        <f t="shared" si="45"/>
        <v>0</v>
      </c>
      <c r="J156" s="13">
        <f t="shared" si="45"/>
        <v>0</v>
      </c>
      <c r="K156" s="13">
        <f t="shared" si="45"/>
        <v>0</v>
      </c>
      <c r="L156" s="13">
        <f t="shared" si="45"/>
        <v>3524.1875070885421</v>
      </c>
      <c r="M156" s="13">
        <f t="shared" si="45"/>
        <v>3524.1875070885421</v>
      </c>
      <c r="N156" s="13">
        <f t="shared" si="45"/>
        <v>0</v>
      </c>
      <c r="O156" s="13">
        <f t="shared" si="45"/>
        <v>0</v>
      </c>
      <c r="P156" s="13">
        <f t="shared" si="45"/>
        <v>0</v>
      </c>
      <c r="Q156" s="13">
        <f t="shared" si="45"/>
        <v>0</v>
      </c>
      <c r="R156" s="13">
        <f t="shared" si="45"/>
        <v>0</v>
      </c>
      <c r="S156" s="13">
        <f t="shared" si="45"/>
        <v>0</v>
      </c>
      <c r="T156" s="13">
        <f t="shared" si="45"/>
        <v>0</v>
      </c>
      <c r="U156" s="13">
        <f t="shared" si="45"/>
        <v>0</v>
      </c>
      <c r="V156" s="13">
        <f t="shared" si="45"/>
        <v>0</v>
      </c>
      <c r="W156" s="13">
        <f t="shared" si="45"/>
        <v>0</v>
      </c>
      <c r="X156" s="13">
        <f t="shared" si="45"/>
        <v>0</v>
      </c>
      <c r="Y156" s="13">
        <f t="shared" si="45"/>
        <v>105492.37446491327</v>
      </c>
      <c r="Z156" s="13">
        <f t="shared" si="45"/>
        <v>109016.56197200181</v>
      </c>
    </row>
    <row r="157" spans="1:26" ht="10.5" x14ac:dyDescent="0.25">
      <c r="A157" s="7" t="s">
        <v>204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x14ac:dyDescent="0.2">
      <c r="A158" s="8" t="s">
        <v>205</v>
      </c>
      <c r="B158" s="11">
        <v>0</v>
      </c>
      <c r="C158" s="11">
        <v>0</v>
      </c>
      <c r="D158" s="11">
        <v>0</v>
      </c>
      <c r="E158" s="11">
        <v>42996.394563435548</v>
      </c>
      <c r="F158" s="11">
        <v>0</v>
      </c>
      <c r="G158" s="11">
        <v>390784.11930922203</v>
      </c>
      <c r="H158" s="11">
        <f>SUM(C158:G158)</f>
        <v>433780.51387265755</v>
      </c>
      <c r="I158" s="11">
        <v>0</v>
      </c>
      <c r="J158" s="11">
        <v>0</v>
      </c>
      <c r="K158" s="11">
        <v>2692.7303485450284</v>
      </c>
      <c r="L158" s="11">
        <v>30421.907061444246</v>
      </c>
      <c r="M158" s="11">
        <f>SUM(I158:L158)</f>
        <v>33114.637409989271</v>
      </c>
      <c r="N158" s="11">
        <v>0</v>
      </c>
      <c r="O158" s="11">
        <v>0</v>
      </c>
      <c r="P158" s="11">
        <v>0</v>
      </c>
      <c r="Q158" s="11">
        <v>967.47490350837177</v>
      </c>
      <c r="R158" s="11">
        <f>SUM(O158:Q158)</f>
        <v>967.47490350837177</v>
      </c>
      <c r="S158" s="11">
        <v>-23506.6727765326</v>
      </c>
      <c r="T158" s="11">
        <v>12236.295741471917</v>
      </c>
      <c r="U158" s="11">
        <v>46659.417842498246</v>
      </c>
      <c r="V158" s="11">
        <v>39478.272309515873</v>
      </c>
      <c r="W158" s="11">
        <f>SUM(S158:V158)</f>
        <v>74867.313116953432</v>
      </c>
      <c r="X158" s="11">
        <f>SUM(N158,R158,W158)</f>
        <v>75834.788020461798</v>
      </c>
      <c r="Y158" s="11">
        <v>7393.0038891466302</v>
      </c>
      <c r="Z158" s="11">
        <f>SUM(B158,H158,M158,X158:Y158)</f>
        <v>550122.94319225522</v>
      </c>
    </row>
    <row r="159" spans="1:26" x14ac:dyDescent="0.2">
      <c r="A159" s="8" t="s">
        <v>206</v>
      </c>
      <c r="B159" s="11">
        <v>0</v>
      </c>
      <c r="C159" s="11">
        <v>0</v>
      </c>
      <c r="D159" s="11">
        <v>2288.4557960173324</v>
      </c>
      <c r="E159" s="11">
        <v>281531.99435751367</v>
      </c>
      <c r="F159" s="11">
        <v>0</v>
      </c>
      <c r="G159" s="11">
        <v>-53370.756852675171</v>
      </c>
      <c r="H159" s="11">
        <f>SUM(C159:G159)</f>
        <v>230449.69330085581</v>
      </c>
      <c r="I159" s="11">
        <v>0</v>
      </c>
      <c r="J159" s="11">
        <v>0</v>
      </c>
      <c r="K159" s="11">
        <v>0</v>
      </c>
      <c r="L159" s="11">
        <v>62558.486504596804</v>
      </c>
      <c r="M159" s="11">
        <f>SUM(I159:L159)</f>
        <v>62558.486504596804</v>
      </c>
      <c r="N159" s="11">
        <v>-11360.490345551139</v>
      </c>
      <c r="O159" s="11">
        <v>0</v>
      </c>
      <c r="P159" s="11">
        <v>0</v>
      </c>
      <c r="Q159" s="11">
        <v>0</v>
      </c>
      <c r="R159" s="11">
        <f>SUM(O159:Q159)</f>
        <v>0</v>
      </c>
      <c r="S159" s="11">
        <v>-6990.2682349213201</v>
      </c>
      <c r="T159" s="11">
        <v>0</v>
      </c>
      <c r="U159" s="11">
        <v>460.09182828498473</v>
      </c>
      <c r="V159" s="11">
        <v>31372.979024214947</v>
      </c>
      <c r="W159" s="11">
        <f>SUM(S159:V159)</f>
        <v>24842.802617578611</v>
      </c>
      <c r="X159" s="11">
        <f>SUM(N159,R159,W159)</f>
        <v>13482.312272027471</v>
      </c>
      <c r="Y159" s="11">
        <v>-12243.872227540885</v>
      </c>
      <c r="Z159" s="11">
        <f>SUM(B159,H159,M159,X159:Y159)</f>
        <v>294246.61984993919</v>
      </c>
    </row>
    <row r="160" spans="1:26" ht="10.5" x14ac:dyDescent="0.25">
      <c r="A160" s="12" t="s">
        <v>207</v>
      </c>
      <c r="B160" s="13">
        <f t="shared" ref="B160:Z160" si="46">SUM(B158:B159)</f>
        <v>0</v>
      </c>
      <c r="C160" s="13">
        <f t="shared" si="46"/>
        <v>0</v>
      </c>
      <c r="D160" s="13">
        <f t="shared" si="46"/>
        <v>2288.4557960173324</v>
      </c>
      <c r="E160" s="13">
        <f t="shared" si="46"/>
        <v>324528.38892094919</v>
      </c>
      <c r="F160" s="13">
        <f t="shared" si="46"/>
        <v>0</v>
      </c>
      <c r="G160" s="13">
        <f t="shared" si="46"/>
        <v>337413.36245654686</v>
      </c>
      <c r="H160" s="13">
        <f t="shared" si="46"/>
        <v>664230.20717351336</v>
      </c>
      <c r="I160" s="13">
        <f t="shared" si="46"/>
        <v>0</v>
      </c>
      <c r="J160" s="13">
        <f t="shared" si="46"/>
        <v>0</v>
      </c>
      <c r="K160" s="13">
        <f t="shared" si="46"/>
        <v>2692.7303485450284</v>
      </c>
      <c r="L160" s="13">
        <f t="shared" si="46"/>
        <v>92980.39356604105</v>
      </c>
      <c r="M160" s="13">
        <f t="shared" si="46"/>
        <v>95673.123914586075</v>
      </c>
      <c r="N160" s="13">
        <f t="shared" si="46"/>
        <v>-11360.490345551139</v>
      </c>
      <c r="O160" s="13">
        <f t="shared" si="46"/>
        <v>0</v>
      </c>
      <c r="P160" s="13">
        <f t="shared" si="46"/>
        <v>0</v>
      </c>
      <c r="Q160" s="13">
        <f t="shared" si="46"/>
        <v>967.47490350837177</v>
      </c>
      <c r="R160" s="13">
        <f t="shared" si="46"/>
        <v>967.47490350837177</v>
      </c>
      <c r="S160" s="13">
        <f t="shared" si="46"/>
        <v>-30496.941011453921</v>
      </c>
      <c r="T160" s="13">
        <f t="shared" si="46"/>
        <v>12236.295741471917</v>
      </c>
      <c r="U160" s="13">
        <f t="shared" si="46"/>
        <v>47119.509670783227</v>
      </c>
      <c r="V160" s="13">
        <f t="shared" si="46"/>
        <v>70851.251333730819</v>
      </c>
      <c r="W160" s="13">
        <f t="shared" si="46"/>
        <v>99710.115734532039</v>
      </c>
      <c r="X160" s="13">
        <f t="shared" si="46"/>
        <v>89317.100292489267</v>
      </c>
      <c r="Y160" s="13">
        <f t="shared" si="46"/>
        <v>-4850.8683383942553</v>
      </c>
      <c r="Z160" s="13">
        <f t="shared" si="46"/>
        <v>844369.56304219435</v>
      </c>
    </row>
    <row r="161" spans="1:26" ht="10.5" x14ac:dyDescent="0.25">
      <c r="A161" s="14" t="s">
        <v>208</v>
      </c>
      <c r="B161" s="13">
        <f t="shared" ref="B161:Z161" si="47">SUM(B137:B152,B156,B160)</f>
        <v>509.19135313811159</v>
      </c>
      <c r="C161" s="13">
        <f t="shared" si="47"/>
        <v>7718.5897637311155</v>
      </c>
      <c r="D161" s="13">
        <f t="shared" si="47"/>
        <v>47364.923025225697</v>
      </c>
      <c r="E161" s="13">
        <f t="shared" si="47"/>
        <v>380341.25235348562</v>
      </c>
      <c r="F161" s="13">
        <f t="shared" si="47"/>
        <v>0</v>
      </c>
      <c r="G161" s="13">
        <f t="shared" si="47"/>
        <v>420294.8102268884</v>
      </c>
      <c r="H161" s="13">
        <f t="shared" si="47"/>
        <v>855719.57536933082</v>
      </c>
      <c r="I161" s="13">
        <f t="shared" si="47"/>
        <v>1467.5182207633675</v>
      </c>
      <c r="J161" s="13">
        <f t="shared" si="47"/>
        <v>0</v>
      </c>
      <c r="K161" s="13">
        <f t="shared" si="47"/>
        <v>18710.516700134904</v>
      </c>
      <c r="L161" s="13">
        <f t="shared" si="47"/>
        <v>887327.8568394453</v>
      </c>
      <c r="M161" s="13">
        <f t="shared" si="47"/>
        <v>907505.89176034369</v>
      </c>
      <c r="N161" s="13">
        <f t="shared" si="47"/>
        <v>-11360.490345551139</v>
      </c>
      <c r="O161" s="13">
        <f t="shared" si="47"/>
        <v>821.40702346978844</v>
      </c>
      <c r="P161" s="13">
        <f t="shared" si="47"/>
        <v>0</v>
      </c>
      <c r="Q161" s="13">
        <f t="shared" si="47"/>
        <v>967.47490350837177</v>
      </c>
      <c r="R161" s="13">
        <f t="shared" si="47"/>
        <v>1788.8819269781602</v>
      </c>
      <c r="S161" s="13">
        <f t="shared" si="47"/>
        <v>-35671.058408391895</v>
      </c>
      <c r="T161" s="13">
        <f t="shared" si="47"/>
        <v>12236.295741471917</v>
      </c>
      <c r="U161" s="13">
        <f t="shared" si="47"/>
        <v>134707.15811112945</v>
      </c>
      <c r="V161" s="13">
        <f t="shared" si="47"/>
        <v>222842.54937751059</v>
      </c>
      <c r="W161" s="13">
        <f t="shared" si="47"/>
        <v>334114.94482172013</v>
      </c>
      <c r="X161" s="13">
        <f t="shared" si="47"/>
        <v>324543.33640314714</v>
      </c>
      <c r="Y161" s="13">
        <f t="shared" si="47"/>
        <v>604103.05118335539</v>
      </c>
      <c r="Z161" s="13">
        <f t="shared" si="47"/>
        <v>2692381.0460693147</v>
      </c>
    </row>
    <row r="162" spans="1:26" ht="10.5" x14ac:dyDescent="0.25">
      <c r="A162" s="15" t="s">
        <v>235</v>
      </c>
      <c r="B162" s="13">
        <f t="shared" ref="B162:Z162" si="48">SUM(B135,B161)</f>
        <v>1483174.3426411648</v>
      </c>
      <c r="C162" s="13">
        <f t="shared" si="48"/>
        <v>24565.423346991309</v>
      </c>
      <c r="D162" s="13">
        <f t="shared" si="48"/>
        <v>128476.77416540544</v>
      </c>
      <c r="E162" s="13">
        <f t="shared" si="48"/>
        <v>546458.66415804368</v>
      </c>
      <c r="F162" s="13">
        <f t="shared" si="48"/>
        <v>6496.1544872652303</v>
      </c>
      <c r="G162" s="13">
        <f t="shared" si="48"/>
        <v>661469.22481715679</v>
      </c>
      <c r="H162" s="13">
        <f t="shared" si="48"/>
        <v>1367466.2409748626</v>
      </c>
      <c r="I162" s="13">
        <f t="shared" si="48"/>
        <v>17237.119922339949</v>
      </c>
      <c r="J162" s="13">
        <f t="shared" si="48"/>
        <v>21874.888964603699</v>
      </c>
      <c r="K162" s="13">
        <f t="shared" si="48"/>
        <v>19872.563713873082</v>
      </c>
      <c r="L162" s="13">
        <f t="shared" si="48"/>
        <v>1331553.6660486571</v>
      </c>
      <c r="M162" s="13">
        <f t="shared" si="48"/>
        <v>1390538.238649474</v>
      </c>
      <c r="N162" s="13">
        <f t="shared" si="48"/>
        <v>-11360.490345551139</v>
      </c>
      <c r="O162" s="13">
        <f t="shared" si="48"/>
        <v>3675.5297977664864</v>
      </c>
      <c r="P162" s="13">
        <f t="shared" si="48"/>
        <v>0</v>
      </c>
      <c r="Q162" s="13">
        <f t="shared" si="48"/>
        <v>16528.073892860466</v>
      </c>
      <c r="R162" s="13">
        <f t="shared" si="48"/>
        <v>20203.603690626951</v>
      </c>
      <c r="S162" s="13">
        <f t="shared" si="48"/>
        <v>119615.90914092024</v>
      </c>
      <c r="T162" s="13">
        <f t="shared" si="48"/>
        <v>12236.295741471917</v>
      </c>
      <c r="U162" s="13">
        <f t="shared" si="48"/>
        <v>478607.35141266906</v>
      </c>
      <c r="V162" s="13">
        <f t="shared" si="48"/>
        <v>242561.49317691085</v>
      </c>
      <c r="W162" s="13">
        <f t="shared" si="48"/>
        <v>853021.04947197204</v>
      </c>
      <c r="X162" s="13">
        <f t="shared" si="48"/>
        <v>861864.16281704791</v>
      </c>
      <c r="Y162" s="13">
        <f t="shared" si="48"/>
        <v>1985448.5451925443</v>
      </c>
      <c r="Z162" s="13">
        <f t="shared" si="48"/>
        <v>7088491.5302750934</v>
      </c>
    </row>
    <row r="163" spans="1:26" ht="10.5" x14ac:dyDescent="0.2">
      <c r="A163" s="17" t="s">
        <v>59</v>
      </c>
      <c r="B163" s="18">
        <f t="shared" ref="B163:Z163" si="49">B38-B162</f>
        <v>-1665653.3461167286</v>
      </c>
      <c r="C163" s="18">
        <f t="shared" si="49"/>
        <v>-27421.184967800342</v>
      </c>
      <c r="D163" s="18">
        <f t="shared" si="49"/>
        <v>-23503.500562101501</v>
      </c>
      <c r="E163" s="18">
        <f t="shared" si="49"/>
        <v>-329000.32946004107</v>
      </c>
      <c r="F163" s="18">
        <f t="shared" si="49"/>
        <v>-6496.1544872652303</v>
      </c>
      <c r="G163" s="18">
        <f t="shared" si="49"/>
        <v>2395844.49307492</v>
      </c>
      <c r="H163" s="18">
        <f t="shared" si="49"/>
        <v>2009423.323597712</v>
      </c>
      <c r="I163" s="18">
        <f t="shared" si="49"/>
        <v>-17237.119922339949</v>
      </c>
      <c r="J163" s="18">
        <f t="shared" si="49"/>
        <v>-19275.656816114271</v>
      </c>
      <c r="K163" s="18">
        <f t="shared" si="49"/>
        <v>-512.36085174724212</v>
      </c>
      <c r="L163" s="18">
        <f t="shared" si="49"/>
        <v>-603912.61043614405</v>
      </c>
      <c r="M163" s="18">
        <f t="shared" si="49"/>
        <v>-640937.74802634562</v>
      </c>
      <c r="N163" s="18">
        <f t="shared" si="49"/>
        <v>11360.490345551139</v>
      </c>
      <c r="O163" s="18">
        <f t="shared" si="49"/>
        <v>-3680.2961923435955</v>
      </c>
      <c r="P163" s="18">
        <f t="shared" si="49"/>
        <v>-10.746060495882304</v>
      </c>
      <c r="Q163" s="18">
        <f t="shared" si="49"/>
        <v>-16532.562510866956</v>
      </c>
      <c r="R163" s="18">
        <f t="shared" si="49"/>
        <v>-20223.604763706429</v>
      </c>
      <c r="S163" s="18">
        <f t="shared" si="49"/>
        <v>255640.91360488653</v>
      </c>
      <c r="T163" s="18">
        <f t="shared" si="49"/>
        <v>-65.46858788075042</v>
      </c>
      <c r="U163" s="18">
        <f t="shared" si="49"/>
        <v>-413025.31488000171</v>
      </c>
      <c r="V163" s="18">
        <f t="shared" si="49"/>
        <v>-159171.12009219767</v>
      </c>
      <c r="W163" s="18">
        <f t="shared" si="49"/>
        <v>-316620.98995519383</v>
      </c>
      <c r="X163" s="18">
        <f t="shared" si="49"/>
        <v>-325484.10437334911</v>
      </c>
      <c r="Y163" s="18">
        <f t="shared" si="49"/>
        <v>-1563062.0837706181</v>
      </c>
      <c r="Z163" s="18">
        <f t="shared" si="49"/>
        <v>-2185713.9586893283</v>
      </c>
    </row>
    <row r="164" spans="1:26" ht="10.5" x14ac:dyDescent="0.2">
      <c r="A164" s="3" t="s">
        <v>236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0.5" x14ac:dyDescent="0.25">
      <c r="A165" s="5" t="s">
        <v>209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0.5" x14ac:dyDescent="0.25">
      <c r="A166" s="6" t="s">
        <v>210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x14ac:dyDescent="0.2">
      <c r="A167" s="45" t="s">
        <v>211</v>
      </c>
      <c r="B167" s="11">
        <v>0</v>
      </c>
      <c r="C167" s="11">
        <v>0</v>
      </c>
      <c r="D167" s="11">
        <v>0</v>
      </c>
      <c r="E167" s="11">
        <v>0</v>
      </c>
      <c r="F167" s="11">
        <v>0</v>
      </c>
      <c r="G167" s="11">
        <v>7.2241794890296002E-2</v>
      </c>
      <c r="H167" s="11">
        <f>SUM(C167:G167)</f>
        <v>7.2241794890296002E-2</v>
      </c>
      <c r="I167" s="11">
        <v>0</v>
      </c>
      <c r="J167" s="11">
        <v>0</v>
      </c>
      <c r="K167" s="11">
        <v>0</v>
      </c>
      <c r="L167" s="11">
        <v>30.29</v>
      </c>
      <c r="M167" s="11">
        <f>SUM(I167:L167)</f>
        <v>30.29</v>
      </c>
      <c r="N167" s="11">
        <v>0</v>
      </c>
      <c r="O167" s="11">
        <v>0</v>
      </c>
      <c r="P167" s="11">
        <v>0</v>
      </c>
      <c r="Q167" s="11">
        <v>0</v>
      </c>
      <c r="R167" s="11">
        <f>SUM(O167:Q167)</f>
        <v>0</v>
      </c>
      <c r="S167" s="11">
        <v>0</v>
      </c>
      <c r="T167" s="11">
        <v>0</v>
      </c>
      <c r="U167" s="11">
        <v>0</v>
      </c>
      <c r="V167" s="11">
        <v>0</v>
      </c>
      <c r="W167" s="11">
        <f>SUM(S167:V167)</f>
        <v>0</v>
      </c>
      <c r="X167" s="11">
        <f>SUM(N167,R167,W167)</f>
        <v>0</v>
      </c>
      <c r="Y167" s="11">
        <v>0</v>
      </c>
      <c r="Z167" s="11">
        <f>SUM(B167,H167,M167,X167:Y167)</f>
        <v>30.362241794890295</v>
      </c>
    </row>
    <row r="168" spans="1:26" x14ac:dyDescent="0.2">
      <c r="A168" s="45" t="s">
        <v>212</v>
      </c>
      <c r="B168" s="11">
        <v>0</v>
      </c>
      <c r="C168" s="11">
        <v>0</v>
      </c>
      <c r="D168" s="11">
        <v>0</v>
      </c>
      <c r="E168" s="11">
        <v>0</v>
      </c>
      <c r="F168" s="11">
        <v>0</v>
      </c>
      <c r="G168" s="11">
        <v>165.63898630593241</v>
      </c>
      <c r="H168" s="11">
        <f>SUM(C168:G168)</f>
        <v>165.63898630593241</v>
      </c>
      <c r="I168" s="11">
        <v>0</v>
      </c>
      <c r="J168" s="11">
        <v>0</v>
      </c>
      <c r="K168" s="11">
        <v>0</v>
      </c>
      <c r="L168" s="11">
        <v>0</v>
      </c>
      <c r="M168" s="11">
        <f>SUM(I168:L168)</f>
        <v>0</v>
      </c>
      <c r="N168" s="11">
        <v>0</v>
      </c>
      <c r="O168" s="11">
        <v>0</v>
      </c>
      <c r="P168" s="11">
        <v>0</v>
      </c>
      <c r="Q168" s="11">
        <v>0</v>
      </c>
      <c r="R168" s="11">
        <f>SUM(O168:Q168)</f>
        <v>0</v>
      </c>
      <c r="S168" s="11">
        <v>0</v>
      </c>
      <c r="T168" s="11">
        <v>0</v>
      </c>
      <c r="U168" s="11">
        <v>0</v>
      </c>
      <c r="V168" s="11">
        <v>0</v>
      </c>
      <c r="W168" s="11">
        <f>SUM(S168:V168)</f>
        <v>0</v>
      </c>
      <c r="X168" s="11">
        <f>SUM(N168,R168,W168)</f>
        <v>0</v>
      </c>
      <c r="Y168" s="11">
        <v>0</v>
      </c>
      <c r="Z168" s="11">
        <f>SUM(B168,H168,M168,X168:Y168)</f>
        <v>165.63898630593241</v>
      </c>
    </row>
    <row r="169" spans="1:26" ht="10.5" x14ac:dyDescent="0.25">
      <c r="A169" s="14" t="s">
        <v>213</v>
      </c>
      <c r="B169" s="13">
        <f t="shared" ref="B169:Z169" si="50">SUM(B167:B168)</f>
        <v>0</v>
      </c>
      <c r="C169" s="13">
        <f t="shared" si="50"/>
        <v>0</v>
      </c>
      <c r="D169" s="13">
        <f t="shared" si="50"/>
        <v>0</v>
      </c>
      <c r="E169" s="13">
        <f t="shared" si="50"/>
        <v>0</v>
      </c>
      <c r="F169" s="13">
        <f t="shared" si="50"/>
        <v>0</v>
      </c>
      <c r="G169" s="13">
        <f t="shared" si="50"/>
        <v>165.71122810082269</v>
      </c>
      <c r="H169" s="13">
        <f t="shared" si="50"/>
        <v>165.71122810082269</v>
      </c>
      <c r="I169" s="13">
        <f t="shared" si="50"/>
        <v>0</v>
      </c>
      <c r="J169" s="13">
        <f t="shared" si="50"/>
        <v>0</v>
      </c>
      <c r="K169" s="13">
        <f t="shared" si="50"/>
        <v>0</v>
      </c>
      <c r="L169" s="13">
        <f t="shared" si="50"/>
        <v>30.29</v>
      </c>
      <c r="M169" s="13">
        <f t="shared" si="50"/>
        <v>30.29</v>
      </c>
      <c r="N169" s="13">
        <f t="shared" si="50"/>
        <v>0</v>
      </c>
      <c r="O169" s="13">
        <f t="shared" si="50"/>
        <v>0</v>
      </c>
      <c r="P169" s="13">
        <f t="shared" si="50"/>
        <v>0</v>
      </c>
      <c r="Q169" s="13">
        <f t="shared" si="50"/>
        <v>0</v>
      </c>
      <c r="R169" s="13">
        <f t="shared" si="50"/>
        <v>0</v>
      </c>
      <c r="S169" s="13">
        <f t="shared" si="50"/>
        <v>0</v>
      </c>
      <c r="T169" s="13">
        <f t="shared" si="50"/>
        <v>0</v>
      </c>
      <c r="U169" s="13">
        <f t="shared" si="50"/>
        <v>0</v>
      </c>
      <c r="V169" s="13">
        <f t="shared" si="50"/>
        <v>0</v>
      </c>
      <c r="W169" s="13">
        <f t="shared" si="50"/>
        <v>0</v>
      </c>
      <c r="X169" s="13">
        <f t="shared" si="50"/>
        <v>0</v>
      </c>
      <c r="Y169" s="13">
        <f t="shared" si="50"/>
        <v>0</v>
      </c>
      <c r="Z169" s="13">
        <f t="shared" si="50"/>
        <v>196.00122810082269</v>
      </c>
    </row>
    <row r="170" spans="1:26" ht="10.5" x14ac:dyDescent="0.25">
      <c r="A170" s="15" t="s">
        <v>214</v>
      </c>
      <c r="B170" s="13">
        <f t="shared" ref="B170:Z170" si="51">SUM(B169)</f>
        <v>0</v>
      </c>
      <c r="C170" s="13">
        <f t="shared" si="51"/>
        <v>0</v>
      </c>
      <c r="D170" s="13">
        <f t="shared" si="51"/>
        <v>0</v>
      </c>
      <c r="E170" s="13">
        <f t="shared" si="51"/>
        <v>0</v>
      </c>
      <c r="F170" s="13">
        <f t="shared" si="51"/>
        <v>0</v>
      </c>
      <c r="G170" s="13">
        <f t="shared" si="51"/>
        <v>165.71122810082269</v>
      </c>
      <c r="H170" s="13">
        <f t="shared" si="51"/>
        <v>165.71122810082269</v>
      </c>
      <c r="I170" s="13">
        <f t="shared" si="51"/>
        <v>0</v>
      </c>
      <c r="J170" s="13">
        <f t="shared" si="51"/>
        <v>0</v>
      </c>
      <c r="K170" s="13">
        <f t="shared" si="51"/>
        <v>0</v>
      </c>
      <c r="L170" s="13">
        <f t="shared" si="51"/>
        <v>30.29</v>
      </c>
      <c r="M170" s="13">
        <f t="shared" si="51"/>
        <v>30.29</v>
      </c>
      <c r="N170" s="13">
        <f t="shared" si="51"/>
        <v>0</v>
      </c>
      <c r="O170" s="13">
        <f t="shared" si="51"/>
        <v>0</v>
      </c>
      <c r="P170" s="13">
        <f t="shared" si="51"/>
        <v>0</v>
      </c>
      <c r="Q170" s="13">
        <f t="shared" si="51"/>
        <v>0</v>
      </c>
      <c r="R170" s="13">
        <f t="shared" si="51"/>
        <v>0</v>
      </c>
      <c r="S170" s="13">
        <f t="shared" si="51"/>
        <v>0</v>
      </c>
      <c r="T170" s="13">
        <f t="shared" si="51"/>
        <v>0</v>
      </c>
      <c r="U170" s="13">
        <f t="shared" si="51"/>
        <v>0</v>
      </c>
      <c r="V170" s="13">
        <f t="shared" si="51"/>
        <v>0</v>
      </c>
      <c r="W170" s="13">
        <f t="shared" si="51"/>
        <v>0</v>
      </c>
      <c r="X170" s="13">
        <f t="shared" si="51"/>
        <v>0</v>
      </c>
      <c r="Y170" s="13">
        <f t="shared" si="51"/>
        <v>0</v>
      </c>
      <c r="Z170" s="13">
        <f t="shared" si="51"/>
        <v>196.00122810082269</v>
      </c>
    </row>
    <row r="171" spans="1:26" ht="10.5" x14ac:dyDescent="0.25">
      <c r="A171" s="5" t="s">
        <v>237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x14ac:dyDescent="0.2">
      <c r="A172" s="49" t="s">
        <v>215</v>
      </c>
      <c r="B172" s="11">
        <v>0</v>
      </c>
      <c r="C172" s="11">
        <v>0</v>
      </c>
      <c r="D172" s="11">
        <v>0</v>
      </c>
      <c r="E172" s="11">
        <v>0</v>
      </c>
      <c r="F172" s="11">
        <v>0</v>
      </c>
      <c r="G172" s="11">
        <v>1702.830456095872</v>
      </c>
      <c r="H172" s="11">
        <f>SUM(C172:G172)</f>
        <v>1702.830456095872</v>
      </c>
      <c r="I172" s="11">
        <v>0</v>
      </c>
      <c r="J172" s="11">
        <v>0</v>
      </c>
      <c r="K172" s="11">
        <v>0</v>
      </c>
      <c r="L172" s="11">
        <v>0</v>
      </c>
      <c r="M172" s="11">
        <f>SUM(I172:L172)</f>
        <v>0</v>
      </c>
      <c r="N172" s="11">
        <v>0</v>
      </c>
      <c r="O172" s="11">
        <v>0</v>
      </c>
      <c r="P172" s="11">
        <v>0</v>
      </c>
      <c r="Q172" s="11">
        <v>0</v>
      </c>
      <c r="R172" s="11">
        <f>SUM(O172:Q172)</f>
        <v>0</v>
      </c>
      <c r="S172" s="11">
        <v>0</v>
      </c>
      <c r="T172" s="11">
        <v>0</v>
      </c>
      <c r="U172" s="11">
        <v>0</v>
      </c>
      <c r="V172" s="11">
        <v>0</v>
      </c>
      <c r="W172" s="11">
        <f>SUM(S172:V172)</f>
        <v>0</v>
      </c>
      <c r="X172" s="11">
        <f>SUM(N172,R172,W172)</f>
        <v>0</v>
      </c>
      <c r="Y172" s="11">
        <v>0</v>
      </c>
      <c r="Z172" s="11">
        <f>SUM(B172,H172,M172,X172:Y172)</f>
        <v>1702.830456095872</v>
      </c>
    </row>
    <row r="173" spans="1:26" ht="10.5" x14ac:dyDescent="0.25">
      <c r="A173" s="6" t="s">
        <v>216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x14ac:dyDescent="0.2">
      <c r="A174" s="45" t="s">
        <v>217</v>
      </c>
      <c r="B174" s="11">
        <v>0</v>
      </c>
      <c r="C174" s="11">
        <v>0</v>
      </c>
      <c r="D174" s="11">
        <v>0</v>
      </c>
      <c r="E174" s="11">
        <v>0</v>
      </c>
      <c r="F174" s="11">
        <v>0</v>
      </c>
      <c r="G174" s="11">
        <v>405.95228578186862</v>
      </c>
      <c r="H174" s="11">
        <f>SUM(C174:G174)</f>
        <v>405.95228578186862</v>
      </c>
      <c r="I174" s="11">
        <v>0</v>
      </c>
      <c r="J174" s="11">
        <v>0</v>
      </c>
      <c r="K174" s="11">
        <v>0</v>
      </c>
      <c r="L174" s="11">
        <v>0</v>
      </c>
      <c r="M174" s="11">
        <f>SUM(I174:L174)</f>
        <v>0</v>
      </c>
      <c r="N174" s="11">
        <v>0</v>
      </c>
      <c r="O174" s="11">
        <v>0</v>
      </c>
      <c r="P174" s="11">
        <v>0</v>
      </c>
      <c r="Q174" s="11">
        <v>0</v>
      </c>
      <c r="R174" s="11">
        <f>SUM(O174:Q174)</f>
        <v>0</v>
      </c>
      <c r="S174" s="11">
        <v>0</v>
      </c>
      <c r="T174" s="11">
        <v>0</v>
      </c>
      <c r="U174" s="11">
        <v>0</v>
      </c>
      <c r="V174" s="11">
        <v>0</v>
      </c>
      <c r="W174" s="11">
        <f>SUM(S174:V174)</f>
        <v>0</v>
      </c>
      <c r="X174" s="11">
        <f>SUM(N174,R174,W174)</f>
        <v>0</v>
      </c>
      <c r="Y174" s="11">
        <v>0</v>
      </c>
      <c r="Z174" s="11">
        <f>SUM(B174,H174,M174,X174:Y174)</f>
        <v>405.95228578186862</v>
      </c>
    </row>
    <row r="175" spans="1:26" ht="10.5" x14ac:dyDescent="0.25">
      <c r="A175" s="14" t="s">
        <v>218</v>
      </c>
      <c r="B175" s="13">
        <f t="shared" ref="B175:Z175" si="52">SUM(B174)</f>
        <v>0</v>
      </c>
      <c r="C175" s="13">
        <f t="shared" si="52"/>
        <v>0</v>
      </c>
      <c r="D175" s="13">
        <f t="shared" si="52"/>
        <v>0</v>
      </c>
      <c r="E175" s="13">
        <f t="shared" si="52"/>
        <v>0</v>
      </c>
      <c r="F175" s="13">
        <f t="shared" si="52"/>
        <v>0</v>
      </c>
      <c r="G175" s="13">
        <f t="shared" si="52"/>
        <v>405.95228578186862</v>
      </c>
      <c r="H175" s="13">
        <f t="shared" si="52"/>
        <v>405.95228578186862</v>
      </c>
      <c r="I175" s="13">
        <f t="shared" si="52"/>
        <v>0</v>
      </c>
      <c r="J175" s="13">
        <f t="shared" si="52"/>
        <v>0</v>
      </c>
      <c r="K175" s="13">
        <f t="shared" si="52"/>
        <v>0</v>
      </c>
      <c r="L175" s="13">
        <f t="shared" si="52"/>
        <v>0</v>
      </c>
      <c r="M175" s="13">
        <f t="shared" si="52"/>
        <v>0</v>
      </c>
      <c r="N175" s="13">
        <f t="shared" si="52"/>
        <v>0</v>
      </c>
      <c r="O175" s="13">
        <f t="shared" si="52"/>
        <v>0</v>
      </c>
      <c r="P175" s="13">
        <f t="shared" si="52"/>
        <v>0</v>
      </c>
      <c r="Q175" s="13">
        <f t="shared" si="52"/>
        <v>0</v>
      </c>
      <c r="R175" s="13">
        <f t="shared" si="52"/>
        <v>0</v>
      </c>
      <c r="S175" s="13">
        <f t="shared" si="52"/>
        <v>0</v>
      </c>
      <c r="T175" s="13">
        <f t="shared" si="52"/>
        <v>0</v>
      </c>
      <c r="U175" s="13">
        <f t="shared" si="52"/>
        <v>0</v>
      </c>
      <c r="V175" s="13">
        <f t="shared" si="52"/>
        <v>0</v>
      </c>
      <c r="W175" s="13">
        <f t="shared" si="52"/>
        <v>0</v>
      </c>
      <c r="X175" s="13">
        <f t="shared" si="52"/>
        <v>0</v>
      </c>
      <c r="Y175" s="13">
        <f t="shared" si="52"/>
        <v>0</v>
      </c>
      <c r="Z175" s="13">
        <f t="shared" si="52"/>
        <v>405.95228578186862</v>
      </c>
    </row>
    <row r="176" spans="1:26" x14ac:dyDescent="0.2">
      <c r="A176" s="49" t="s">
        <v>219</v>
      </c>
      <c r="B176" s="11">
        <v>0</v>
      </c>
      <c r="C176" s="11">
        <v>0</v>
      </c>
      <c r="D176" s="11">
        <v>-1.6462218871929481E-2</v>
      </c>
      <c r="E176" s="11">
        <v>1.140843088152484E-2</v>
      </c>
      <c r="F176" s="11">
        <v>0</v>
      </c>
      <c r="G176" s="11">
        <v>-2.4264089380992442E-2</v>
      </c>
      <c r="H176" s="11">
        <f>SUM(C176:G176)</f>
        <v>-2.9317877371397082E-2</v>
      </c>
      <c r="I176" s="11">
        <v>0</v>
      </c>
      <c r="J176" s="11">
        <v>0</v>
      </c>
      <c r="K176" s="11">
        <v>-1.189764736580221E-2</v>
      </c>
      <c r="L176" s="11">
        <v>-1.081301138025185E-2</v>
      </c>
      <c r="M176" s="11">
        <f>SUM(I176:L176)</f>
        <v>-2.271065874605406E-2</v>
      </c>
      <c r="N176" s="11">
        <v>0</v>
      </c>
      <c r="O176" s="11">
        <v>0</v>
      </c>
      <c r="P176" s="11">
        <v>0</v>
      </c>
      <c r="Q176" s="11">
        <v>0</v>
      </c>
      <c r="R176" s="11">
        <f>SUM(O176:Q176)</f>
        <v>0</v>
      </c>
      <c r="S176" s="11">
        <v>0</v>
      </c>
      <c r="T176" s="11">
        <v>0</v>
      </c>
      <c r="U176" s="11">
        <v>2.9029897702306808</v>
      </c>
      <c r="V176" s="11">
        <v>2.0082512870722539E-2</v>
      </c>
      <c r="W176" s="11">
        <f>SUM(S176:V176)</f>
        <v>2.9230722831014035</v>
      </c>
      <c r="X176" s="11">
        <f>SUM(N176,R176,W176)</f>
        <v>2.9230722831014035</v>
      </c>
      <c r="Y176" s="11">
        <v>0.29198999513472601</v>
      </c>
      <c r="Z176" s="11">
        <f>SUM(B176,H176,M176,X176:Y176)</f>
        <v>3.163033742118678</v>
      </c>
    </row>
    <row r="177" spans="1:26" x14ac:dyDescent="0.2">
      <c r="A177" s="49" t="s">
        <v>220</v>
      </c>
      <c r="B177" s="11">
        <v>0</v>
      </c>
      <c r="C177" s="11">
        <v>320.49654160950485</v>
      </c>
      <c r="D177" s="11">
        <v>-884.26517693088408</v>
      </c>
      <c r="E177" s="11">
        <v>-20.482272692764528</v>
      </c>
      <c r="F177" s="11">
        <v>0</v>
      </c>
      <c r="G177" s="11">
        <v>180.2278795837284</v>
      </c>
      <c r="H177" s="11">
        <f>SUM(C177:G177)</f>
        <v>-404.02302843041537</v>
      </c>
      <c r="I177" s="11">
        <v>18.522422800006549</v>
      </c>
      <c r="J177" s="11">
        <v>0</v>
      </c>
      <c r="K177" s="11">
        <v>981.8155327440702</v>
      </c>
      <c r="L177" s="11">
        <v>-1172.1787443519809</v>
      </c>
      <c r="M177" s="11">
        <f>SUM(I177:L177)</f>
        <v>-171.84078880790412</v>
      </c>
      <c r="N177" s="11">
        <v>0</v>
      </c>
      <c r="O177" s="11">
        <v>62.953421510600165</v>
      </c>
      <c r="P177" s="11">
        <v>0</v>
      </c>
      <c r="Q177" s="11">
        <v>0</v>
      </c>
      <c r="R177" s="11">
        <f>SUM(O177:Q177)</f>
        <v>62.953421510600165</v>
      </c>
      <c r="S177" s="11">
        <v>9.1975499508321477</v>
      </c>
      <c r="T177" s="11">
        <v>0</v>
      </c>
      <c r="U177" s="11">
        <v>-29.118730517281076</v>
      </c>
      <c r="V177" s="11">
        <v>1659.0074513678514</v>
      </c>
      <c r="W177" s="11">
        <f>SUM(S177:V177)</f>
        <v>1639.0862708014024</v>
      </c>
      <c r="X177" s="11">
        <f>SUM(N177,R177,W177)</f>
        <v>1702.0396923120027</v>
      </c>
      <c r="Y177" s="11">
        <v>24764.783601546646</v>
      </c>
      <c r="Z177" s="11">
        <f>SUM(B177,H177,M177,X177:Y177)</f>
        <v>25890.95947662033</v>
      </c>
    </row>
    <row r="178" spans="1:26" ht="10.5" x14ac:dyDescent="0.25">
      <c r="A178" s="15" t="s">
        <v>238</v>
      </c>
      <c r="B178" s="13">
        <f t="shared" ref="B178:Z178" si="53">SUM(B172,B175:B177)</f>
        <v>0</v>
      </c>
      <c r="C178" s="13">
        <f t="shared" si="53"/>
        <v>320.49654160950485</v>
      </c>
      <c r="D178" s="13">
        <f t="shared" si="53"/>
        <v>-884.28163914975596</v>
      </c>
      <c r="E178" s="13">
        <f t="shared" si="53"/>
        <v>-20.470864261883005</v>
      </c>
      <c r="F178" s="13">
        <f t="shared" si="53"/>
        <v>0</v>
      </c>
      <c r="G178" s="13">
        <f t="shared" si="53"/>
        <v>2288.9863573720877</v>
      </c>
      <c r="H178" s="13">
        <f t="shared" si="53"/>
        <v>1704.730395569954</v>
      </c>
      <c r="I178" s="13">
        <f t="shared" si="53"/>
        <v>18.522422800006549</v>
      </c>
      <c r="J178" s="13">
        <f t="shared" si="53"/>
        <v>0</v>
      </c>
      <c r="K178" s="13">
        <f t="shared" si="53"/>
        <v>981.8036350967044</v>
      </c>
      <c r="L178" s="13">
        <f t="shared" si="53"/>
        <v>-1172.189557363361</v>
      </c>
      <c r="M178" s="13">
        <f t="shared" si="53"/>
        <v>-171.86349946665018</v>
      </c>
      <c r="N178" s="13">
        <f t="shared" si="53"/>
        <v>0</v>
      </c>
      <c r="O178" s="13">
        <f t="shared" si="53"/>
        <v>62.953421510600165</v>
      </c>
      <c r="P178" s="13">
        <f t="shared" si="53"/>
        <v>0</v>
      </c>
      <c r="Q178" s="13">
        <f t="shared" si="53"/>
        <v>0</v>
      </c>
      <c r="R178" s="13">
        <f t="shared" si="53"/>
        <v>62.953421510600165</v>
      </c>
      <c r="S178" s="13">
        <f t="shared" si="53"/>
        <v>9.1975499508321477</v>
      </c>
      <c r="T178" s="13">
        <f t="shared" si="53"/>
        <v>0</v>
      </c>
      <c r="U178" s="13">
        <f t="shared" si="53"/>
        <v>-26.215740747050397</v>
      </c>
      <c r="V178" s="13">
        <f t="shared" si="53"/>
        <v>1659.0275338807221</v>
      </c>
      <c r="W178" s="13">
        <f t="shared" si="53"/>
        <v>1642.0093430845038</v>
      </c>
      <c r="X178" s="13">
        <f t="shared" si="53"/>
        <v>1704.9627645951041</v>
      </c>
      <c r="Y178" s="13">
        <f t="shared" si="53"/>
        <v>24765.075591541779</v>
      </c>
      <c r="Z178" s="13">
        <f t="shared" si="53"/>
        <v>28002.905252240191</v>
      </c>
    </row>
    <row r="179" spans="1:26" ht="10.5" x14ac:dyDescent="0.2">
      <c r="A179" s="17" t="s">
        <v>239</v>
      </c>
      <c r="B179" s="18">
        <f t="shared" ref="B179:Z179" si="54">B170-B178</f>
        <v>0</v>
      </c>
      <c r="C179" s="18">
        <f t="shared" si="54"/>
        <v>-320.49654160950485</v>
      </c>
      <c r="D179" s="18">
        <f t="shared" si="54"/>
        <v>884.28163914975596</v>
      </c>
      <c r="E179" s="18">
        <f t="shared" si="54"/>
        <v>20.470864261883005</v>
      </c>
      <c r="F179" s="18">
        <f t="shared" si="54"/>
        <v>0</v>
      </c>
      <c r="G179" s="18">
        <f t="shared" si="54"/>
        <v>-2123.2751292712651</v>
      </c>
      <c r="H179" s="18">
        <f t="shared" si="54"/>
        <v>-1539.0191674691314</v>
      </c>
      <c r="I179" s="18">
        <f t="shared" si="54"/>
        <v>-18.522422800006549</v>
      </c>
      <c r="J179" s="18">
        <f t="shared" si="54"/>
        <v>0</v>
      </c>
      <c r="K179" s="18">
        <f t="shared" si="54"/>
        <v>-981.8036350967044</v>
      </c>
      <c r="L179" s="18">
        <f t="shared" si="54"/>
        <v>1202.479557363361</v>
      </c>
      <c r="M179" s="18">
        <f t="shared" si="54"/>
        <v>202.15349946665017</v>
      </c>
      <c r="N179" s="18">
        <f t="shared" si="54"/>
        <v>0</v>
      </c>
      <c r="O179" s="18">
        <f t="shared" si="54"/>
        <v>-62.953421510600165</v>
      </c>
      <c r="P179" s="18">
        <f t="shared" si="54"/>
        <v>0</v>
      </c>
      <c r="Q179" s="18">
        <f t="shared" si="54"/>
        <v>0</v>
      </c>
      <c r="R179" s="18">
        <f t="shared" si="54"/>
        <v>-62.953421510600165</v>
      </c>
      <c r="S179" s="18">
        <f t="shared" si="54"/>
        <v>-9.1975499508321477</v>
      </c>
      <c r="T179" s="18">
        <f t="shared" si="54"/>
        <v>0</v>
      </c>
      <c r="U179" s="18">
        <f t="shared" si="54"/>
        <v>26.215740747050397</v>
      </c>
      <c r="V179" s="18">
        <f t="shared" si="54"/>
        <v>-1659.0275338807221</v>
      </c>
      <c r="W179" s="18">
        <f t="shared" si="54"/>
        <v>-1642.0093430845038</v>
      </c>
      <c r="X179" s="18">
        <f t="shared" si="54"/>
        <v>-1704.9627645951041</v>
      </c>
      <c r="Y179" s="18">
        <f t="shared" si="54"/>
        <v>-24765.075591541779</v>
      </c>
      <c r="Z179" s="18">
        <f t="shared" si="54"/>
        <v>-27806.904024139367</v>
      </c>
    </row>
    <row r="180" spans="1:26" ht="10.5" x14ac:dyDescent="0.2">
      <c r="A180" s="17" t="s">
        <v>60</v>
      </c>
      <c r="B180" s="18">
        <f t="shared" ref="B180:Z180" si="55">B163+B179</f>
        <v>-1665653.3461167286</v>
      </c>
      <c r="C180" s="18">
        <f t="shared" si="55"/>
        <v>-27741.681509409846</v>
      </c>
      <c r="D180" s="18">
        <f t="shared" si="55"/>
        <v>-22619.218922951746</v>
      </c>
      <c r="E180" s="18">
        <f t="shared" si="55"/>
        <v>-328979.85859577917</v>
      </c>
      <c r="F180" s="18">
        <f t="shared" si="55"/>
        <v>-6496.1544872652303</v>
      </c>
      <c r="G180" s="18">
        <f t="shared" si="55"/>
        <v>2393721.2179456488</v>
      </c>
      <c r="H180" s="18">
        <f t="shared" si="55"/>
        <v>2007884.3044302429</v>
      </c>
      <c r="I180" s="18">
        <f t="shared" si="55"/>
        <v>-17255.642345139957</v>
      </c>
      <c r="J180" s="18">
        <f t="shared" si="55"/>
        <v>-19275.656816114271</v>
      </c>
      <c r="K180" s="18">
        <f t="shared" si="55"/>
        <v>-1494.1644868439466</v>
      </c>
      <c r="L180" s="18">
        <f t="shared" si="55"/>
        <v>-602710.13087878074</v>
      </c>
      <c r="M180" s="18">
        <f t="shared" si="55"/>
        <v>-640735.59452687902</v>
      </c>
      <c r="N180" s="18">
        <f t="shared" si="55"/>
        <v>11360.490345551139</v>
      </c>
      <c r="O180" s="18">
        <f t="shared" si="55"/>
        <v>-3743.2496138541956</v>
      </c>
      <c r="P180" s="18">
        <f t="shared" si="55"/>
        <v>-10.746060495882304</v>
      </c>
      <c r="Q180" s="18">
        <f t="shared" si="55"/>
        <v>-16532.562510866956</v>
      </c>
      <c r="R180" s="18">
        <f t="shared" si="55"/>
        <v>-20286.558185217029</v>
      </c>
      <c r="S180" s="18">
        <f t="shared" si="55"/>
        <v>255631.71605493571</v>
      </c>
      <c r="T180" s="18">
        <f t="shared" si="55"/>
        <v>-65.46858788075042</v>
      </c>
      <c r="U180" s="18">
        <f t="shared" si="55"/>
        <v>-412999.09913925466</v>
      </c>
      <c r="V180" s="18">
        <f t="shared" si="55"/>
        <v>-160830.1476260784</v>
      </c>
      <c r="W180" s="18">
        <f t="shared" si="55"/>
        <v>-318262.99929827836</v>
      </c>
      <c r="X180" s="18">
        <f t="shared" si="55"/>
        <v>-327189.06713794422</v>
      </c>
      <c r="Y180" s="18">
        <f t="shared" si="55"/>
        <v>-1587827.1593621599</v>
      </c>
      <c r="Z180" s="18">
        <f t="shared" si="55"/>
        <v>-2213520.8627134678</v>
      </c>
    </row>
  </sheetData>
  <mergeCells count="29">
    <mergeCell ref="O9:O10"/>
    <mergeCell ref="S9:S10"/>
    <mergeCell ref="X9:X10"/>
    <mergeCell ref="Y8:Y10"/>
    <mergeCell ref="Z8:Z10"/>
    <mergeCell ref="D9:D10"/>
    <mergeCell ref="E9:E10"/>
    <mergeCell ref="F9:F10"/>
    <mergeCell ref="G9:G10"/>
    <mergeCell ref="H9:H10"/>
    <mergeCell ref="J9:J10"/>
    <mergeCell ref="K9:K10"/>
    <mergeCell ref="L9:L10"/>
    <mergeCell ref="C7:H7"/>
    <mergeCell ref="I7:M7"/>
    <mergeCell ref="N7:X7"/>
    <mergeCell ref="B8:B10"/>
    <mergeCell ref="C8:C10"/>
    <mergeCell ref="I8:I10"/>
    <mergeCell ref="N8:N10"/>
    <mergeCell ref="O8:R8"/>
    <mergeCell ref="S8:W8"/>
    <mergeCell ref="M9:M10"/>
    <mergeCell ref="A1:Z1"/>
    <mergeCell ref="A2:Z2"/>
    <mergeCell ref="A3:Z3"/>
    <mergeCell ref="A4:Z4"/>
    <mergeCell ref="A5:Z5"/>
    <mergeCell ref="A6:Z6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90B07-A8F9-40CF-B81D-899909F41B11}">
  <sheetPr codeName="Sheet10"/>
  <dimension ref="A1:A11"/>
  <sheetViews>
    <sheetView workbookViewId="0"/>
  </sheetViews>
  <sheetFormatPr defaultRowHeight="14.5" x14ac:dyDescent="0.35"/>
  <cols>
    <col min="1" max="1" width="29" bestFit="1" customWidth="1"/>
  </cols>
  <sheetData>
    <row r="1" spans="1:1" x14ac:dyDescent="0.35">
      <c r="A1" t="s">
        <v>8</v>
      </c>
    </row>
    <row r="2" spans="1:1" x14ac:dyDescent="0.35">
      <c r="A2" t="s">
        <v>63</v>
      </c>
    </row>
    <row r="3" spans="1:1" x14ac:dyDescent="0.35">
      <c r="A3" t="s">
        <v>65</v>
      </c>
    </row>
    <row r="4" spans="1:1" x14ac:dyDescent="0.35">
      <c r="A4" t="s">
        <v>0</v>
      </c>
    </row>
    <row r="5" spans="1:1" x14ac:dyDescent="0.35">
      <c r="A5" t="s">
        <v>66</v>
      </c>
    </row>
    <row r="6" spans="1:1" x14ac:dyDescent="0.35">
      <c r="A6" t="s">
        <v>67</v>
      </c>
    </row>
    <row r="7" spans="1:1" x14ac:dyDescent="0.35">
      <c r="A7" t="s">
        <v>53</v>
      </c>
    </row>
    <row r="8" spans="1:1" x14ac:dyDescent="0.35">
      <c r="A8" t="s">
        <v>68</v>
      </c>
    </row>
    <row r="9" spans="1:1" x14ac:dyDescent="0.35">
      <c r="A9" t="s">
        <v>69</v>
      </c>
    </row>
    <row r="10" spans="1:1" x14ac:dyDescent="0.35">
      <c r="A10" t="s">
        <v>251</v>
      </c>
    </row>
    <row r="11" spans="1:1" x14ac:dyDescent="0.35">
      <c r="A11" t="s">
        <v>251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2D4C-1E69-46AA-BBA0-CC12CD9AF93E}">
  <sheetPr codeName="Sheet7"/>
  <dimension ref="A1:J19"/>
  <sheetViews>
    <sheetView workbookViewId="0">
      <selection sqref="A1:J1"/>
    </sheetView>
  </sheetViews>
  <sheetFormatPr defaultRowHeight="10" x14ac:dyDescent="0.2"/>
  <cols>
    <col min="1" max="1" width="11.7265625" style="1" bestFit="1" customWidth="1"/>
    <col min="2" max="2" width="5.90625" style="1" bestFit="1" customWidth="1"/>
    <col min="3" max="3" width="7.26953125" style="1" bestFit="1" customWidth="1"/>
    <col min="4" max="4" width="14.7265625" style="1" bestFit="1" customWidth="1"/>
    <col min="5" max="5" width="15.08984375" style="1" bestFit="1" customWidth="1"/>
    <col min="6" max="6" width="4.7265625" style="1" bestFit="1" customWidth="1"/>
    <col min="7" max="7" width="61.1796875" style="1" bestFit="1" customWidth="1"/>
    <col min="8" max="8" width="8.54296875" style="1" bestFit="1" customWidth="1"/>
    <col min="9" max="9" width="14.1796875" style="1" bestFit="1" customWidth="1"/>
    <col min="10" max="10" width="11.36328125" style="1" bestFit="1" customWidth="1"/>
    <col min="11" max="16384" width="8.7265625" style="1"/>
  </cols>
  <sheetData>
    <row r="1" spans="1:10" x14ac:dyDescent="0.2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10</v>
      </c>
      <c r="H1" s="53" t="s">
        <v>11</v>
      </c>
      <c r="I1" s="2" t="s">
        <v>240</v>
      </c>
      <c r="J1" s="2" t="s">
        <v>241</v>
      </c>
    </row>
    <row r="2" spans="1:10" x14ac:dyDescent="0.2">
      <c r="A2" s="8"/>
      <c r="B2" s="9" t="s">
        <v>16</v>
      </c>
      <c r="C2" s="10">
        <v>44227</v>
      </c>
      <c r="D2" s="9" t="s">
        <v>29</v>
      </c>
      <c r="E2" s="9" t="s">
        <v>0</v>
      </c>
      <c r="F2" s="9" t="s">
        <v>17</v>
      </c>
      <c r="G2" s="9" t="s">
        <v>30</v>
      </c>
      <c r="H2" s="11">
        <v>51053.223346840939</v>
      </c>
      <c r="I2" s="9" t="s">
        <v>31</v>
      </c>
      <c r="J2" s="9" t="s">
        <v>232</v>
      </c>
    </row>
    <row r="3" spans="1:10" x14ac:dyDescent="0.2">
      <c r="A3" s="8"/>
      <c r="B3" s="9" t="s">
        <v>16</v>
      </c>
      <c r="C3" s="10">
        <v>44255</v>
      </c>
      <c r="D3" s="9" t="s">
        <v>36</v>
      </c>
      <c r="E3" s="9" t="s">
        <v>0</v>
      </c>
      <c r="F3" s="9" t="s">
        <v>17</v>
      </c>
      <c r="G3" s="9" t="s">
        <v>30</v>
      </c>
      <c r="H3" s="11">
        <v>45308.161079378959</v>
      </c>
      <c r="I3" s="9" t="s">
        <v>31</v>
      </c>
      <c r="J3" s="9" t="s">
        <v>232</v>
      </c>
    </row>
    <row r="4" spans="1:10" x14ac:dyDescent="0.2">
      <c r="A4" s="8"/>
      <c r="B4" s="9" t="s">
        <v>16</v>
      </c>
      <c r="C4" s="10">
        <v>44257</v>
      </c>
      <c r="D4" s="9" t="s">
        <v>37</v>
      </c>
      <c r="E4" s="9" t="s">
        <v>0</v>
      </c>
      <c r="F4" s="9" t="s">
        <v>17</v>
      </c>
      <c r="G4" s="9" t="s">
        <v>30</v>
      </c>
      <c r="H4" s="11">
        <v>64477.431233610689</v>
      </c>
      <c r="I4" s="9" t="s">
        <v>21</v>
      </c>
      <c r="J4" s="9" t="s">
        <v>20</v>
      </c>
    </row>
    <row r="5" spans="1:10" x14ac:dyDescent="0.2">
      <c r="A5" s="8"/>
      <c r="B5" s="9" t="s">
        <v>16</v>
      </c>
      <c r="C5" s="10">
        <v>44263</v>
      </c>
      <c r="D5" s="9" t="s">
        <v>38</v>
      </c>
      <c r="E5" s="9" t="s">
        <v>0</v>
      </c>
      <c r="F5" s="9" t="s">
        <v>17</v>
      </c>
      <c r="G5" s="9" t="s">
        <v>30</v>
      </c>
      <c r="H5" s="11">
        <v>35630.34078021763</v>
      </c>
      <c r="I5" s="9" t="s">
        <v>21</v>
      </c>
      <c r="J5" s="9" t="s">
        <v>20</v>
      </c>
    </row>
    <row r="6" spans="1:10" x14ac:dyDescent="0.2">
      <c r="A6" s="8"/>
      <c r="B6" s="9" t="s">
        <v>16</v>
      </c>
      <c r="C6" s="10">
        <v>44286</v>
      </c>
      <c r="D6" s="9" t="s">
        <v>39</v>
      </c>
      <c r="E6" s="9" t="s">
        <v>0</v>
      </c>
      <c r="F6" s="9" t="s">
        <v>17</v>
      </c>
      <c r="G6" s="9" t="s">
        <v>30</v>
      </c>
      <c r="H6" s="11">
        <v>48990.692583248157</v>
      </c>
      <c r="I6" s="9" t="s">
        <v>31</v>
      </c>
      <c r="J6" s="9" t="s">
        <v>232</v>
      </c>
    </row>
    <row r="7" spans="1:10" x14ac:dyDescent="0.2">
      <c r="A7" s="8"/>
      <c r="B7" s="9" t="s">
        <v>16</v>
      </c>
      <c r="C7" s="10">
        <v>44316</v>
      </c>
      <c r="D7" s="9" t="s">
        <v>42</v>
      </c>
      <c r="E7" s="9" t="s">
        <v>0</v>
      </c>
      <c r="F7" s="9" t="s">
        <v>17</v>
      </c>
      <c r="G7" s="9" t="s">
        <v>30</v>
      </c>
      <c r="H7" s="11">
        <v>33333.843426094907</v>
      </c>
      <c r="I7" s="9" t="s">
        <v>31</v>
      </c>
      <c r="J7" s="9" t="s">
        <v>232</v>
      </c>
    </row>
    <row r="8" spans="1:10" x14ac:dyDescent="0.2">
      <c r="A8" s="8"/>
      <c r="B8" s="9" t="s">
        <v>16</v>
      </c>
      <c r="C8" s="10">
        <v>44326</v>
      </c>
      <c r="D8" s="9" t="s">
        <v>44</v>
      </c>
      <c r="E8" s="9" t="s">
        <v>0</v>
      </c>
      <c r="F8" s="9" t="s">
        <v>17</v>
      </c>
      <c r="G8" s="9" t="s">
        <v>30</v>
      </c>
      <c r="H8" s="11">
        <v>37082.960004702451</v>
      </c>
      <c r="I8" s="9" t="s">
        <v>31</v>
      </c>
      <c r="J8" s="9" t="s">
        <v>20</v>
      </c>
    </row>
    <row r="9" spans="1:10" x14ac:dyDescent="0.2">
      <c r="A9" s="8"/>
      <c r="B9" s="9" t="s">
        <v>16</v>
      </c>
      <c r="C9" s="10">
        <v>44347</v>
      </c>
      <c r="D9" s="9" t="s">
        <v>45</v>
      </c>
      <c r="E9" s="9" t="s">
        <v>0</v>
      </c>
      <c r="F9" s="9" t="s">
        <v>17</v>
      </c>
      <c r="G9" s="9" t="s">
        <v>30</v>
      </c>
      <c r="H9" s="11">
        <v>32943.746700009549</v>
      </c>
      <c r="I9" s="9" t="s">
        <v>31</v>
      </c>
      <c r="J9" s="9" t="s">
        <v>232</v>
      </c>
    </row>
    <row r="10" spans="1:10" x14ac:dyDescent="0.2">
      <c r="A10" s="8"/>
      <c r="B10" s="9" t="s">
        <v>16</v>
      </c>
      <c r="C10" s="10">
        <v>44377</v>
      </c>
      <c r="D10" s="9" t="s">
        <v>47</v>
      </c>
      <c r="E10" s="9" t="s">
        <v>0</v>
      </c>
      <c r="F10" s="9" t="s">
        <v>17</v>
      </c>
      <c r="G10" s="9" t="s">
        <v>30</v>
      </c>
      <c r="H10" s="11">
        <v>30279.073135894967</v>
      </c>
      <c r="I10" s="9" t="s">
        <v>31</v>
      </c>
      <c r="J10" s="9" t="s">
        <v>232</v>
      </c>
    </row>
    <row r="11" spans="1:10" x14ac:dyDescent="0.2">
      <c r="A11" s="8"/>
      <c r="B11" s="9" t="s">
        <v>16</v>
      </c>
      <c r="C11" s="10">
        <v>44407</v>
      </c>
      <c r="D11" s="9" t="s">
        <v>48</v>
      </c>
      <c r="E11" s="9" t="s">
        <v>0</v>
      </c>
      <c r="F11" s="9" t="s">
        <v>17</v>
      </c>
      <c r="G11" s="9" t="s">
        <v>30</v>
      </c>
      <c r="H11" s="11">
        <v>37472.598522543136</v>
      </c>
      <c r="I11" s="9" t="s">
        <v>31</v>
      </c>
      <c r="J11" s="9" t="s">
        <v>232</v>
      </c>
    </row>
    <row r="12" spans="1:10" x14ac:dyDescent="0.2">
      <c r="A12" s="8"/>
      <c r="B12" s="9" t="s">
        <v>16</v>
      </c>
      <c r="C12" s="10">
        <v>44433</v>
      </c>
      <c r="D12" s="9" t="s">
        <v>49</v>
      </c>
      <c r="E12" s="9" t="s">
        <v>0</v>
      </c>
      <c r="F12" s="9" t="s">
        <v>17</v>
      </c>
      <c r="G12" s="9" t="s">
        <v>30</v>
      </c>
      <c r="H12" s="11">
        <v>71852.662263479986</v>
      </c>
      <c r="I12" s="9" t="s">
        <v>21</v>
      </c>
      <c r="J12" s="9" t="s">
        <v>20</v>
      </c>
    </row>
    <row r="13" spans="1:10" x14ac:dyDescent="0.2">
      <c r="A13" s="8"/>
      <c r="B13" s="9" t="s">
        <v>16</v>
      </c>
      <c r="C13" s="10">
        <v>44439</v>
      </c>
      <c r="D13" s="9" t="s">
        <v>50</v>
      </c>
      <c r="E13" s="9" t="s">
        <v>0</v>
      </c>
      <c r="F13" s="9" t="s">
        <v>17</v>
      </c>
      <c r="G13" s="9" t="s">
        <v>30</v>
      </c>
      <c r="H13" s="11">
        <v>32151.926081394293</v>
      </c>
      <c r="I13" s="9" t="s">
        <v>31</v>
      </c>
      <c r="J13" s="9" t="s">
        <v>232</v>
      </c>
    </row>
    <row r="14" spans="1:10" x14ac:dyDescent="0.2">
      <c r="A14" s="8"/>
      <c r="B14" s="9" t="s">
        <v>16</v>
      </c>
      <c r="C14" s="10">
        <v>44469</v>
      </c>
      <c r="D14" s="9" t="s">
        <v>51</v>
      </c>
      <c r="E14" s="9" t="s">
        <v>0</v>
      </c>
      <c r="F14" s="9" t="s">
        <v>17</v>
      </c>
      <c r="G14" s="9" t="s">
        <v>30</v>
      </c>
      <c r="H14" s="11">
        <v>36089.648802612333</v>
      </c>
      <c r="I14" s="9" t="s">
        <v>19</v>
      </c>
      <c r="J14" s="9" t="s">
        <v>232</v>
      </c>
    </row>
    <row r="15" spans="1:10" x14ac:dyDescent="0.2">
      <c r="A15" s="8"/>
      <c r="B15" s="9" t="s">
        <v>16</v>
      </c>
      <c r="C15" s="10">
        <v>44504</v>
      </c>
      <c r="D15" s="9" t="s">
        <v>52</v>
      </c>
      <c r="E15" s="9" t="s">
        <v>53</v>
      </c>
      <c r="F15" s="9" t="s">
        <v>17</v>
      </c>
      <c r="G15" s="9" t="s">
        <v>30</v>
      </c>
      <c r="H15" s="11">
        <v>11249.980794477267</v>
      </c>
      <c r="I15" s="9" t="s">
        <v>28</v>
      </c>
      <c r="J15" s="9" t="s">
        <v>20</v>
      </c>
    </row>
    <row r="16" spans="1:10" x14ac:dyDescent="0.2">
      <c r="A16" s="8"/>
      <c r="B16" s="9" t="s">
        <v>16</v>
      </c>
      <c r="C16" s="10">
        <v>44532</v>
      </c>
      <c r="D16" s="9" t="s">
        <v>54</v>
      </c>
      <c r="E16" s="9" t="s">
        <v>53</v>
      </c>
      <c r="F16" s="9" t="s">
        <v>17</v>
      </c>
      <c r="G16" s="9" t="s">
        <v>30</v>
      </c>
      <c r="H16" s="11">
        <v>11402.135768262486</v>
      </c>
      <c r="I16" s="9" t="s">
        <v>19</v>
      </c>
      <c r="J16" s="9" t="s">
        <v>22</v>
      </c>
    </row>
    <row r="17" spans="1:10" x14ac:dyDescent="0.2">
      <c r="A17" s="8"/>
      <c r="B17" s="9" t="s">
        <v>16</v>
      </c>
      <c r="C17" s="10">
        <v>44532</v>
      </c>
      <c r="D17" s="9" t="s">
        <v>54</v>
      </c>
      <c r="E17" s="9" t="s">
        <v>53</v>
      </c>
      <c r="F17" s="9" t="s">
        <v>17</v>
      </c>
      <c r="G17" s="9" t="s">
        <v>30</v>
      </c>
      <c r="H17" s="11">
        <v>24426.044363278274</v>
      </c>
      <c r="I17" s="9" t="s">
        <v>19</v>
      </c>
      <c r="J17" s="9" t="s">
        <v>23</v>
      </c>
    </row>
    <row r="18" spans="1:10" x14ac:dyDescent="0.2">
      <c r="A18" s="8"/>
      <c r="B18" s="9" t="s">
        <v>16</v>
      </c>
      <c r="C18" s="10">
        <v>44532</v>
      </c>
      <c r="D18" s="9" t="s">
        <v>54</v>
      </c>
      <c r="E18" s="9" t="s">
        <v>53</v>
      </c>
      <c r="F18" s="9" t="s">
        <v>17</v>
      </c>
      <c r="G18" s="9" t="s">
        <v>30</v>
      </c>
      <c r="H18" s="11">
        <v>57585.536519629</v>
      </c>
      <c r="I18" s="9" t="s">
        <v>27</v>
      </c>
      <c r="J18" s="9" t="s">
        <v>23</v>
      </c>
    </row>
    <row r="19" spans="1:10" x14ac:dyDescent="0.2">
      <c r="A19" s="8"/>
      <c r="B19" s="9" t="s">
        <v>16</v>
      </c>
      <c r="C19" s="10">
        <v>44537</v>
      </c>
      <c r="D19" s="9" t="s">
        <v>55</v>
      </c>
      <c r="E19" s="9" t="s">
        <v>0</v>
      </c>
      <c r="F19" s="9" t="s">
        <v>17</v>
      </c>
      <c r="G19" s="9" t="s">
        <v>30</v>
      </c>
      <c r="H19" s="11">
        <v>65842.952310183377</v>
      </c>
      <c r="I19" s="9" t="s">
        <v>21</v>
      </c>
      <c r="J19" s="9" t="s">
        <v>20</v>
      </c>
    </row>
  </sheetData>
  <autoFilter ref="A1:J1499" xr:uid="{34DE2D4C-1E69-46AA-BBA0-CC12CD9AF93E}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8F03A-A878-4A02-8101-D1BA5A0E8DD7}">
  <sheetPr codeName="Sheet1"/>
  <dimension ref="A1:J9"/>
  <sheetViews>
    <sheetView workbookViewId="0">
      <selection sqref="A1:J1"/>
    </sheetView>
  </sheetViews>
  <sheetFormatPr defaultRowHeight="10" x14ac:dyDescent="0.2"/>
  <cols>
    <col min="1" max="1" width="11.7265625" style="1" bestFit="1" customWidth="1"/>
    <col min="2" max="2" width="10.08984375" style="1" bestFit="1" customWidth="1"/>
    <col min="3" max="3" width="8.08984375" style="1" bestFit="1" customWidth="1"/>
    <col min="4" max="4" width="14.7265625" style="1" bestFit="1" customWidth="1"/>
    <col min="5" max="5" width="15.08984375" style="1" bestFit="1" customWidth="1"/>
    <col min="6" max="6" width="4.7265625" style="1" bestFit="1" customWidth="1"/>
    <col min="7" max="7" width="5.7265625" style="1" bestFit="1" customWidth="1"/>
    <col min="8" max="8" width="8.54296875" style="1" bestFit="1" customWidth="1"/>
    <col min="9" max="9" width="10.453125" style="1" bestFit="1" customWidth="1"/>
    <col min="10" max="10" width="11.36328125" style="1" bestFit="1" customWidth="1"/>
    <col min="11" max="16384" width="8.7265625" style="1"/>
  </cols>
  <sheetData>
    <row r="1" spans="1:10" x14ac:dyDescent="0.2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10</v>
      </c>
      <c r="H1" s="53" t="s">
        <v>11</v>
      </c>
      <c r="I1" s="2" t="s">
        <v>240</v>
      </c>
      <c r="J1" s="2" t="s">
        <v>241</v>
      </c>
    </row>
    <row r="2" spans="1:10" x14ac:dyDescent="0.2">
      <c r="A2" s="8"/>
      <c r="B2" s="9" t="s">
        <v>222</v>
      </c>
      <c r="C2" s="10">
        <v>44260</v>
      </c>
      <c r="D2" s="9" t="s">
        <v>224</v>
      </c>
      <c r="E2" s="9" t="s">
        <v>0</v>
      </c>
      <c r="F2" s="9" t="s">
        <v>17</v>
      </c>
      <c r="G2" s="9" t="s">
        <v>223</v>
      </c>
      <c r="H2" s="11">
        <v>47770.547715668697</v>
      </c>
      <c r="I2" s="9" t="s">
        <v>21</v>
      </c>
      <c r="J2" s="9" t="s">
        <v>20</v>
      </c>
    </row>
    <row r="3" spans="1:10" x14ac:dyDescent="0.2">
      <c r="A3" s="8"/>
      <c r="B3" s="9" t="s">
        <v>222</v>
      </c>
      <c r="C3" s="10">
        <v>44260</v>
      </c>
      <c r="D3" s="9" t="s">
        <v>225</v>
      </c>
      <c r="E3" s="9" t="s">
        <v>0</v>
      </c>
      <c r="F3" s="9" t="s">
        <v>17</v>
      </c>
      <c r="G3" s="9" t="s">
        <v>223</v>
      </c>
      <c r="H3" s="11">
        <v>26552.489099783332</v>
      </c>
      <c r="I3" s="9" t="s">
        <v>21</v>
      </c>
      <c r="J3" s="9" t="s">
        <v>20</v>
      </c>
    </row>
    <row r="4" spans="1:10" x14ac:dyDescent="0.2">
      <c r="A4" s="8"/>
      <c r="B4" s="9" t="s">
        <v>222</v>
      </c>
      <c r="C4" s="10">
        <v>44326</v>
      </c>
      <c r="D4" s="9" t="s">
        <v>226</v>
      </c>
      <c r="E4" s="9" t="s">
        <v>0</v>
      </c>
      <c r="F4" s="9" t="s">
        <v>17</v>
      </c>
      <c r="G4" s="9" t="s">
        <v>223</v>
      </c>
      <c r="H4" s="11">
        <v>24777.363564114163</v>
      </c>
      <c r="I4" s="9" t="s">
        <v>31</v>
      </c>
      <c r="J4" s="9" t="s">
        <v>20</v>
      </c>
    </row>
    <row r="5" spans="1:10" x14ac:dyDescent="0.2">
      <c r="A5" s="8"/>
      <c r="B5" s="9" t="s">
        <v>222</v>
      </c>
      <c r="C5" s="10">
        <v>44437</v>
      </c>
      <c r="D5" s="9" t="s">
        <v>227</v>
      </c>
      <c r="E5" s="9" t="s">
        <v>0</v>
      </c>
      <c r="F5" s="9" t="s">
        <v>17</v>
      </c>
      <c r="G5" s="9" t="s">
        <v>223</v>
      </c>
      <c r="H5" s="11">
        <v>51690.432720748562</v>
      </c>
      <c r="I5" s="9" t="s">
        <v>21</v>
      </c>
      <c r="J5" s="9" t="s">
        <v>20</v>
      </c>
    </row>
    <row r="6" spans="1:10" x14ac:dyDescent="0.2">
      <c r="A6" s="8"/>
      <c r="B6" s="9" t="s">
        <v>222</v>
      </c>
      <c r="C6" s="10">
        <v>44525</v>
      </c>
      <c r="D6" s="9" t="s">
        <v>228</v>
      </c>
      <c r="E6" s="9" t="s">
        <v>53</v>
      </c>
      <c r="F6" s="9" t="s">
        <v>17</v>
      </c>
      <c r="G6" s="9" t="s">
        <v>223</v>
      </c>
      <c r="H6" s="11">
        <v>4870.8532761111319</v>
      </c>
      <c r="I6" s="9" t="s">
        <v>28</v>
      </c>
      <c r="J6" s="9" t="s">
        <v>20</v>
      </c>
    </row>
    <row r="7" spans="1:10" x14ac:dyDescent="0.2">
      <c r="A7" s="8"/>
      <c r="B7" s="9" t="s">
        <v>222</v>
      </c>
      <c r="C7" s="10">
        <v>44537</v>
      </c>
      <c r="D7" s="9" t="s">
        <v>229</v>
      </c>
      <c r="E7" s="9" t="s">
        <v>0</v>
      </c>
      <c r="F7" s="9" t="s">
        <v>17</v>
      </c>
      <c r="G7" s="9" t="s">
        <v>223</v>
      </c>
      <c r="H7" s="11">
        <v>45325.87986980976</v>
      </c>
      <c r="I7" s="9" t="s">
        <v>21</v>
      </c>
      <c r="J7" s="9" t="s">
        <v>20</v>
      </c>
    </row>
    <row r="8" spans="1:10" x14ac:dyDescent="0.2">
      <c r="A8" s="8"/>
      <c r="B8" s="9" t="s">
        <v>222</v>
      </c>
      <c r="C8" s="10">
        <v>44544</v>
      </c>
      <c r="D8" s="9" t="s">
        <v>230</v>
      </c>
      <c r="E8" s="9" t="s">
        <v>53</v>
      </c>
      <c r="F8" s="9" t="s">
        <v>17</v>
      </c>
      <c r="G8" s="9" t="s">
        <v>223</v>
      </c>
      <c r="H8" s="11">
        <v>3908.4326954934118</v>
      </c>
      <c r="I8" s="9" t="s">
        <v>27</v>
      </c>
      <c r="J8" s="9" t="s">
        <v>22</v>
      </c>
    </row>
    <row r="9" spans="1:10" x14ac:dyDescent="0.2">
      <c r="A9" s="8"/>
      <c r="B9" s="9" t="s">
        <v>222</v>
      </c>
      <c r="C9" s="10">
        <v>44544</v>
      </c>
      <c r="D9" s="9" t="s">
        <v>230</v>
      </c>
      <c r="E9" s="9" t="s">
        <v>53</v>
      </c>
      <c r="F9" s="9" t="s">
        <v>17</v>
      </c>
      <c r="G9" s="9" t="s">
        <v>223</v>
      </c>
      <c r="H9" s="11">
        <v>57219.423894355605</v>
      </c>
      <c r="I9" s="9" t="s">
        <v>27</v>
      </c>
      <c r="J9" s="9" t="s">
        <v>23</v>
      </c>
    </row>
  </sheetData>
  <autoFilter ref="A1:J1261" xr:uid="{01A8F03A-A878-4A02-8101-D1BA5A0E8DD7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ConsolidatedPLperSub</vt:lpstr>
      <vt:lpstr>ConsolidatedPLperBrand</vt:lpstr>
      <vt:lpstr>ConsolidatedPLperRegion</vt:lpstr>
      <vt:lpstr>InternalSalesPerBrand</vt:lpstr>
      <vt:lpstr>InternalSalesPerRegion</vt:lpstr>
      <vt:lpstr>PLperBrand</vt:lpstr>
      <vt:lpstr>PLperRegion</vt:lpstr>
      <vt:lpstr>CompanyName</vt:lpstr>
      <vt:lpstr>SalesDetail</vt:lpstr>
      <vt:lpstr>COSDetail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彭光宇</dc:creator>
  <cp:lastModifiedBy>彭光宇</cp:lastModifiedBy>
  <dcterms:created xsi:type="dcterms:W3CDTF">2015-06-05T18:17:20Z</dcterms:created>
  <dcterms:modified xsi:type="dcterms:W3CDTF">2022-03-25T21:46:00Z</dcterms:modified>
</cp:coreProperties>
</file>