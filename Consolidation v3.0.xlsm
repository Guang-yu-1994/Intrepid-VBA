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Intrepid Spirits\Consolidation\Consolidation General\"/>
    </mc:Choice>
  </mc:AlternateContent>
  <xr:revisionPtr revIDLastSave="0" documentId="13_ncr:1_{328A10F8-6B86-4EAE-A901-6736CAD8985E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structions" sheetId="699" r:id="rId1"/>
    <sheet name="BS" sheetId="1662" r:id="rId2"/>
    <sheet name="PL" sheetId="1664" r:id="rId3"/>
    <sheet name="Goodwill" sheetId="1668" r:id="rId4"/>
    <sheet name="InternalSales" sheetId="1667" r:id="rId5"/>
    <sheet name="Cost of Goods Sold" sheetId="1665" r:id="rId6"/>
    <sheet name="Sales" sheetId="1666" r:id="rId7"/>
    <sheet name="Regal Rogue" sheetId="1663" r:id="rId8"/>
  </sheets>
  <functionGroups builtInGroupCount="19"/>
  <definedNames>
    <definedName name="_xlnm._FilterDatabase" localSheetId="7" hidden="1">'Regal Rogue'!#REF!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24" i="1662" l="1"/>
  <c r="L162" i="1664"/>
  <c r="P225" i="1662"/>
  <c r="Q101" i="1662"/>
  <c r="J224" i="1662"/>
  <c r="J68" i="1662"/>
  <c r="P68" i="1662"/>
  <c r="C33" i="1663"/>
  <c r="B4" i="1668"/>
  <c r="B6" i="1667"/>
  <c r="B7" i="1667" s="1"/>
  <c r="C6" i="1667"/>
  <c r="C7" i="1667" s="1"/>
  <c r="D6" i="1667"/>
  <c r="D7" i="1667" s="1"/>
  <c r="M13" i="1664"/>
  <c r="M15" i="1664"/>
  <c r="M16" i="1664"/>
  <c r="M17" i="1664"/>
  <c r="M20" i="1664"/>
  <c r="M21" i="1664"/>
  <c r="M23" i="1664"/>
  <c r="M24" i="1664"/>
  <c r="M25" i="1664"/>
  <c r="M26" i="1664"/>
  <c r="M27" i="1664"/>
  <c r="M28" i="1664"/>
  <c r="M29" i="1664"/>
  <c r="M30" i="1664"/>
  <c r="M31" i="1664"/>
  <c r="M32" i="1664"/>
  <c r="M33" i="1664"/>
  <c r="M34" i="1664"/>
  <c r="M35" i="1664"/>
  <c r="M39" i="1664"/>
  <c r="M40" i="1664"/>
  <c r="M41" i="1664"/>
  <c r="M42" i="1664"/>
  <c r="M43" i="1664"/>
  <c r="M44" i="1664"/>
  <c r="M45" i="1664"/>
  <c r="M46" i="1664"/>
  <c r="M47" i="1664"/>
  <c r="M48" i="1664"/>
  <c r="M49" i="1664"/>
  <c r="M50" i="1664"/>
  <c r="M51" i="1664"/>
  <c r="M52" i="1664"/>
  <c r="M53" i="1664"/>
  <c r="M54" i="1664"/>
  <c r="M55" i="1664"/>
  <c r="M56" i="1664"/>
  <c r="M57" i="1664"/>
  <c r="M58" i="1664"/>
  <c r="M59" i="1664"/>
  <c r="M60" i="1664"/>
  <c r="M61" i="1664"/>
  <c r="M62" i="1664"/>
  <c r="M63" i="1664"/>
  <c r="M64" i="1664"/>
  <c r="M65" i="1664"/>
  <c r="M66" i="1664"/>
  <c r="M67" i="1664"/>
  <c r="M68" i="1664"/>
  <c r="M69" i="1664"/>
  <c r="M70" i="1664"/>
  <c r="M71" i="1664"/>
  <c r="M72" i="1664"/>
  <c r="M73" i="1664"/>
  <c r="M74" i="1664"/>
  <c r="M75" i="1664"/>
  <c r="M76" i="1664"/>
  <c r="M77" i="1664"/>
  <c r="M78" i="1664"/>
  <c r="M79" i="1664"/>
  <c r="M80" i="1664"/>
  <c r="M81" i="1664"/>
  <c r="M82" i="1664"/>
  <c r="M83" i="1664"/>
  <c r="M84" i="1664"/>
  <c r="M85" i="1664"/>
  <c r="M86" i="1664"/>
  <c r="M87" i="1664"/>
  <c r="M88" i="1664"/>
  <c r="M89" i="1664"/>
  <c r="M90" i="1664"/>
  <c r="M91" i="1664"/>
  <c r="M92" i="1664"/>
  <c r="M93" i="1664"/>
  <c r="M94" i="1664"/>
  <c r="M95" i="1664"/>
  <c r="M96" i="1664"/>
  <c r="M97" i="1664"/>
  <c r="M98" i="1664"/>
  <c r="M99" i="1664"/>
  <c r="M100" i="1664"/>
  <c r="M101" i="1664"/>
  <c r="M102" i="1664"/>
  <c r="M103" i="1664"/>
  <c r="M104" i="1664"/>
  <c r="M105" i="1664"/>
  <c r="M106" i="1664"/>
  <c r="M107" i="1664"/>
  <c r="M108" i="1664"/>
  <c r="M109" i="1664"/>
  <c r="M110" i="1664"/>
  <c r="M111" i="1664"/>
  <c r="M112" i="1664"/>
  <c r="M113" i="1664"/>
  <c r="M114" i="1664"/>
  <c r="M115" i="1664"/>
  <c r="M116" i="1664"/>
  <c r="M117" i="1664"/>
  <c r="M118" i="1664"/>
  <c r="M119" i="1664"/>
  <c r="M120" i="1664"/>
  <c r="M121" i="1664"/>
  <c r="M122" i="1664"/>
  <c r="M123" i="1664"/>
  <c r="M124" i="1664"/>
  <c r="M125" i="1664"/>
  <c r="M126" i="1664"/>
  <c r="M127" i="1664"/>
  <c r="M128" i="1664"/>
  <c r="M129" i="1664"/>
  <c r="M130" i="1664"/>
  <c r="M131" i="1664"/>
  <c r="M132" i="1664"/>
  <c r="M133" i="1664"/>
  <c r="M134" i="1664"/>
  <c r="M135" i="1664"/>
  <c r="M136" i="1664"/>
  <c r="M137" i="1664"/>
  <c r="M138" i="1664"/>
  <c r="M139" i="1664"/>
  <c r="M140" i="1664"/>
  <c r="M141" i="1664"/>
  <c r="M142" i="1664"/>
  <c r="M143" i="1664"/>
  <c r="M144" i="1664"/>
  <c r="M145" i="1664"/>
  <c r="M146" i="1664"/>
  <c r="M147" i="1664"/>
  <c r="M148" i="1664"/>
  <c r="M149" i="1664"/>
  <c r="M151" i="1664"/>
  <c r="M152" i="1664"/>
  <c r="M153" i="1664"/>
  <c r="M154" i="1664"/>
  <c r="M155" i="1664"/>
  <c r="M156" i="1664"/>
  <c r="M157" i="1664"/>
  <c r="M158" i="1664"/>
  <c r="M159" i="1664"/>
  <c r="M160" i="1664"/>
  <c r="M162" i="1664"/>
  <c r="M165" i="1664"/>
  <c r="M166" i="1664"/>
  <c r="M167" i="1664"/>
  <c r="M168" i="1664"/>
  <c r="M169" i="1664"/>
  <c r="M170" i="1664"/>
  <c r="M171" i="1664"/>
  <c r="M172" i="1664"/>
  <c r="M173" i="1664"/>
  <c r="M174" i="1664"/>
  <c r="M175" i="1664"/>
  <c r="M176" i="1664"/>
  <c r="M177" i="1664"/>
  <c r="M178" i="1664"/>
  <c r="M179" i="1664"/>
  <c r="M180" i="1664"/>
  <c r="K13" i="1664"/>
  <c r="K14" i="1664"/>
  <c r="M14" i="1664" s="1"/>
  <c r="K15" i="1664"/>
  <c r="K16" i="1664"/>
  <c r="K17" i="1664"/>
  <c r="K20" i="1664"/>
  <c r="K21" i="1664"/>
  <c r="K22" i="1664"/>
  <c r="M22" i="1664" s="1"/>
  <c r="K23" i="1664"/>
  <c r="K24" i="1664"/>
  <c r="K25" i="1664"/>
  <c r="K26" i="1664"/>
  <c r="K27" i="1664"/>
  <c r="K28" i="1664"/>
  <c r="K29" i="1664"/>
  <c r="K30" i="1664"/>
  <c r="K31" i="1664"/>
  <c r="K32" i="1664"/>
  <c r="K33" i="1664"/>
  <c r="K34" i="1664"/>
  <c r="K35" i="1664"/>
  <c r="K39" i="1664"/>
  <c r="K40" i="1664"/>
  <c r="K41" i="1664"/>
  <c r="K42" i="1664"/>
  <c r="K43" i="1664"/>
  <c r="K44" i="1664"/>
  <c r="K45" i="1664"/>
  <c r="K46" i="1664"/>
  <c r="K47" i="1664"/>
  <c r="K48" i="1664"/>
  <c r="K49" i="1664"/>
  <c r="K50" i="1664"/>
  <c r="K51" i="1664"/>
  <c r="K52" i="1664"/>
  <c r="K53" i="1664"/>
  <c r="K54" i="1664"/>
  <c r="K55" i="1664"/>
  <c r="K56" i="1664"/>
  <c r="K57" i="1664"/>
  <c r="K58" i="1664"/>
  <c r="K59" i="1664"/>
  <c r="K60" i="1664"/>
  <c r="K61" i="1664"/>
  <c r="K62" i="1664"/>
  <c r="K63" i="1664"/>
  <c r="K64" i="1664"/>
  <c r="K65" i="1664"/>
  <c r="K66" i="1664"/>
  <c r="K67" i="1664"/>
  <c r="K68" i="1664"/>
  <c r="K69" i="1664"/>
  <c r="K70" i="1664"/>
  <c r="K71" i="1664"/>
  <c r="K72" i="1664"/>
  <c r="K73" i="1664"/>
  <c r="K74" i="1664"/>
  <c r="K75" i="1664"/>
  <c r="K76" i="1664"/>
  <c r="K77" i="1664"/>
  <c r="K78" i="1664"/>
  <c r="K79" i="1664"/>
  <c r="K80" i="1664"/>
  <c r="K81" i="1664"/>
  <c r="K82" i="1664"/>
  <c r="K83" i="1664"/>
  <c r="K84" i="1664"/>
  <c r="K85" i="1664"/>
  <c r="K86" i="1664"/>
  <c r="K87" i="1664"/>
  <c r="K88" i="1664"/>
  <c r="K89" i="1664"/>
  <c r="K90" i="1664"/>
  <c r="K91" i="1664"/>
  <c r="K92" i="1664"/>
  <c r="K93" i="1664"/>
  <c r="K94" i="1664"/>
  <c r="K95" i="1664"/>
  <c r="K96" i="1664"/>
  <c r="K97" i="1664"/>
  <c r="K98" i="1664"/>
  <c r="K99" i="1664"/>
  <c r="K100" i="1664"/>
  <c r="K101" i="1664"/>
  <c r="K102" i="1664"/>
  <c r="K103" i="1664"/>
  <c r="K104" i="1664"/>
  <c r="K105" i="1664"/>
  <c r="K106" i="1664"/>
  <c r="K107" i="1664"/>
  <c r="K108" i="1664"/>
  <c r="K109" i="1664"/>
  <c r="K110" i="1664"/>
  <c r="K111" i="1664"/>
  <c r="K112" i="1664"/>
  <c r="K113" i="1664"/>
  <c r="K114" i="1664"/>
  <c r="K115" i="1664"/>
  <c r="K116" i="1664"/>
  <c r="K117" i="1664"/>
  <c r="K118" i="1664"/>
  <c r="K119" i="1664"/>
  <c r="K120" i="1664"/>
  <c r="K121" i="1664"/>
  <c r="K122" i="1664"/>
  <c r="K123" i="1664"/>
  <c r="K124" i="1664"/>
  <c r="K125" i="1664"/>
  <c r="K126" i="1664"/>
  <c r="K127" i="1664"/>
  <c r="K128" i="1664"/>
  <c r="K129" i="1664"/>
  <c r="K130" i="1664"/>
  <c r="K131" i="1664"/>
  <c r="K132" i="1664"/>
  <c r="K133" i="1664"/>
  <c r="K134" i="1664"/>
  <c r="K135" i="1664"/>
  <c r="K136" i="1664"/>
  <c r="K137" i="1664"/>
  <c r="K138" i="1664"/>
  <c r="K139" i="1664"/>
  <c r="K140" i="1664"/>
  <c r="K141" i="1664"/>
  <c r="K142" i="1664"/>
  <c r="K143" i="1664"/>
  <c r="K144" i="1664"/>
  <c r="K145" i="1664"/>
  <c r="K146" i="1664"/>
  <c r="K147" i="1664"/>
  <c r="K148" i="1664"/>
  <c r="K149" i="1664"/>
  <c r="K150" i="1664"/>
  <c r="M150" i="1664" s="1"/>
  <c r="K151" i="1664"/>
  <c r="K152" i="1664"/>
  <c r="K153" i="1664"/>
  <c r="K154" i="1664"/>
  <c r="K155" i="1664"/>
  <c r="K156" i="1664"/>
  <c r="K157" i="1664"/>
  <c r="K158" i="1664"/>
  <c r="K159" i="1664"/>
  <c r="K160" i="1664"/>
  <c r="K162" i="1664"/>
  <c r="K165" i="1664"/>
  <c r="K166" i="1664"/>
  <c r="K167" i="1664"/>
  <c r="K168" i="1664"/>
  <c r="K169" i="1664"/>
  <c r="K170" i="1664"/>
  <c r="K171" i="1664"/>
  <c r="K172" i="1664"/>
  <c r="K173" i="1664"/>
  <c r="K174" i="1664"/>
  <c r="K175" i="1664"/>
  <c r="K176" i="1664"/>
  <c r="K177" i="1664"/>
  <c r="K178" i="1664"/>
  <c r="K179" i="1664"/>
  <c r="K180" i="1664"/>
  <c r="Q13" i="1662"/>
  <c r="Q14" i="1662"/>
  <c r="Q15" i="1662"/>
  <c r="Q16" i="1662"/>
  <c r="Q17" i="1662"/>
  <c r="Q18" i="1662"/>
  <c r="Q19" i="1662"/>
  <c r="Q20" i="1662"/>
  <c r="Q21" i="1662"/>
  <c r="Q22" i="1662"/>
  <c r="Q23" i="1662"/>
  <c r="Q24" i="1662"/>
  <c r="Q25" i="1662"/>
  <c r="Q26" i="1662"/>
  <c r="Q27" i="1662"/>
  <c r="Q28" i="1662"/>
  <c r="Q29" i="1662"/>
  <c r="Q30" i="1662"/>
  <c r="Q31" i="1662"/>
  <c r="Q32" i="1662"/>
  <c r="Q33" i="1662"/>
  <c r="Q34" i="1662"/>
  <c r="Q35" i="1662"/>
  <c r="Q36" i="1662"/>
  <c r="Q37" i="1662"/>
  <c r="Q38" i="1662"/>
  <c r="Q39" i="1662"/>
  <c r="Q40" i="1662"/>
  <c r="Q41" i="1662"/>
  <c r="Q42" i="1662"/>
  <c r="Q43" i="1662"/>
  <c r="Q44" i="1662"/>
  <c r="Q45" i="1662"/>
  <c r="Q46" i="1662"/>
  <c r="Q47" i="1662"/>
  <c r="Q48" i="1662"/>
  <c r="Q49" i="1662"/>
  <c r="Q50" i="1662"/>
  <c r="Q51" i="1662"/>
  <c r="Q52" i="1662"/>
  <c r="Q53" i="1662"/>
  <c r="Q65" i="1662"/>
  <c r="Q66" i="1662"/>
  <c r="Q67" i="1662"/>
  <c r="Q69" i="1662"/>
  <c r="Q70" i="1662"/>
  <c r="Q71" i="1662"/>
  <c r="Q72" i="1662"/>
  <c r="Q73" i="1662"/>
  <c r="Q75" i="1662"/>
  <c r="Q76" i="1662"/>
  <c r="Q77" i="1662"/>
  <c r="Q80" i="1662"/>
  <c r="Q81" i="1662"/>
  <c r="Q82" i="1662"/>
  <c r="Q83" i="1662"/>
  <c r="Q84" i="1662"/>
  <c r="Q85" i="1662"/>
  <c r="Q86" i="1662"/>
  <c r="Q87" i="1662"/>
  <c r="Q88" i="1662"/>
  <c r="Q89" i="1662"/>
  <c r="Q90" i="1662"/>
  <c r="Q91" i="1662"/>
  <c r="Q92" i="1662"/>
  <c r="Q93" i="1662"/>
  <c r="Q94" i="1662"/>
  <c r="Q95" i="1662"/>
  <c r="Q96" i="1662"/>
  <c r="Q97" i="1662"/>
  <c r="Q98" i="1662"/>
  <c r="Q99" i="1662"/>
  <c r="Q100" i="1662"/>
  <c r="Q102" i="1662"/>
  <c r="Q104" i="1662"/>
  <c r="Q105" i="1662"/>
  <c r="Q106" i="1662"/>
  <c r="Q107" i="1662"/>
  <c r="Q108" i="1662"/>
  <c r="Q109" i="1662"/>
  <c r="Q110" i="1662"/>
  <c r="Q111" i="1662"/>
  <c r="Q112" i="1662"/>
  <c r="Q113" i="1662"/>
  <c r="Q114" i="1662"/>
  <c r="Q118" i="1662"/>
  <c r="Q119" i="1662"/>
  <c r="Q120" i="1662"/>
  <c r="Q121" i="1662"/>
  <c r="Q122" i="1662"/>
  <c r="Q123" i="1662"/>
  <c r="Q124" i="1662"/>
  <c r="Q125" i="1662"/>
  <c r="Q126" i="1662"/>
  <c r="Q127" i="1662"/>
  <c r="Q128" i="1662"/>
  <c r="Q129" i="1662"/>
  <c r="Q130" i="1662"/>
  <c r="Q131" i="1662"/>
  <c r="Q132" i="1662"/>
  <c r="Q133" i="1662"/>
  <c r="Q134" i="1662"/>
  <c r="Q135" i="1662"/>
  <c r="Q136" i="1662"/>
  <c r="Q137" i="1662"/>
  <c r="Q138" i="1662"/>
  <c r="Q139" i="1662"/>
  <c r="Q140" i="1662"/>
  <c r="Q141" i="1662"/>
  <c r="Q142" i="1662"/>
  <c r="Q143" i="1662"/>
  <c r="Q144" i="1662"/>
  <c r="Q145" i="1662"/>
  <c r="Q146" i="1662"/>
  <c r="Q147" i="1662"/>
  <c r="Q148" i="1662"/>
  <c r="Q149" i="1662"/>
  <c r="Q150" i="1662"/>
  <c r="Q151" i="1662"/>
  <c r="Q152" i="1662"/>
  <c r="Q153" i="1662"/>
  <c r="Q154" i="1662"/>
  <c r="Q155" i="1662"/>
  <c r="Q156" i="1662"/>
  <c r="Q157" i="1662"/>
  <c r="Q158" i="1662"/>
  <c r="Q159" i="1662"/>
  <c r="Q160" i="1662"/>
  <c r="Q161" i="1662"/>
  <c r="Q162" i="1662"/>
  <c r="Q163" i="1662"/>
  <c r="Q164" i="1662"/>
  <c r="Q165" i="1662"/>
  <c r="Q166" i="1662"/>
  <c r="Q167" i="1662"/>
  <c r="Q168" i="1662"/>
  <c r="Q169" i="1662"/>
  <c r="Q170" i="1662"/>
  <c r="Q180" i="1662"/>
  <c r="Q183" i="1662"/>
  <c r="Q184" i="1662"/>
  <c r="Q185" i="1662"/>
  <c r="Q186" i="1662"/>
  <c r="Q187" i="1662"/>
  <c r="Q188" i="1662"/>
  <c r="Q189" i="1662"/>
  <c r="Q190" i="1662"/>
  <c r="Q191" i="1662"/>
  <c r="Q192" i="1662"/>
  <c r="Q193" i="1662"/>
  <c r="Q194" i="1662"/>
  <c r="Q195" i="1662"/>
  <c r="Q198" i="1662"/>
  <c r="Q199" i="1662"/>
  <c r="Q200" i="1662"/>
  <c r="Q201" i="1662"/>
  <c r="Q202" i="1662"/>
  <c r="Q203" i="1662"/>
  <c r="Q204" i="1662"/>
  <c r="Q205" i="1662"/>
  <c r="Q206" i="1662"/>
  <c r="Q207" i="1662"/>
  <c r="Q208" i="1662"/>
  <c r="Q209" i="1662"/>
  <c r="Q210" i="1662"/>
  <c r="Q211" i="1662"/>
  <c r="Q212" i="1662"/>
  <c r="Q213" i="1662"/>
  <c r="Q214" i="1662"/>
  <c r="Q215" i="1662"/>
  <c r="Q216" i="1662"/>
  <c r="Q217" i="1662"/>
  <c r="Q219" i="1662"/>
  <c r="Q225" i="1662"/>
  <c r="Q226" i="1662"/>
  <c r="O13" i="1662"/>
  <c r="O14" i="1662"/>
  <c r="O15" i="1662"/>
  <c r="O16" i="1662"/>
  <c r="O17" i="1662"/>
  <c r="O18" i="1662"/>
  <c r="O19" i="1662"/>
  <c r="O20" i="1662"/>
  <c r="O21" i="1662"/>
  <c r="O22" i="1662"/>
  <c r="O23" i="1662"/>
  <c r="O24" i="1662"/>
  <c r="O25" i="1662"/>
  <c r="O26" i="1662"/>
  <c r="O27" i="1662"/>
  <c r="O28" i="1662"/>
  <c r="O29" i="1662"/>
  <c r="O30" i="1662"/>
  <c r="O31" i="1662"/>
  <c r="O32" i="1662"/>
  <c r="O33" i="1662"/>
  <c r="O34" i="1662"/>
  <c r="O35" i="1662"/>
  <c r="O36" i="1662"/>
  <c r="O37" i="1662"/>
  <c r="O38" i="1662"/>
  <c r="O39" i="1662"/>
  <c r="O40" i="1662"/>
  <c r="O41" i="1662"/>
  <c r="O42" i="1662"/>
  <c r="O43" i="1662"/>
  <c r="O44" i="1662"/>
  <c r="O45" i="1662"/>
  <c r="O46" i="1662"/>
  <c r="O47" i="1662"/>
  <c r="O48" i="1662"/>
  <c r="O49" i="1662"/>
  <c r="O50" i="1662"/>
  <c r="O51" i="1662"/>
  <c r="O52" i="1662"/>
  <c r="O53" i="1662"/>
  <c r="O54" i="1662"/>
  <c r="O55" i="1662"/>
  <c r="O56" i="1662"/>
  <c r="O57" i="1662"/>
  <c r="O58" i="1662"/>
  <c r="O59" i="1662"/>
  <c r="O60" i="1662"/>
  <c r="O61" i="1662"/>
  <c r="O62" i="1662"/>
  <c r="O63" i="1662"/>
  <c r="O65" i="1662"/>
  <c r="O66" i="1662"/>
  <c r="O67" i="1662"/>
  <c r="O68" i="1662"/>
  <c r="O69" i="1662"/>
  <c r="O70" i="1662"/>
  <c r="O71" i="1662"/>
  <c r="O72" i="1662"/>
  <c r="O73" i="1662"/>
  <c r="O74" i="1662"/>
  <c r="O75" i="1662"/>
  <c r="O76" i="1662"/>
  <c r="O77" i="1662"/>
  <c r="O80" i="1662"/>
  <c r="O81" i="1662"/>
  <c r="O82" i="1662"/>
  <c r="O83" i="1662"/>
  <c r="O84" i="1662"/>
  <c r="O85" i="1662"/>
  <c r="O86" i="1662"/>
  <c r="O87" i="1662"/>
  <c r="O88" i="1662"/>
  <c r="O89" i="1662"/>
  <c r="O90" i="1662"/>
  <c r="O91" i="1662"/>
  <c r="O92" i="1662"/>
  <c r="O93" i="1662"/>
  <c r="O94" i="1662"/>
  <c r="O95" i="1662"/>
  <c r="O96" i="1662"/>
  <c r="O97" i="1662"/>
  <c r="O98" i="1662"/>
  <c r="O99" i="1662"/>
  <c r="O100" i="1662"/>
  <c r="O101" i="1662"/>
  <c r="O102" i="1662"/>
  <c r="O104" i="1662"/>
  <c r="O105" i="1662"/>
  <c r="O106" i="1662"/>
  <c r="O107" i="1662"/>
  <c r="O108" i="1662"/>
  <c r="O109" i="1662"/>
  <c r="O110" i="1662"/>
  <c r="O111" i="1662"/>
  <c r="O112" i="1662"/>
  <c r="O113" i="1662"/>
  <c r="O114" i="1662"/>
  <c r="O115" i="1662"/>
  <c r="O116" i="1662"/>
  <c r="O118" i="1662"/>
  <c r="O119" i="1662"/>
  <c r="O120" i="1662"/>
  <c r="O121" i="1662"/>
  <c r="O122" i="1662"/>
  <c r="O123" i="1662"/>
  <c r="O124" i="1662"/>
  <c r="O125" i="1662"/>
  <c r="O126" i="1662"/>
  <c r="O127" i="1662"/>
  <c r="O128" i="1662"/>
  <c r="O129" i="1662"/>
  <c r="O130" i="1662"/>
  <c r="O131" i="1662"/>
  <c r="O132" i="1662"/>
  <c r="O133" i="1662"/>
  <c r="O134" i="1662"/>
  <c r="O135" i="1662"/>
  <c r="O136" i="1662"/>
  <c r="O137" i="1662"/>
  <c r="O138" i="1662"/>
  <c r="O139" i="1662"/>
  <c r="O140" i="1662"/>
  <c r="O141" i="1662"/>
  <c r="O142" i="1662"/>
  <c r="O143" i="1662"/>
  <c r="O144" i="1662"/>
  <c r="O145" i="1662"/>
  <c r="O146" i="1662"/>
  <c r="O147" i="1662"/>
  <c r="O148" i="1662"/>
  <c r="O149" i="1662"/>
  <c r="O150" i="1662"/>
  <c r="O151" i="1662"/>
  <c r="O152" i="1662"/>
  <c r="O153" i="1662"/>
  <c r="O154" i="1662"/>
  <c r="O155" i="1662"/>
  <c r="O156" i="1662"/>
  <c r="O157" i="1662"/>
  <c r="O158" i="1662"/>
  <c r="O159" i="1662"/>
  <c r="O160" i="1662"/>
  <c r="O161" i="1662"/>
  <c r="O162" i="1662"/>
  <c r="O163" i="1662"/>
  <c r="O164" i="1662"/>
  <c r="O165" i="1662"/>
  <c r="O166" i="1662"/>
  <c r="O167" i="1662"/>
  <c r="O168" i="1662"/>
  <c r="O169" i="1662"/>
  <c r="O170" i="1662"/>
  <c r="O171" i="1662"/>
  <c r="O172" i="1662"/>
  <c r="O173" i="1662"/>
  <c r="O174" i="1662"/>
  <c r="O175" i="1662"/>
  <c r="O176" i="1662"/>
  <c r="O177" i="1662"/>
  <c r="O178" i="1662"/>
  <c r="O179" i="1662"/>
  <c r="O180" i="1662"/>
  <c r="O181" i="1662"/>
  <c r="O183" i="1662"/>
  <c r="O184" i="1662"/>
  <c r="O185" i="1662"/>
  <c r="O186" i="1662"/>
  <c r="O187" i="1662"/>
  <c r="O188" i="1662"/>
  <c r="O189" i="1662"/>
  <c r="O190" i="1662"/>
  <c r="O191" i="1662"/>
  <c r="O192" i="1662"/>
  <c r="O193" i="1662"/>
  <c r="O194" i="1662"/>
  <c r="O195" i="1662"/>
  <c r="O198" i="1662"/>
  <c r="O199" i="1662"/>
  <c r="O200" i="1662"/>
  <c r="O201" i="1662"/>
  <c r="O202" i="1662"/>
  <c r="O203" i="1662"/>
  <c r="O204" i="1662"/>
  <c r="O205" i="1662"/>
  <c r="O206" i="1662"/>
  <c r="O207" i="1662"/>
  <c r="O208" i="1662"/>
  <c r="O209" i="1662"/>
  <c r="O210" i="1662"/>
  <c r="O211" i="1662"/>
  <c r="O212" i="1662"/>
  <c r="O213" i="1662"/>
  <c r="O214" i="1662"/>
  <c r="O215" i="1662"/>
  <c r="O216" i="1662"/>
  <c r="O217" i="1662"/>
  <c r="O218" i="1662"/>
  <c r="O219" i="1662"/>
  <c r="O220" i="1662"/>
  <c r="O221" i="1662"/>
  <c r="O224" i="1662"/>
  <c r="O225" i="1662"/>
  <c r="O226" i="1662"/>
  <c r="K13" i="1662"/>
  <c r="K14" i="1662"/>
  <c r="K15" i="1662"/>
  <c r="K16" i="1662"/>
  <c r="K17" i="1662"/>
  <c r="K18" i="1662"/>
  <c r="K19" i="1662"/>
  <c r="K20" i="1662"/>
  <c r="K21" i="1662"/>
  <c r="K22" i="1662"/>
  <c r="K23" i="1662"/>
  <c r="K24" i="1662"/>
  <c r="K25" i="1662"/>
  <c r="K26" i="1662"/>
  <c r="K27" i="1662"/>
  <c r="K28" i="1662"/>
  <c r="K29" i="1662"/>
  <c r="K30" i="1662"/>
  <c r="K31" i="1662"/>
  <c r="K32" i="1662"/>
  <c r="K33" i="1662"/>
  <c r="K34" i="1662"/>
  <c r="K35" i="1662"/>
  <c r="K36" i="1662"/>
  <c r="K37" i="1662"/>
  <c r="K38" i="1662"/>
  <c r="K39" i="1662"/>
  <c r="K40" i="1662"/>
  <c r="K41" i="1662"/>
  <c r="K42" i="1662"/>
  <c r="K43" i="1662"/>
  <c r="K44" i="1662"/>
  <c r="K45" i="1662"/>
  <c r="K46" i="1662"/>
  <c r="K47" i="1662"/>
  <c r="K48" i="1662"/>
  <c r="K49" i="1662"/>
  <c r="K50" i="1662"/>
  <c r="K51" i="1662"/>
  <c r="K52" i="1662"/>
  <c r="K53" i="1662"/>
  <c r="K54" i="1662"/>
  <c r="K55" i="1662"/>
  <c r="K56" i="1662"/>
  <c r="K57" i="1662"/>
  <c r="K58" i="1662"/>
  <c r="K59" i="1662"/>
  <c r="K60" i="1662"/>
  <c r="K61" i="1662"/>
  <c r="K62" i="1662"/>
  <c r="K63" i="1662"/>
  <c r="K65" i="1662"/>
  <c r="K66" i="1662"/>
  <c r="K67" i="1662"/>
  <c r="K68" i="1662"/>
  <c r="K69" i="1662"/>
  <c r="K70" i="1662"/>
  <c r="K71" i="1662"/>
  <c r="K72" i="1662"/>
  <c r="K73" i="1662"/>
  <c r="K75" i="1662"/>
  <c r="K76" i="1662"/>
  <c r="K77" i="1662"/>
  <c r="K80" i="1662"/>
  <c r="K81" i="1662"/>
  <c r="K82" i="1662"/>
  <c r="K83" i="1662"/>
  <c r="K84" i="1662"/>
  <c r="K85" i="1662"/>
  <c r="K86" i="1662"/>
  <c r="K87" i="1662"/>
  <c r="K88" i="1662"/>
  <c r="K89" i="1662"/>
  <c r="K90" i="1662"/>
  <c r="K91" i="1662"/>
  <c r="K92" i="1662"/>
  <c r="K93" i="1662"/>
  <c r="K94" i="1662"/>
  <c r="K95" i="1662"/>
  <c r="K96" i="1662"/>
  <c r="K97" i="1662"/>
  <c r="K98" i="1662"/>
  <c r="K99" i="1662"/>
  <c r="K100" i="1662"/>
  <c r="K101" i="1662"/>
  <c r="K102" i="1662"/>
  <c r="K104" i="1662"/>
  <c r="K105" i="1662"/>
  <c r="K106" i="1662"/>
  <c r="K107" i="1662"/>
  <c r="K108" i="1662"/>
  <c r="K109" i="1662"/>
  <c r="K110" i="1662"/>
  <c r="K111" i="1662"/>
  <c r="K112" i="1662"/>
  <c r="K113" i="1662"/>
  <c r="K114" i="1662"/>
  <c r="K115" i="1662"/>
  <c r="Q115" i="1662" s="1"/>
  <c r="K118" i="1662"/>
  <c r="K119" i="1662"/>
  <c r="K120" i="1662"/>
  <c r="K121" i="1662"/>
  <c r="K122" i="1662"/>
  <c r="K123" i="1662"/>
  <c r="K124" i="1662"/>
  <c r="K125" i="1662"/>
  <c r="K126" i="1662"/>
  <c r="K127" i="1662"/>
  <c r="K128" i="1662"/>
  <c r="K129" i="1662"/>
  <c r="K130" i="1662"/>
  <c r="K131" i="1662"/>
  <c r="K132" i="1662"/>
  <c r="K133" i="1662"/>
  <c r="K134" i="1662"/>
  <c r="K135" i="1662"/>
  <c r="K136" i="1662"/>
  <c r="K137" i="1662"/>
  <c r="K138" i="1662"/>
  <c r="K139" i="1662"/>
  <c r="K140" i="1662"/>
  <c r="K141" i="1662"/>
  <c r="K142" i="1662"/>
  <c r="K143" i="1662"/>
  <c r="K144" i="1662"/>
  <c r="K145" i="1662"/>
  <c r="K146" i="1662"/>
  <c r="K147" i="1662"/>
  <c r="K148" i="1662"/>
  <c r="K149" i="1662"/>
  <c r="K150" i="1662"/>
  <c r="K151" i="1662"/>
  <c r="K152" i="1662"/>
  <c r="K153" i="1662"/>
  <c r="K154" i="1662"/>
  <c r="K155" i="1662"/>
  <c r="K156" i="1662"/>
  <c r="K157" i="1662"/>
  <c r="K158" i="1662"/>
  <c r="K159" i="1662"/>
  <c r="K160" i="1662"/>
  <c r="K161" i="1662"/>
  <c r="K162" i="1662"/>
  <c r="K163" i="1662"/>
  <c r="K164" i="1662"/>
  <c r="K165" i="1662"/>
  <c r="K166" i="1662"/>
  <c r="K167" i="1662"/>
  <c r="K168" i="1662"/>
  <c r="K169" i="1662"/>
  <c r="K170" i="1662"/>
  <c r="K171" i="1662"/>
  <c r="K172" i="1662"/>
  <c r="Q172" i="1662" s="1"/>
  <c r="K173" i="1662"/>
  <c r="K174" i="1662"/>
  <c r="K175" i="1662"/>
  <c r="Q175" i="1662" s="1"/>
  <c r="K176" i="1662"/>
  <c r="K177" i="1662"/>
  <c r="K178" i="1662"/>
  <c r="K179" i="1662"/>
  <c r="K180" i="1662"/>
  <c r="K181" i="1662"/>
  <c r="K183" i="1662"/>
  <c r="K184" i="1662"/>
  <c r="K185" i="1662"/>
  <c r="K186" i="1662"/>
  <c r="K187" i="1662"/>
  <c r="K188" i="1662"/>
  <c r="K189" i="1662"/>
  <c r="K190" i="1662"/>
  <c r="K191" i="1662"/>
  <c r="K192" i="1662"/>
  <c r="K193" i="1662"/>
  <c r="K194" i="1662"/>
  <c r="K195" i="1662"/>
  <c r="K198" i="1662"/>
  <c r="K199" i="1662"/>
  <c r="K200" i="1662"/>
  <c r="K201" i="1662"/>
  <c r="K202" i="1662"/>
  <c r="K203" i="1662"/>
  <c r="K204" i="1662"/>
  <c r="K205" i="1662"/>
  <c r="K206" i="1662"/>
  <c r="K207" i="1662"/>
  <c r="K208" i="1662"/>
  <c r="K209" i="1662"/>
  <c r="K210" i="1662"/>
  <c r="K211" i="1662"/>
  <c r="K212" i="1662"/>
  <c r="K213" i="1662"/>
  <c r="K214" i="1662"/>
  <c r="K215" i="1662"/>
  <c r="K216" i="1662"/>
  <c r="K217" i="1662"/>
  <c r="K218" i="1662"/>
  <c r="Q218" i="1662" s="1"/>
  <c r="K219" i="1662"/>
  <c r="K220" i="1662"/>
  <c r="K221" i="1662"/>
  <c r="K224" i="1662"/>
  <c r="Q224" i="1662" s="1"/>
  <c r="K225" i="1662"/>
  <c r="K226" i="1662"/>
  <c r="L176" i="1664"/>
  <c r="L179" i="1664" s="1"/>
  <c r="L170" i="1664"/>
  <c r="L171" i="1664" s="1"/>
  <c r="L160" i="1664"/>
  <c r="L156" i="1664"/>
  <c r="L161" i="1664" s="1"/>
  <c r="L134" i="1664"/>
  <c r="L128" i="1664"/>
  <c r="L127" i="1664"/>
  <c r="L107" i="1664"/>
  <c r="L103" i="1664"/>
  <c r="L100" i="1664"/>
  <c r="L86" i="1664"/>
  <c r="L79" i="1664"/>
  <c r="L72" i="1664"/>
  <c r="L61" i="1664"/>
  <c r="L57" i="1664"/>
  <c r="L53" i="1664"/>
  <c r="L47" i="1664"/>
  <c r="L34" i="1664"/>
  <c r="L35" i="1664" s="1"/>
  <c r="L36" i="1664" s="1"/>
  <c r="L37" i="1664" s="1"/>
  <c r="L18" i="1664"/>
  <c r="L19" i="1664" s="1"/>
  <c r="J176" i="1664"/>
  <c r="J179" i="1664" s="1"/>
  <c r="J170" i="1664"/>
  <c r="J171" i="1664" s="1"/>
  <c r="J160" i="1664"/>
  <c r="J156" i="1664"/>
  <c r="J134" i="1664"/>
  <c r="J127" i="1664"/>
  <c r="J128" i="1664" s="1"/>
  <c r="J107" i="1664"/>
  <c r="J103" i="1664"/>
  <c r="J100" i="1664"/>
  <c r="J86" i="1664"/>
  <c r="J79" i="1664"/>
  <c r="J72" i="1664"/>
  <c r="J61" i="1664"/>
  <c r="J57" i="1664"/>
  <c r="J53" i="1664"/>
  <c r="J47" i="1664"/>
  <c r="J34" i="1664"/>
  <c r="J35" i="1664" s="1"/>
  <c r="J36" i="1664" s="1"/>
  <c r="J37" i="1664" s="1"/>
  <c r="K37" i="1664" s="1"/>
  <c r="J18" i="1664"/>
  <c r="J19" i="1664" s="1"/>
  <c r="K19" i="1664" s="1"/>
  <c r="P222" i="1662"/>
  <c r="P223" i="1662" s="1"/>
  <c r="P227" i="1662" s="1"/>
  <c r="P211" i="1662"/>
  <c r="P208" i="1662"/>
  <c r="P191" i="1662"/>
  <c r="P186" i="1662"/>
  <c r="P182" i="1662"/>
  <c r="P166" i="1662"/>
  <c r="P168" i="1662" s="1"/>
  <c r="P158" i="1662"/>
  <c r="P150" i="1662"/>
  <c r="P159" i="1662" s="1"/>
  <c r="P138" i="1662"/>
  <c r="P139" i="1662" s="1"/>
  <c r="P116" i="1662"/>
  <c r="P111" i="1662"/>
  <c r="P113" i="1662" s="1"/>
  <c r="P100" i="1662"/>
  <c r="P96" i="1662"/>
  <c r="P92" i="1662"/>
  <c r="P88" i="1662"/>
  <c r="P84" i="1662"/>
  <c r="P74" i="1662"/>
  <c r="P64" i="1662"/>
  <c r="P52" i="1662"/>
  <c r="P48" i="1662"/>
  <c r="P49" i="1662" s="1"/>
  <c r="P39" i="1662"/>
  <c r="P40" i="1662" s="1"/>
  <c r="P32" i="1662"/>
  <c r="P33" i="1662" s="1"/>
  <c r="N222" i="1662"/>
  <c r="N223" i="1662" s="1"/>
  <c r="N227" i="1662" s="1"/>
  <c r="O227" i="1662" s="1"/>
  <c r="N211" i="1662"/>
  <c r="N208" i="1662"/>
  <c r="N191" i="1662"/>
  <c r="N186" i="1662"/>
  <c r="N182" i="1662"/>
  <c r="O182" i="1662" s="1"/>
  <c r="N166" i="1662"/>
  <c r="N168" i="1662" s="1"/>
  <c r="N158" i="1662"/>
  <c r="N150" i="1662"/>
  <c r="N159" i="1662" s="1"/>
  <c r="N138" i="1662"/>
  <c r="N139" i="1662" s="1"/>
  <c r="N116" i="1662"/>
  <c r="N111" i="1662"/>
  <c r="N113" i="1662" s="1"/>
  <c r="N117" i="1662" s="1"/>
  <c r="O117" i="1662" s="1"/>
  <c r="N100" i="1662"/>
  <c r="N96" i="1662"/>
  <c r="N92" i="1662"/>
  <c r="N88" i="1662"/>
  <c r="N84" i="1662"/>
  <c r="N74" i="1662"/>
  <c r="N64" i="1662"/>
  <c r="O64" i="1662" s="1"/>
  <c r="N52" i="1662"/>
  <c r="N49" i="1662"/>
  <c r="N48" i="1662"/>
  <c r="N39" i="1662"/>
  <c r="N40" i="1662" s="1"/>
  <c r="N32" i="1662"/>
  <c r="N33" i="1662" s="1"/>
  <c r="J222" i="1662"/>
  <c r="J223" i="1662" s="1"/>
  <c r="J227" i="1662" s="1"/>
  <c r="K227" i="1662" s="1"/>
  <c r="J211" i="1662"/>
  <c r="J208" i="1662"/>
  <c r="J191" i="1662"/>
  <c r="J186" i="1662"/>
  <c r="J182" i="1662"/>
  <c r="K182" i="1662" s="1"/>
  <c r="J166" i="1662"/>
  <c r="J168" i="1662" s="1"/>
  <c r="J158" i="1662"/>
  <c r="J150" i="1662"/>
  <c r="J159" i="1662" s="1"/>
  <c r="J138" i="1662"/>
  <c r="J139" i="1662" s="1"/>
  <c r="J116" i="1662"/>
  <c r="K116" i="1662" s="1"/>
  <c r="J111" i="1662"/>
  <c r="J113" i="1662" s="1"/>
  <c r="J102" i="1662"/>
  <c r="J100" i="1662"/>
  <c r="J96" i="1662"/>
  <c r="J92" i="1662"/>
  <c r="J88" i="1662"/>
  <c r="J84" i="1662"/>
  <c r="J74" i="1662"/>
  <c r="K74" i="1662" s="1"/>
  <c r="J64" i="1662"/>
  <c r="K64" i="1662" s="1"/>
  <c r="J52" i="1662"/>
  <c r="J48" i="1662"/>
  <c r="J49" i="1662" s="1"/>
  <c r="J39" i="1662"/>
  <c r="J40" i="1662" s="1"/>
  <c r="J32" i="1662"/>
  <c r="J33" i="1662" s="1"/>
  <c r="H497" i="1666"/>
  <c r="H498" i="1666" s="1"/>
  <c r="H499" i="1666" s="1"/>
  <c r="H500" i="1666" s="1"/>
  <c r="H501" i="1666" s="1"/>
  <c r="H502" i="1666" s="1"/>
  <c r="H815" i="1665"/>
  <c r="H816" i="1665" s="1"/>
  <c r="H817" i="1665" s="1"/>
  <c r="H818" i="1665" s="1"/>
  <c r="H819" i="1665" s="1"/>
  <c r="H820" i="1665" s="1"/>
  <c r="I176" i="1664"/>
  <c r="I179" i="1664" s="1"/>
  <c r="H176" i="1664"/>
  <c r="H179" i="1664" s="1"/>
  <c r="G176" i="1664"/>
  <c r="G179" i="1664" s="1"/>
  <c r="F176" i="1664"/>
  <c r="F179" i="1664" s="1"/>
  <c r="E176" i="1664"/>
  <c r="E179" i="1664" s="1"/>
  <c r="D176" i="1664"/>
  <c r="D179" i="1664" s="1"/>
  <c r="C176" i="1664"/>
  <c r="C179" i="1664" s="1"/>
  <c r="B176" i="1664"/>
  <c r="B179" i="1664" s="1"/>
  <c r="I170" i="1664"/>
  <c r="I171" i="1664" s="1"/>
  <c r="H170" i="1664"/>
  <c r="H171" i="1664" s="1"/>
  <c r="G170" i="1664"/>
  <c r="G171" i="1664" s="1"/>
  <c r="G180" i="1664" s="1"/>
  <c r="F170" i="1664"/>
  <c r="F171" i="1664" s="1"/>
  <c r="E170" i="1664"/>
  <c r="E171" i="1664" s="1"/>
  <c r="D170" i="1664"/>
  <c r="D171" i="1664" s="1"/>
  <c r="D180" i="1664" s="1"/>
  <c r="C170" i="1664"/>
  <c r="C171" i="1664" s="1"/>
  <c r="B170" i="1664"/>
  <c r="B171" i="1664" s="1"/>
  <c r="I160" i="1664"/>
  <c r="H160" i="1664"/>
  <c r="G160" i="1664"/>
  <c r="G161" i="1664" s="1"/>
  <c r="F160" i="1664"/>
  <c r="E160" i="1664"/>
  <c r="D160" i="1664"/>
  <c r="C160" i="1664"/>
  <c r="B160" i="1664"/>
  <c r="I156" i="1664"/>
  <c r="I161" i="1664" s="1"/>
  <c r="H156" i="1664"/>
  <c r="G156" i="1664"/>
  <c r="F156" i="1664"/>
  <c r="F161" i="1664" s="1"/>
  <c r="E156" i="1664"/>
  <c r="E161" i="1664" s="1"/>
  <c r="D156" i="1664"/>
  <c r="C156" i="1664"/>
  <c r="B156" i="1664"/>
  <c r="I134" i="1664"/>
  <c r="H134" i="1664"/>
  <c r="G134" i="1664"/>
  <c r="F134" i="1664"/>
  <c r="E134" i="1664"/>
  <c r="D134" i="1664"/>
  <c r="C134" i="1664"/>
  <c r="B134" i="1664"/>
  <c r="F128" i="1664"/>
  <c r="I127" i="1664"/>
  <c r="I128" i="1664" s="1"/>
  <c r="H127" i="1664"/>
  <c r="H128" i="1664" s="1"/>
  <c r="G127" i="1664"/>
  <c r="G128" i="1664" s="1"/>
  <c r="F127" i="1664"/>
  <c r="E127" i="1664"/>
  <c r="E128" i="1664" s="1"/>
  <c r="D127" i="1664"/>
  <c r="D128" i="1664" s="1"/>
  <c r="C127" i="1664"/>
  <c r="C128" i="1664" s="1"/>
  <c r="B127" i="1664"/>
  <c r="B128" i="1664" s="1"/>
  <c r="I107" i="1664"/>
  <c r="H107" i="1664"/>
  <c r="G107" i="1664"/>
  <c r="F107" i="1664"/>
  <c r="E107" i="1664"/>
  <c r="D107" i="1664"/>
  <c r="C107" i="1664"/>
  <c r="B107" i="1664"/>
  <c r="I103" i="1664"/>
  <c r="H103" i="1664"/>
  <c r="G103" i="1664"/>
  <c r="F103" i="1664"/>
  <c r="E103" i="1664"/>
  <c r="D103" i="1664"/>
  <c r="C103" i="1664"/>
  <c r="B103" i="1664"/>
  <c r="I100" i="1664"/>
  <c r="H100" i="1664"/>
  <c r="G100" i="1664"/>
  <c r="F100" i="1664"/>
  <c r="E100" i="1664"/>
  <c r="D100" i="1664"/>
  <c r="C100" i="1664"/>
  <c r="B100" i="1664"/>
  <c r="I86" i="1664"/>
  <c r="H86" i="1664"/>
  <c r="G86" i="1664"/>
  <c r="F86" i="1664"/>
  <c r="E86" i="1664"/>
  <c r="D86" i="1664"/>
  <c r="C86" i="1664"/>
  <c r="B86" i="1664"/>
  <c r="I79" i="1664"/>
  <c r="H79" i="1664"/>
  <c r="G79" i="1664"/>
  <c r="F79" i="1664"/>
  <c r="E79" i="1664"/>
  <c r="D79" i="1664"/>
  <c r="C79" i="1664"/>
  <c r="B79" i="1664"/>
  <c r="I72" i="1664"/>
  <c r="H72" i="1664"/>
  <c r="G72" i="1664"/>
  <c r="F72" i="1664"/>
  <c r="E72" i="1664"/>
  <c r="D72" i="1664"/>
  <c r="C72" i="1664"/>
  <c r="B72" i="1664"/>
  <c r="I61" i="1664"/>
  <c r="H61" i="1664"/>
  <c r="G61" i="1664"/>
  <c r="F61" i="1664"/>
  <c r="E61" i="1664"/>
  <c r="D61" i="1664"/>
  <c r="C61" i="1664"/>
  <c r="B61" i="1664"/>
  <c r="I57" i="1664"/>
  <c r="H57" i="1664"/>
  <c r="G57" i="1664"/>
  <c r="F57" i="1664"/>
  <c r="E57" i="1664"/>
  <c r="D57" i="1664"/>
  <c r="C57" i="1664"/>
  <c r="B57" i="1664"/>
  <c r="I53" i="1664"/>
  <c r="H53" i="1664"/>
  <c r="G53" i="1664"/>
  <c r="F53" i="1664"/>
  <c r="E53" i="1664"/>
  <c r="D53" i="1664"/>
  <c r="C53" i="1664"/>
  <c r="B53" i="1664"/>
  <c r="I47" i="1664"/>
  <c r="H47" i="1664"/>
  <c r="G47" i="1664"/>
  <c r="F47" i="1664"/>
  <c r="E47" i="1664"/>
  <c r="D47" i="1664"/>
  <c r="C47" i="1664"/>
  <c r="B47" i="1664"/>
  <c r="I34" i="1664"/>
  <c r="I35" i="1664" s="1"/>
  <c r="I36" i="1664" s="1"/>
  <c r="I37" i="1664" s="1"/>
  <c r="H34" i="1664"/>
  <c r="H35" i="1664" s="1"/>
  <c r="H36" i="1664" s="1"/>
  <c r="H37" i="1664" s="1"/>
  <c r="G34" i="1664"/>
  <c r="G35" i="1664" s="1"/>
  <c r="G36" i="1664" s="1"/>
  <c r="G37" i="1664" s="1"/>
  <c r="F34" i="1664"/>
  <c r="F35" i="1664" s="1"/>
  <c r="F36" i="1664" s="1"/>
  <c r="F37" i="1664" s="1"/>
  <c r="E34" i="1664"/>
  <c r="E35" i="1664" s="1"/>
  <c r="E36" i="1664" s="1"/>
  <c r="E37" i="1664" s="1"/>
  <c r="D34" i="1664"/>
  <c r="D35" i="1664" s="1"/>
  <c r="D36" i="1664" s="1"/>
  <c r="D37" i="1664" s="1"/>
  <c r="C34" i="1664"/>
  <c r="C35" i="1664" s="1"/>
  <c r="C36" i="1664" s="1"/>
  <c r="C37" i="1664" s="1"/>
  <c r="B34" i="1664"/>
  <c r="B35" i="1664" s="1"/>
  <c r="B36" i="1664" s="1"/>
  <c r="B37" i="1664" s="1"/>
  <c r="I18" i="1664"/>
  <c r="I19" i="1664" s="1"/>
  <c r="H18" i="1664"/>
  <c r="H19" i="1664" s="1"/>
  <c r="G18" i="1664"/>
  <c r="G19" i="1664" s="1"/>
  <c r="G38" i="1664" s="1"/>
  <c r="F18" i="1664"/>
  <c r="F19" i="1664" s="1"/>
  <c r="E18" i="1664"/>
  <c r="E19" i="1664" s="1"/>
  <c r="D18" i="1664"/>
  <c r="D19" i="1664" s="1"/>
  <c r="C18" i="1664"/>
  <c r="C19" i="1664" s="1"/>
  <c r="B18" i="1664"/>
  <c r="B19" i="1664" s="1"/>
  <c r="M222" i="1662"/>
  <c r="M223" i="1662" s="1"/>
  <c r="M227" i="1662" s="1"/>
  <c r="L222" i="1662"/>
  <c r="L223" i="1662" s="1"/>
  <c r="L227" i="1662" s="1"/>
  <c r="I222" i="1662"/>
  <c r="I223" i="1662" s="1"/>
  <c r="I227" i="1662" s="1"/>
  <c r="H222" i="1662"/>
  <c r="H223" i="1662" s="1"/>
  <c r="H227" i="1662" s="1"/>
  <c r="G222" i="1662"/>
  <c r="G223" i="1662" s="1"/>
  <c r="G227" i="1662" s="1"/>
  <c r="F222" i="1662"/>
  <c r="F223" i="1662" s="1"/>
  <c r="F227" i="1662" s="1"/>
  <c r="E222" i="1662"/>
  <c r="E223" i="1662" s="1"/>
  <c r="E227" i="1662" s="1"/>
  <c r="D222" i="1662"/>
  <c r="D223" i="1662" s="1"/>
  <c r="D227" i="1662" s="1"/>
  <c r="C222" i="1662"/>
  <c r="C223" i="1662" s="1"/>
  <c r="C227" i="1662" s="1"/>
  <c r="B222" i="1662"/>
  <c r="B223" i="1662" s="1"/>
  <c r="B227" i="1662" s="1"/>
  <c r="M211" i="1662"/>
  <c r="L211" i="1662"/>
  <c r="I211" i="1662"/>
  <c r="H211" i="1662"/>
  <c r="G211" i="1662"/>
  <c r="F211" i="1662"/>
  <c r="E211" i="1662"/>
  <c r="D211" i="1662"/>
  <c r="C211" i="1662"/>
  <c r="B211" i="1662"/>
  <c r="M208" i="1662"/>
  <c r="L208" i="1662"/>
  <c r="I208" i="1662"/>
  <c r="H208" i="1662"/>
  <c r="G208" i="1662"/>
  <c r="F208" i="1662"/>
  <c r="E208" i="1662"/>
  <c r="D208" i="1662"/>
  <c r="C208" i="1662"/>
  <c r="B208" i="1662"/>
  <c r="M191" i="1662"/>
  <c r="L191" i="1662"/>
  <c r="I191" i="1662"/>
  <c r="H191" i="1662"/>
  <c r="G191" i="1662"/>
  <c r="F191" i="1662"/>
  <c r="E191" i="1662"/>
  <c r="D191" i="1662"/>
  <c r="C191" i="1662"/>
  <c r="B191" i="1662"/>
  <c r="M186" i="1662"/>
  <c r="L186" i="1662"/>
  <c r="I186" i="1662"/>
  <c r="H186" i="1662"/>
  <c r="G186" i="1662"/>
  <c r="F186" i="1662"/>
  <c r="E186" i="1662"/>
  <c r="D186" i="1662"/>
  <c r="C186" i="1662"/>
  <c r="B186" i="1662"/>
  <c r="M182" i="1662"/>
  <c r="L182" i="1662"/>
  <c r="I182" i="1662"/>
  <c r="H182" i="1662"/>
  <c r="G182" i="1662"/>
  <c r="F182" i="1662"/>
  <c r="E182" i="1662"/>
  <c r="D182" i="1662"/>
  <c r="C182" i="1662"/>
  <c r="B182" i="1662"/>
  <c r="M166" i="1662"/>
  <c r="M168" i="1662" s="1"/>
  <c r="L166" i="1662"/>
  <c r="L168" i="1662" s="1"/>
  <c r="I166" i="1662"/>
  <c r="I168" i="1662" s="1"/>
  <c r="H166" i="1662"/>
  <c r="H168" i="1662" s="1"/>
  <c r="G166" i="1662"/>
  <c r="G168" i="1662" s="1"/>
  <c r="F166" i="1662"/>
  <c r="F168" i="1662" s="1"/>
  <c r="E166" i="1662"/>
  <c r="E168" i="1662" s="1"/>
  <c r="D166" i="1662"/>
  <c r="D168" i="1662" s="1"/>
  <c r="C166" i="1662"/>
  <c r="C168" i="1662" s="1"/>
  <c r="B166" i="1662"/>
  <c r="B168" i="1662" s="1"/>
  <c r="M158" i="1662"/>
  <c r="L158" i="1662"/>
  <c r="I158" i="1662"/>
  <c r="H158" i="1662"/>
  <c r="G158" i="1662"/>
  <c r="F158" i="1662"/>
  <c r="E158" i="1662"/>
  <c r="D158" i="1662"/>
  <c r="C158" i="1662"/>
  <c r="B158" i="1662"/>
  <c r="M150" i="1662"/>
  <c r="L150" i="1662"/>
  <c r="I150" i="1662"/>
  <c r="H150" i="1662"/>
  <c r="G150" i="1662"/>
  <c r="F150" i="1662"/>
  <c r="E150" i="1662"/>
  <c r="D150" i="1662"/>
  <c r="C150" i="1662"/>
  <c r="B150" i="1662"/>
  <c r="M138" i="1662"/>
  <c r="M139" i="1662" s="1"/>
  <c r="L138" i="1662"/>
  <c r="L139" i="1662" s="1"/>
  <c r="I138" i="1662"/>
  <c r="I139" i="1662" s="1"/>
  <c r="H138" i="1662"/>
  <c r="H139" i="1662" s="1"/>
  <c r="G138" i="1662"/>
  <c r="G139" i="1662" s="1"/>
  <c r="F138" i="1662"/>
  <c r="F139" i="1662" s="1"/>
  <c r="E138" i="1662"/>
  <c r="E139" i="1662" s="1"/>
  <c r="D138" i="1662"/>
  <c r="D139" i="1662" s="1"/>
  <c r="C138" i="1662"/>
  <c r="C139" i="1662" s="1"/>
  <c r="B138" i="1662"/>
  <c r="B139" i="1662" s="1"/>
  <c r="M116" i="1662"/>
  <c r="L116" i="1662"/>
  <c r="I116" i="1662"/>
  <c r="H116" i="1662"/>
  <c r="G116" i="1662"/>
  <c r="F116" i="1662"/>
  <c r="E116" i="1662"/>
  <c r="D116" i="1662"/>
  <c r="C116" i="1662"/>
  <c r="B116" i="1662"/>
  <c r="M111" i="1662"/>
  <c r="M113" i="1662" s="1"/>
  <c r="M117" i="1662" s="1"/>
  <c r="L111" i="1662"/>
  <c r="L113" i="1662" s="1"/>
  <c r="I111" i="1662"/>
  <c r="I113" i="1662" s="1"/>
  <c r="H111" i="1662"/>
  <c r="H113" i="1662" s="1"/>
  <c r="G111" i="1662"/>
  <c r="G113" i="1662" s="1"/>
  <c r="F111" i="1662"/>
  <c r="F113" i="1662" s="1"/>
  <c r="E111" i="1662"/>
  <c r="E113" i="1662" s="1"/>
  <c r="D111" i="1662"/>
  <c r="D113" i="1662" s="1"/>
  <c r="C111" i="1662"/>
  <c r="C113" i="1662" s="1"/>
  <c r="B111" i="1662"/>
  <c r="B113" i="1662" s="1"/>
  <c r="M100" i="1662"/>
  <c r="L100" i="1662"/>
  <c r="I100" i="1662"/>
  <c r="H100" i="1662"/>
  <c r="G100" i="1662"/>
  <c r="F100" i="1662"/>
  <c r="E100" i="1662"/>
  <c r="D100" i="1662"/>
  <c r="C100" i="1662"/>
  <c r="B100" i="1662"/>
  <c r="M96" i="1662"/>
  <c r="L96" i="1662"/>
  <c r="I96" i="1662"/>
  <c r="H96" i="1662"/>
  <c r="G96" i="1662"/>
  <c r="F96" i="1662"/>
  <c r="E96" i="1662"/>
  <c r="D96" i="1662"/>
  <c r="C96" i="1662"/>
  <c r="B96" i="1662"/>
  <c r="M92" i="1662"/>
  <c r="L92" i="1662"/>
  <c r="I92" i="1662"/>
  <c r="H92" i="1662"/>
  <c r="G92" i="1662"/>
  <c r="F92" i="1662"/>
  <c r="E92" i="1662"/>
  <c r="D92" i="1662"/>
  <c r="C92" i="1662"/>
  <c r="B92" i="1662"/>
  <c r="M88" i="1662"/>
  <c r="L88" i="1662"/>
  <c r="I88" i="1662"/>
  <c r="H88" i="1662"/>
  <c r="G88" i="1662"/>
  <c r="F88" i="1662"/>
  <c r="E88" i="1662"/>
  <c r="D88" i="1662"/>
  <c r="C88" i="1662"/>
  <c r="B88" i="1662"/>
  <c r="M84" i="1662"/>
  <c r="L84" i="1662"/>
  <c r="I84" i="1662"/>
  <c r="H84" i="1662"/>
  <c r="G84" i="1662"/>
  <c r="F84" i="1662"/>
  <c r="E84" i="1662"/>
  <c r="D84" i="1662"/>
  <c r="C84" i="1662"/>
  <c r="B84" i="1662"/>
  <c r="M74" i="1662"/>
  <c r="L74" i="1662"/>
  <c r="I74" i="1662"/>
  <c r="H74" i="1662"/>
  <c r="G74" i="1662"/>
  <c r="F74" i="1662"/>
  <c r="E74" i="1662"/>
  <c r="D74" i="1662"/>
  <c r="C74" i="1662"/>
  <c r="B74" i="1662"/>
  <c r="M64" i="1662"/>
  <c r="L64" i="1662"/>
  <c r="I64" i="1662"/>
  <c r="H64" i="1662"/>
  <c r="G64" i="1662"/>
  <c r="F64" i="1662"/>
  <c r="E64" i="1662"/>
  <c r="D64" i="1662"/>
  <c r="C64" i="1662"/>
  <c r="B64" i="1662"/>
  <c r="M52" i="1662"/>
  <c r="L52" i="1662"/>
  <c r="I52" i="1662"/>
  <c r="H52" i="1662"/>
  <c r="G52" i="1662"/>
  <c r="F52" i="1662"/>
  <c r="E52" i="1662"/>
  <c r="D52" i="1662"/>
  <c r="C52" i="1662"/>
  <c r="B52" i="1662"/>
  <c r="M48" i="1662"/>
  <c r="M49" i="1662" s="1"/>
  <c r="L48" i="1662"/>
  <c r="L49" i="1662" s="1"/>
  <c r="I48" i="1662"/>
  <c r="I49" i="1662" s="1"/>
  <c r="H48" i="1662"/>
  <c r="H49" i="1662" s="1"/>
  <c r="G48" i="1662"/>
  <c r="G49" i="1662" s="1"/>
  <c r="F48" i="1662"/>
  <c r="F49" i="1662" s="1"/>
  <c r="E48" i="1662"/>
  <c r="E49" i="1662" s="1"/>
  <c r="D48" i="1662"/>
  <c r="D49" i="1662" s="1"/>
  <c r="C48" i="1662"/>
  <c r="C49" i="1662" s="1"/>
  <c r="B48" i="1662"/>
  <c r="B49" i="1662" s="1"/>
  <c r="M39" i="1662"/>
  <c r="M40" i="1662" s="1"/>
  <c r="L39" i="1662"/>
  <c r="L40" i="1662" s="1"/>
  <c r="I39" i="1662"/>
  <c r="I40" i="1662" s="1"/>
  <c r="H39" i="1662"/>
  <c r="H40" i="1662" s="1"/>
  <c r="G39" i="1662"/>
  <c r="G40" i="1662" s="1"/>
  <c r="F39" i="1662"/>
  <c r="F40" i="1662" s="1"/>
  <c r="E39" i="1662"/>
  <c r="E40" i="1662" s="1"/>
  <c r="D39" i="1662"/>
  <c r="D40" i="1662" s="1"/>
  <c r="C39" i="1662"/>
  <c r="C40" i="1662" s="1"/>
  <c r="B39" i="1662"/>
  <c r="B40" i="1662" s="1"/>
  <c r="M32" i="1662"/>
  <c r="M33" i="1662" s="1"/>
  <c r="L32" i="1662"/>
  <c r="L33" i="1662" s="1"/>
  <c r="I32" i="1662"/>
  <c r="I33" i="1662" s="1"/>
  <c r="H32" i="1662"/>
  <c r="H33" i="1662" s="1"/>
  <c r="G32" i="1662"/>
  <c r="G33" i="1662" s="1"/>
  <c r="F32" i="1662"/>
  <c r="F33" i="1662" s="1"/>
  <c r="E32" i="1662"/>
  <c r="E33" i="1662" s="1"/>
  <c r="D32" i="1662"/>
  <c r="D33" i="1662" s="1"/>
  <c r="C32" i="1662"/>
  <c r="C33" i="1662" s="1"/>
  <c r="B32" i="1662"/>
  <c r="B33" i="1662" s="1"/>
  <c r="Q68" i="1662" l="1"/>
  <c r="Q74" i="1662"/>
  <c r="Q221" i="1662"/>
  <c r="Q220" i="1662"/>
  <c r="O223" i="1662"/>
  <c r="O222" i="1662"/>
  <c r="K223" i="1662"/>
  <c r="Q223" i="1662" s="1"/>
  <c r="K222" i="1662"/>
  <c r="Q222" i="1662"/>
  <c r="Q181" i="1662"/>
  <c r="Q179" i="1662"/>
  <c r="Q178" i="1662"/>
  <c r="Q177" i="1662"/>
  <c r="Q176" i="1662"/>
  <c r="Q174" i="1662"/>
  <c r="Q173" i="1662"/>
  <c r="Q171" i="1662"/>
  <c r="Q182" i="1662"/>
  <c r="J117" i="1662"/>
  <c r="K117" i="1662" s="1"/>
  <c r="Q116" i="1662"/>
  <c r="P117" i="1662"/>
  <c r="Q117" i="1662" s="1"/>
  <c r="Q63" i="1662"/>
  <c r="Q62" i="1662"/>
  <c r="Q61" i="1662"/>
  <c r="Q60" i="1662"/>
  <c r="Q59" i="1662"/>
  <c r="Q58" i="1662"/>
  <c r="Q57" i="1662"/>
  <c r="N78" i="1662"/>
  <c r="O78" i="1662" s="1"/>
  <c r="Q56" i="1662"/>
  <c r="Q55" i="1662"/>
  <c r="Q54" i="1662"/>
  <c r="Q64" i="1662"/>
  <c r="P78" i="1662"/>
  <c r="Q227" i="1662"/>
  <c r="K36" i="1664"/>
  <c r="M37" i="1664"/>
  <c r="M36" i="1664"/>
  <c r="K18" i="1664"/>
  <c r="M19" i="1664"/>
  <c r="M18" i="1664"/>
  <c r="J161" i="1664"/>
  <c r="K161" i="1664" s="1"/>
  <c r="M161" i="1664" s="1"/>
  <c r="L180" i="1664"/>
  <c r="L135" i="1664"/>
  <c r="L38" i="1664"/>
  <c r="L163" i="1664"/>
  <c r="J180" i="1664"/>
  <c r="J38" i="1664"/>
  <c r="K38" i="1664" s="1"/>
  <c r="J135" i="1664"/>
  <c r="H38" i="1664"/>
  <c r="I135" i="1664"/>
  <c r="I163" i="1664" s="1"/>
  <c r="D38" i="1664"/>
  <c r="D161" i="1664"/>
  <c r="B161" i="1664"/>
  <c r="B135" i="1664"/>
  <c r="H161" i="1664"/>
  <c r="C180" i="1664"/>
  <c r="I117" i="1662"/>
  <c r="J212" i="1662"/>
  <c r="J214" i="1662" s="1"/>
  <c r="I102" i="1662"/>
  <c r="N212" i="1662"/>
  <c r="N214" i="1662" s="1"/>
  <c r="P212" i="1662"/>
  <c r="P214" i="1662" s="1"/>
  <c r="P196" i="1662"/>
  <c r="P197" i="1662" s="1"/>
  <c r="P102" i="1662"/>
  <c r="P79" i="1662"/>
  <c r="N196" i="1662"/>
  <c r="N102" i="1662"/>
  <c r="N79" i="1662"/>
  <c r="O79" i="1662" s="1"/>
  <c r="J78" i="1662"/>
  <c r="J196" i="1662"/>
  <c r="E117" i="1662"/>
  <c r="D102" i="1662"/>
  <c r="H159" i="1662"/>
  <c r="H196" i="1662" s="1"/>
  <c r="E102" i="1662"/>
  <c r="B212" i="1662"/>
  <c r="B214" i="1662" s="1"/>
  <c r="L212" i="1662"/>
  <c r="L214" i="1662" s="1"/>
  <c r="G78" i="1662"/>
  <c r="G102" i="1662"/>
  <c r="F159" i="1662"/>
  <c r="M102" i="1662"/>
  <c r="H102" i="1662"/>
  <c r="L102" i="1662"/>
  <c r="M212" i="1662"/>
  <c r="M214" i="1662" s="1"/>
  <c r="G212" i="1662"/>
  <c r="G214" i="1662" s="1"/>
  <c r="C102" i="1662"/>
  <c r="C117" i="1662"/>
  <c r="B102" i="1662"/>
  <c r="C212" i="1662"/>
  <c r="C214" i="1662" s="1"/>
  <c r="F102" i="1662"/>
  <c r="E212" i="1662"/>
  <c r="E214" i="1662" s="1"/>
  <c r="L78" i="1662"/>
  <c r="L79" i="1662" s="1"/>
  <c r="I159" i="1662"/>
  <c r="I196" i="1662" s="1"/>
  <c r="I197" i="1662" s="1"/>
  <c r="C78" i="1662"/>
  <c r="C79" i="1662" s="1"/>
  <c r="L159" i="1662"/>
  <c r="L196" i="1662" s="1"/>
  <c r="M78" i="1662"/>
  <c r="M79" i="1662" s="1"/>
  <c r="I212" i="1662"/>
  <c r="I214" i="1662" s="1"/>
  <c r="E159" i="1662"/>
  <c r="E196" i="1662" s="1"/>
  <c r="E197" i="1662" s="1"/>
  <c r="E228" i="1662" s="1"/>
  <c r="E38" i="1664"/>
  <c r="I38" i="1664"/>
  <c r="I164" i="1664" s="1"/>
  <c r="C135" i="1664"/>
  <c r="E135" i="1664"/>
  <c r="E163" i="1664" s="1"/>
  <c r="F135" i="1664"/>
  <c r="F163" i="1664" s="1"/>
  <c r="D135" i="1664"/>
  <c r="G135" i="1664"/>
  <c r="C161" i="1664"/>
  <c r="H135" i="1664"/>
  <c r="C38" i="1664"/>
  <c r="E78" i="1662"/>
  <c r="E79" i="1662" s="1"/>
  <c r="E103" i="1662" s="1"/>
  <c r="D117" i="1662"/>
  <c r="G159" i="1662"/>
  <c r="G196" i="1662" s="1"/>
  <c r="D212" i="1662"/>
  <c r="D214" i="1662" s="1"/>
  <c r="L117" i="1662"/>
  <c r="F212" i="1662"/>
  <c r="F214" i="1662" s="1"/>
  <c r="G117" i="1662"/>
  <c r="B159" i="1662"/>
  <c r="B196" i="1662" s="1"/>
  <c r="F78" i="1662"/>
  <c r="F79" i="1662" s="1"/>
  <c r="F103" i="1662" s="1"/>
  <c r="H117" i="1662"/>
  <c r="F117" i="1662"/>
  <c r="C159" i="1662"/>
  <c r="C196" i="1662" s="1"/>
  <c r="C197" i="1662" s="1"/>
  <c r="C228" i="1662" s="1"/>
  <c r="H212" i="1662"/>
  <c r="H214" i="1662" s="1"/>
  <c r="M159" i="1662"/>
  <c r="M196" i="1662" s="1"/>
  <c r="M197" i="1662" s="1"/>
  <c r="B117" i="1662"/>
  <c r="D159" i="1662"/>
  <c r="D196" i="1662" s="1"/>
  <c r="F180" i="1664"/>
  <c r="F38" i="1664"/>
  <c r="H180" i="1664"/>
  <c r="I180" i="1664"/>
  <c r="B38" i="1664"/>
  <c r="B180" i="1664"/>
  <c r="E180" i="1664"/>
  <c r="G79" i="1662"/>
  <c r="G103" i="1662" s="1"/>
  <c r="H78" i="1662"/>
  <c r="H79" i="1662" s="1"/>
  <c r="H103" i="1662" s="1"/>
  <c r="D78" i="1662"/>
  <c r="D79" i="1662" s="1"/>
  <c r="D103" i="1662" s="1"/>
  <c r="F196" i="1662"/>
  <c r="B78" i="1662"/>
  <c r="B79" i="1662" s="1"/>
  <c r="I78" i="1662"/>
  <c r="I79" i="1662" s="1"/>
  <c r="I103" i="1662" s="1"/>
  <c r="N197" i="1662" l="1"/>
  <c r="O196" i="1662"/>
  <c r="J197" i="1662"/>
  <c r="K197" i="1662" s="1"/>
  <c r="K196" i="1662"/>
  <c r="Q196" i="1662" s="1"/>
  <c r="N228" i="1662"/>
  <c r="O228" i="1662" s="1"/>
  <c r="O197" i="1662"/>
  <c r="Q197" i="1662" s="1"/>
  <c r="J79" i="1662"/>
  <c r="K78" i="1662"/>
  <c r="Q78" i="1662" s="1"/>
  <c r="P103" i="1662"/>
  <c r="J163" i="1664"/>
  <c r="M38" i="1664"/>
  <c r="L164" i="1664"/>
  <c r="C163" i="1664"/>
  <c r="B163" i="1664"/>
  <c r="B164" i="1664" s="1"/>
  <c r="B181" i="1664" s="1"/>
  <c r="D163" i="1664"/>
  <c r="D164" i="1664" s="1"/>
  <c r="D181" i="1664" s="1"/>
  <c r="C164" i="1664"/>
  <c r="C181" i="1664" s="1"/>
  <c r="H163" i="1664"/>
  <c r="H164" i="1664" s="1"/>
  <c r="H181" i="1664" s="1"/>
  <c r="G163" i="1664"/>
  <c r="G164" i="1664" s="1"/>
  <c r="G181" i="1664" s="1"/>
  <c r="P228" i="1662"/>
  <c r="J228" i="1662"/>
  <c r="K228" i="1662" s="1"/>
  <c r="N103" i="1662"/>
  <c r="O103" i="1662" s="1"/>
  <c r="C103" i="1662"/>
  <c r="L103" i="1662"/>
  <c r="B197" i="1662"/>
  <c r="B228" i="1662" s="1"/>
  <c r="M103" i="1662"/>
  <c r="M228" i="1662"/>
  <c r="H197" i="1662"/>
  <c r="H228" i="1662" s="1"/>
  <c r="I228" i="1662"/>
  <c r="F197" i="1662"/>
  <c r="F228" i="1662" s="1"/>
  <c r="D197" i="1662"/>
  <c r="D228" i="1662" s="1"/>
  <c r="L197" i="1662"/>
  <c r="L228" i="1662" s="1"/>
  <c r="F164" i="1664"/>
  <c r="F181" i="1664" s="1"/>
  <c r="E164" i="1664"/>
  <c r="E181" i="1664" s="1"/>
  <c r="B103" i="1662"/>
  <c r="G197" i="1662"/>
  <c r="G228" i="1662" s="1"/>
  <c r="I181" i="1664"/>
  <c r="J103" i="1662" l="1"/>
  <c r="K103" i="1662" s="1"/>
  <c r="Q103" i="1662" s="1"/>
  <c r="K79" i="1662"/>
  <c r="Q79" i="1662" s="1"/>
  <c r="Q228" i="1662"/>
  <c r="J164" i="1664"/>
  <c r="K163" i="1664"/>
  <c r="M163" i="1664" s="1"/>
  <c r="L181" i="1664"/>
  <c r="J181" i="1664" l="1"/>
  <c r="K181" i="1664" s="1"/>
  <c r="M181" i="1664" s="1"/>
  <c r="K164" i="1664"/>
  <c r="M164" i="1664" s="1"/>
</calcChain>
</file>

<file path=xl/sharedStrings.xml><?xml version="1.0" encoding="utf-8"?>
<sst xmlns="http://schemas.openxmlformats.org/spreadsheetml/2006/main" count="6992" uniqueCount="1879">
  <si>
    <t>CompanyName</t>
  </si>
  <si>
    <t>40010 - Sales</t>
  </si>
  <si>
    <t>50010 - Cost of Goods Sold</t>
  </si>
  <si>
    <t>14020 - Finished Goods Inventory</t>
  </si>
  <si>
    <t>Retained Earnings</t>
  </si>
  <si>
    <t>Intrepid Spirits Limited</t>
  </si>
  <si>
    <t>Parent Company : Intrepid Spirits Holdings Inc (Consolidated)</t>
  </si>
  <si>
    <t>Balance Sheet</t>
  </si>
  <si>
    <t/>
  </si>
  <si>
    <t>Financial Row</t>
  </si>
  <si>
    <t> </t>
  </si>
  <si>
    <t>Amount</t>
  </si>
  <si>
    <t>Intrepid Spirits Holdings Inc</t>
  </si>
  <si>
    <t>Total</t>
  </si>
  <si>
    <t>Cocalero International HK Limited</t>
  </si>
  <si>
    <t>Mad March Hare International Holdings Limited</t>
  </si>
  <si>
    <t>Cocalero Productions Limited</t>
  </si>
  <si>
    <t>Intrepid Australia Ltd</t>
  </si>
  <si>
    <t>Intrepid Spirits USA Inc</t>
  </si>
  <si>
    <t>Mad March Hare International Brands Ltd</t>
  </si>
  <si>
    <t>ASSETS</t>
  </si>
  <si>
    <t>Current Assets</t>
  </si>
  <si>
    <t>Bank</t>
  </si>
  <si>
    <t>10000 - - BANK -</t>
  </si>
  <si>
    <t>10010 - Intrepid Spirits MHW USD</t>
  </si>
  <si>
    <t>10020 - Intrepid Spirits AIB</t>
  </si>
  <si>
    <t>10030 - Petty Cash</t>
  </si>
  <si>
    <t>10040 - Accelerated Payments (Intrepid Spirits Ltd)</t>
  </si>
  <si>
    <t>10110 - Cocalero AIB Bank Account</t>
  </si>
  <si>
    <t>10210 - Intrepid Spirits USA Chase Chk</t>
  </si>
  <si>
    <t>10310 - Intrepid Spirits Holding Check</t>
  </si>
  <si>
    <t>10360 - Intrepid Distilleries AIB</t>
  </si>
  <si>
    <t>10620 - MHW Bank Account</t>
  </si>
  <si>
    <t>10660 - Westpac</t>
  </si>
  <si>
    <t>10680 - BacMar</t>
  </si>
  <si>
    <t>Total - 10000 - - BANK -</t>
  </si>
  <si>
    <t>Total Bank</t>
  </si>
  <si>
    <t>Accounts Receivable</t>
  </si>
  <si>
    <t>11000 - - ACCOUNTS RECEIVABLE -</t>
  </si>
  <si>
    <t>11010 - Trade Receivable</t>
  </si>
  <si>
    <t>11050 - Provision for Doubtful Debt</t>
  </si>
  <si>
    <t>Total - 11000 - - ACCOUNTS RECEIVABLE -</t>
  </si>
  <si>
    <t>Total Accounts Receivable</t>
  </si>
  <si>
    <t>Other Current Asset</t>
  </si>
  <si>
    <t>11300 - - PREPAYMENTS -</t>
  </si>
  <si>
    <t>11310 - Prepayments</t>
  </si>
  <si>
    <t>Total - 11300 - - PREPAYMENTS -</t>
  </si>
  <si>
    <t>13000 - - INTERCOMPANY INVESTMENTS -</t>
  </si>
  <si>
    <t>13020 - InterCo. Investments - Cocalero HK</t>
  </si>
  <si>
    <t>13021 - InterCo. Investments - Cocalero Productions</t>
  </si>
  <si>
    <t>13030 - InterCo. Investments - Mad March Hare Holdings</t>
  </si>
  <si>
    <t>13031 - InterCo. Investments - Mad March Hare Int. Brands</t>
  </si>
  <si>
    <t>13040 - InterCo. Investments - Intrepid Spirit IRE</t>
  </si>
  <si>
    <t>13041 - InterCo. Investments - Intrepid Spirit USA</t>
  </si>
  <si>
    <t>13200 - InterCo. Investments - P&amp;H Egan</t>
  </si>
  <si>
    <t>Total - 13000 - - INTERCOMPANY INVESTMENTS -</t>
  </si>
  <si>
    <t>14000 - - INVENTORY -</t>
  </si>
  <si>
    <t>14010 - Raw Material Inventory</t>
  </si>
  <si>
    <t>14030 - Point of Sales Stock</t>
  </si>
  <si>
    <t>14040 - Consignment Stock</t>
  </si>
  <si>
    <t>14050 - Sundry Stock</t>
  </si>
  <si>
    <t>Total - 14000 - - INVENTORY -</t>
  </si>
  <si>
    <t>IEVOP - IE VAT on Purchases</t>
  </si>
  <si>
    <t>GST Paid</t>
  </si>
  <si>
    <t>Intercompany Clearing Account</t>
  </si>
  <si>
    <t>Total Other Current Asset</t>
  </si>
  <si>
    <t>Total Current Assets</t>
  </si>
  <si>
    <t>Fixed Assets</t>
  </si>
  <si>
    <t>01000 - - OFFICE EQUIPMENT -</t>
  </si>
  <si>
    <t>01010 - Office Equipment at Cost</t>
  </si>
  <si>
    <t>01020 - Office Equipment Depreciation</t>
  </si>
  <si>
    <t>Total - 01000 - - OFFICE EQUIPMENT -</t>
  </si>
  <si>
    <t>01100 - - COMPUTER EQUIPMENT -</t>
  </si>
  <si>
    <t>01110 - Computer Equipment at Cost</t>
  </si>
  <si>
    <t>Total - 01100 - - COMPUTER EQUIPMENT -</t>
  </si>
  <si>
    <t>01200 - - FIXTURES &amp; FITTINGS -</t>
  </si>
  <si>
    <t>01210 - Fixtures &amp; Fittings at Cost</t>
  </si>
  <si>
    <t>Total - 01200 - - FIXTURES &amp; FITTINGS -</t>
  </si>
  <si>
    <t>02000 - - IP BLEND -</t>
  </si>
  <si>
    <t>02010 - IP Blend</t>
  </si>
  <si>
    <t>02020 - IP Blend Amortisation</t>
  </si>
  <si>
    <t>Total - 02000 - - IP BLEND -</t>
  </si>
  <si>
    <t>02100 - - BOTTLE MOULD -</t>
  </si>
  <si>
    <t>02110 - Bottle Mould Cost</t>
  </si>
  <si>
    <t>Total - 02100 - - BOTTLE MOULD -</t>
  </si>
  <si>
    <t>Total Fixed Assets</t>
  </si>
  <si>
    <t>Total ASSETS</t>
  </si>
  <si>
    <t>Liabilities &amp; Equity</t>
  </si>
  <si>
    <t>Current Liabilities</t>
  </si>
  <si>
    <t>Accounts Payable</t>
  </si>
  <si>
    <t>20000 - - ACCOUNTS PAYABLE -</t>
  </si>
  <si>
    <t>20010 - Accounts Payable</t>
  </si>
  <si>
    <t>20030 - Account Payable Other</t>
  </si>
  <si>
    <t>Total - 20010 - Accounts Payable</t>
  </si>
  <si>
    <t>20020 - Unpaid Expense Claims</t>
  </si>
  <si>
    <t>Total - 20000 - - ACCOUNTS PAYABLE -</t>
  </si>
  <si>
    <t>20100 - - INTERCOMPANY ACCOUNTS PAYABLE -</t>
  </si>
  <si>
    <t>20110 - Intercompany Accounts Payable</t>
  </si>
  <si>
    <t>Total - 20100 - - INTERCOMPANY ACCOUNTS PAYABLE -</t>
  </si>
  <si>
    <t>Total Accounts Payable</t>
  </si>
  <si>
    <t>Credit Card</t>
  </si>
  <si>
    <t>21000 - - CREDIT CARD -</t>
  </si>
  <si>
    <t>21010 - AIB Intrepid Credit Card ID</t>
  </si>
  <si>
    <t>21020 - AIB Intrepid Credit Card FMcG</t>
  </si>
  <si>
    <t>21110 - AIB Cocalero Credit Card - JS</t>
  </si>
  <si>
    <t>21120 - AIB Cocalero Credit Card - AM</t>
  </si>
  <si>
    <t>21130 - AIB Cocalero Credit Card - JT</t>
  </si>
  <si>
    <t>21140 - AIB Cocalero Credit Card - CD</t>
  </si>
  <si>
    <t>21150 - AIB Cocalero Credit Card - JR</t>
  </si>
  <si>
    <t>21210 - Intrepid Spirits US Business CC</t>
  </si>
  <si>
    <t>21220 - AMEX Intrepid Spirits Card</t>
  </si>
  <si>
    <t>21230 - John B Ralph</t>
  </si>
  <si>
    <t>21610 - International Business Vantage</t>
  </si>
  <si>
    <t>21620 - International</t>
  </si>
  <si>
    <t>Total - 21000 - - CREDIT CARD -</t>
  </si>
  <si>
    <t>Total Credit Card</t>
  </si>
  <si>
    <t>Other Current Liability</t>
  </si>
  <si>
    <t>22000 - - OTHER CURRENT LIABILITIES -</t>
  </si>
  <si>
    <t>22010 - Other Creditors</t>
  </si>
  <si>
    <t>22100 - Accrued Purchases</t>
  </si>
  <si>
    <t>22250 - Manufacturing Accrual</t>
  </si>
  <si>
    <t>22270 - Duty Accruals</t>
  </si>
  <si>
    <t>22300 - Accruals</t>
  </si>
  <si>
    <t>22400 - - AMP ACCRUALS -</t>
  </si>
  <si>
    <t>22410 - AMP Accruals - Japan</t>
  </si>
  <si>
    <t>22430 - AMP Accruals - Europe</t>
  </si>
  <si>
    <t>22440 - AMP Accruals - USA</t>
  </si>
  <si>
    <t>22470 - AMP Accruals - EMEA</t>
  </si>
  <si>
    <t>Total - 22400 - - AMP ACCRUALS -</t>
  </si>
  <si>
    <t>Total - 22000 - - OTHER CURRENT LIABILITIES -</t>
  </si>
  <si>
    <t>22360 - Corporation Tax Liability</t>
  </si>
  <si>
    <t>23000 - - PAYROLL LIABILITY -</t>
  </si>
  <si>
    <t>23010 - Net Salaries Payable</t>
  </si>
  <si>
    <t>23020 - Employee Tax Payable</t>
  </si>
  <si>
    <t>23030 - Superannuation Payable</t>
  </si>
  <si>
    <t>Total - 23000 - - PAYROLL LIABILITY -</t>
  </si>
  <si>
    <t>27000 - - INTERCOMPANY LOAN -</t>
  </si>
  <si>
    <t>27010 - InterCo. Loan - Intrepid Spirit (Holdings)</t>
  </si>
  <si>
    <t>27020 - InterCo. Loan - Cocalero HK</t>
  </si>
  <si>
    <t>27021 - InterCo. Loan - Cocalero Productions</t>
  </si>
  <si>
    <t>27030 - InterCo. Loan - Mad March Hare Holdings</t>
  </si>
  <si>
    <t>27040 - InterCo. Loan - Intrepid Spirit IRE</t>
  </si>
  <si>
    <t>27041 - InterCo. Loan - Intrepid Spirit USA</t>
  </si>
  <si>
    <t>27200 - InterCo. Loan - P&amp;H Egan</t>
  </si>
  <si>
    <t>27300 - InterCo. Loan - Rogue Group HK</t>
  </si>
  <si>
    <t>27400 - InterCo. Loan - Intrepid Spirits Australia Pty Ltd</t>
  </si>
  <si>
    <t>Total - 27000 - - INTERCOMPANY LOAN -</t>
  </si>
  <si>
    <t>28000 - - DIRECTOR LOANS -</t>
  </si>
  <si>
    <t>28010 - J Ralph</t>
  </si>
  <si>
    <t>28030 - Mark Ward</t>
  </si>
  <si>
    <t>Total - 28000 - - DIRECTOR LOANS -</t>
  </si>
  <si>
    <t>29000 - - SHORT-TERM LOANS -</t>
  </si>
  <si>
    <t>29010 - RKR Finance</t>
  </si>
  <si>
    <t>29015 - Netsuite Finance</t>
  </si>
  <si>
    <t>29020 - Regal Rogue UK Loan</t>
  </si>
  <si>
    <t>Total - 29000 - - SHORT-TERM LOANS -</t>
  </si>
  <si>
    <t>IE-VATLIABILITY - IE VAT Liability</t>
  </si>
  <si>
    <t>IETL - IE Tax Liability</t>
  </si>
  <si>
    <t>PCVOS - IE VAT on Sales</t>
  </si>
  <si>
    <t>GST Collected</t>
  </si>
  <si>
    <t>Total Other Current Liability</t>
  </si>
  <si>
    <t>Total Current Liabilities</t>
  </si>
  <si>
    <t>Long Term Liabilities</t>
  </si>
  <si>
    <t>90000 - - LONG-TERM LOANS -</t>
  </si>
  <si>
    <t>90100 - - LOANS LONG-TERM -</t>
  </si>
  <si>
    <t>90110 - Loan</t>
  </si>
  <si>
    <t>90120 - J Suttle</t>
  </si>
  <si>
    <t>90140 - Winnowski</t>
  </si>
  <si>
    <t>90160 - Korean loans</t>
  </si>
  <si>
    <t>90170 - Flender Finance</t>
  </si>
  <si>
    <t>90180 - J Toettcher loan</t>
  </si>
  <si>
    <t>Total - 90100 - - LOANS LONG-TERM -</t>
  </si>
  <si>
    <t>90600 - - LOANS DIRECTORS L/T -</t>
  </si>
  <si>
    <t>90610 - J Ralph L/T Loan</t>
  </si>
  <si>
    <t>Total - 90600 - - LOANS DIRECTORS L/T -</t>
  </si>
  <si>
    <t>Total - 90000 - - LONG-TERM LOANS -</t>
  </si>
  <si>
    <t>99999 - Suspense</t>
  </si>
  <si>
    <t>Total Long Term Liabilities</t>
  </si>
  <si>
    <t>Equity</t>
  </si>
  <si>
    <t>30000 - - EQUITY -</t>
  </si>
  <si>
    <t>30010 - Equity - Common Stock</t>
  </si>
  <si>
    <t>30020 - Equity - Preferred Stock</t>
  </si>
  <si>
    <t>30030 - Share Premium</t>
  </si>
  <si>
    <t>33000 - Opening Balance</t>
  </si>
  <si>
    <t>Total - 30000 - - EQUITY -</t>
  </si>
  <si>
    <t>Total - Equity</t>
  </si>
  <si>
    <t>Net Income</t>
  </si>
  <si>
    <t>Cumulative Translation Adjustment</t>
  </si>
  <si>
    <t>Total Equity</t>
  </si>
  <si>
    <t>Total Liabilities &amp; Equity</t>
  </si>
  <si>
    <t>Parent Company : Intrepid Spirits Holdings Inc : Intrepid Spirits Limited</t>
  </si>
  <si>
    <t>Inventory Valuation Summary</t>
  </si>
  <si>
    <t>Item</t>
  </si>
  <si>
    <t>Description</t>
  </si>
  <si>
    <t>Inv. Value</t>
  </si>
  <si>
    <t>% of Inv. Value</t>
  </si>
  <si>
    <t>On Hand</t>
  </si>
  <si>
    <t>Regal Rogue Bold Red 16.5% 6x500ml</t>
  </si>
  <si>
    <t>RRBR500US</t>
  </si>
  <si>
    <t>Regal Rogue Daring Dry 18% 6x500ml</t>
  </si>
  <si>
    <t>RRDD500UK</t>
  </si>
  <si>
    <t>RRDD500US</t>
  </si>
  <si>
    <t>Regal Rogue Lively White 16.5% 6x500ml</t>
  </si>
  <si>
    <t>RRLW500UK</t>
  </si>
  <si>
    <t>RRLW500US</t>
  </si>
  <si>
    <t>Regal Rogue Wild Rose 16.5% 6x500ml</t>
  </si>
  <si>
    <t>RRWR500UK</t>
  </si>
  <si>
    <t>RRWR500US</t>
  </si>
  <si>
    <t>RRBR5LBIBEUR</t>
  </si>
  <si>
    <t>Regal Rogue Bold Red 5LTR BIB EUR</t>
  </si>
  <si>
    <t>RRDD5LBIBEUR</t>
  </si>
  <si>
    <t>Regal Rogue Daring Dry 5LTR BIB EUR</t>
  </si>
  <si>
    <t>RRLW5LBIBEUR</t>
  </si>
  <si>
    <t>Regal Rogue Lively White 5LTR BIB EUR</t>
  </si>
  <si>
    <t>RROBR500EU</t>
  </si>
  <si>
    <t>Regal Rogue Org Bold Red 6X500ml Europe</t>
  </si>
  <si>
    <t>RRODD500EU</t>
  </si>
  <si>
    <t>Regal Rogue Org Daring Dry 6X500ml Europe</t>
  </si>
  <si>
    <t>RROLW500EU</t>
  </si>
  <si>
    <t>Regal Rogue Org Lively White 6X500ml Europe</t>
  </si>
  <si>
    <t>RROWR500EU</t>
  </si>
  <si>
    <t>Regal Rogue Org Wild Rose 6X500ml Europe</t>
  </si>
  <si>
    <t>RRWR5LBIBEUR</t>
  </si>
  <si>
    <t>Regal Rogue Wild Rose 5LTR BIB EUR</t>
  </si>
  <si>
    <t>Profit and Loss Detail</t>
  </si>
  <si>
    <t>Type</t>
  </si>
  <si>
    <t>Date</t>
  </si>
  <si>
    <t>Document Number</t>
  </si>
  <si>
    <t>Name</t>
  </si>
  <si>
    <t>Clr</t>
  </si>
  <si>
    <t>Split</t>
  </si>
  <si>
    <t>Ordinary Income/Expense</t>
  </si>
  <si>
    <t>Cost Of Sales</t>
  </si>
  <si>
    <t>50000 - - COST OF GOODS SOLD -</t>
  </si>
  <si>
    <t>Total - 50000 - - COST OF GOODS SOLD -</t>
  </si>
  <si>
    <t>Total - Cost Of Sales</t>
  </si>
  <si>
    <t>Gross Profit</t>
  </si>
  <si>
    <t>Net Ordinary Income</t>
  </si>
  <si>
    <t>Profit and Loss</t>
  </si>
  <si>
    <t>Income</t>
  </si>
  <si>
    <t>40000 - - SALES -</t>
  </si>
  <si>
    <t>40030 - Sales Point of Sale</t>
  </si>
  <si>
    <t>Total - 40000 - - SALES -</t>
  </si>
  <si>
    <t>Total - Income</t>
  </si>
  <si>
    <t>50030 - Cost of Goods Sold PoS</t>
  </si>
  <si>
    <t>50050 - Stock Adjustment</t>
  </si>
  <si>
    <t>Expense</t>
  </si>
  <si>
    <t>60000 - - GENERAL ADMIN EXPENSES -</t>
  </si>
  <si>
    <t>60100 - - PAYROLL COSTS -</t>
  </si>
  <si>
    <t>60110 - Wages and Salaries</t>
  </si>
  <si>
    <t>60120 - Salaries - Management</t>
  </si>
  <si>
    <t>60130 - Labor Insurance</t>
  </si>
  <si>
    <t>60140 - Employer Pension Expenses</t>
  </si>
  <si>
    <t>Total - 60100 - - PAYROLL COSTS -</t>
  </si>
  <si>
    <t>60500 - - EMPLOYMENT COSTS -</t>
  </si>
  <si>
    <t>Total - 60500 - - EMPLOYMENT COSTS -</t>
  </si>
  <si>
    <t>61000 - - RENT &amp; RATES -</t>
  </si>
  <si>
    <t>61010 - Rent</t>
  </si>
  <si>
    <t>61030 - Storage Fees</t>
  </si>
  <si>
    <t>Total - 61000 - - RENT &amp; RATES -</t>
  </si>
  <si>
    <t>61200 - - TRAVEL COSTS -</t>
  </si>
  <si>
    <t>61210 - General Travel - Taxis/Public Transport</t>
  </si>
  <si>
    <t>61220 - General Travel - Hotels</t>
  </si>
  <si>
    <t>61230 - General Travel - Flights</t>
  </si>
  <si>
    <t>61240 - General Travel - Subsistance</t>
  </si>
  <si>
    <t>61270 - Car Lease</t>
  </si>
  <si>
    <t>61280 - General Travel - Fuel</t>
  </si>
  <si>
    <t>61290 - Motor Vehicle Expenses</t>
  </si>
  <si>
    <t>Total - 61200 - - TRAVEL COSTS -</t>
  </si>
  <si>
    <t>61300 - - PROFESSIONAL FEES -</t>
  </si>
  <si>
    <t>61315 - Trademark Expenses</t>
  </si>
  <si>
    <t>61320 - Consultancy Fees</t>
  </si>
  <si>
    <t>61330 - Accountancy Fees</t>
  </si>
  <si>
    <t>Total - 61300 - - PROFESSIONAL FEES -</t>
  </si>
  <si>
    <t>61400 - - OFFICE EXPENSES -</t>
  </si>
  <si>
    <t>61410 - Telephone &amp; Internet</t>
  </si>
  <si>
    <t>61430 - Postage</t>
  </si>
  <si>
    <t>Total - 61400 - - OFFICE EXPENSES -</t>
  </si>
  <si>
    <t>61500 - - GENERAL EXPENSES -</t>
  </si>
  <si>
    <t>61510 - Insurance</t>
  </si>
  <si>
    <t>61525 - Provision for RR Incentive</t>
  </si>
  <si>
    <t>61550 - General Expenses</t>
  </si>
  <si>
    <t>Total - 61500 - - GENERAL EXPENSES -</t>
  </si>
  <si>
    <t>62000 - - SELLING &amp; DISTRIBUTION COSTS -</t>
  </si>
  <si>
    <t>62030 - Freight &amp; Courier</t>
  </si>
  <si>
    <t>62140 - Sales Person EUR</t>
  </si>
  <si>
    <t>Total - 62000 - - SELLING &amp; DISTRIBUTION COSTS -</t>
  </si>
  <si>
    <t>63000 - - BANK CHARGES -</t>
  </si>
  <si>
    <t>63010 - Bank Fees</t>
  </si>
  <si>
    <t>63020 - Bank Interest</t>
  </si>
  <si>
    <t>Total - 63000 - - BANK CHARGES -</t>
  </si>
  <si>
    <t>Total - 60000 - - GENERAL ADMIN EXPENSES -</t>
  </si>
  <si>
    <t>65000 - - MARKETING -</t>
  </si>
  <si>
    <t>65060 - Sampling Costs</t>
  </si>
  <si>
    <t>65120 - Social Media Costs</t>
  </si>
  <si>
    <t>65140 - General Marketing</t>
  </si>
  <si>
    <t>65150 - Marketing Consultancy</t>
  </si>
  <si>
    <t>65200 - Entertainment</t>
  </si>
  <si>
    <t>66000 - - AMP COSTS -</t>
  </si>
  <si>
    <t>66010 - AMP Accrual</t>
  </si>
  <si>
    <t>Total - 66000 - - AMP COSTS -</t>
  </si>
  <si>
    <t>Total - 65000 - - MARKETING -</t>
  </si>
  <si>
    <t>Total - Expense</t>
  </si>
  <si>
    <t>Other Income and Expenses</t>
  </si>
  <si>
    <t>Other Expense</t>
  </si>
  <si>
    <t>Rounding Gain/Loss</t>
  </si>
  <si>
    <t>Realized Gain/Loss</t>
  </si>
  <si>
    <t>Total - Other Expense</t>
  </si>
  <si>
    <t>Net Other Income</t>
  </si>
  <si>
    <t>Goodwill</t>
  </si>
  <si>
    <t>Margin</t>
  </si>
  <si>
    <t>InventoryBalance</t>
  </si>
  <si>
    <t>60520 - Employee Health Insurance</t>
  </si>
  <si>
    <t>61440 - Software Expenses</t>
  </si>
  <si>
    <t>Goodwill Impairment</t>
  </si>
  <si>
    <t>21030 - AIB Intrepid Credit Card JR</t>
  </si>
  <si>
    <t>21040 - AIB Intrepid Credit Card MS</t>
  </si>
  <si>
    <t>40050 - Shipping and Handling</t>
  </si>
  <si>
    <t>61530 - Subscriptions</t>
  </si>
  <si>
    <t>Intrepid Spirits Ireland Ltd.</t>
  </si>
  <si>
    <t>21250 - AMEX Platinum  JR Intrepid Spirits Card (01003)</t>
  </si>
  <si>
    <t>21260 - AMEX Platinum MS Intrepid Spirits Card (01029)</t>
  </si>
  <si>
    <t>21270 - AMEX Gold JR Intrepid Spirits Card (91002)</t>
  </si>
  <si>
    <t>22420 - AMP Accruals - China</t>
  </si>
  <si>
    <t>65105 - E-commerce Discounts</t>
  </si>
  <si>
    <t>65110 - E-commerce Advertising</t>
  </si>
  <si>
    <t>11051 - Provision for Credit Notes</t>
  </si>
  <si>
    <t>13300 - InterCo. Investments - The Rogue Group HK</t>
  </si>
  <si>
    <t>13400 - InterCo. Investments - Intrepid Spirits Australia PTY Ltd</t>
  </si>
  <si>
    <t>14051 - Provision for damaged or obsolete stock</t>
  </si>
  <si>
    <t>01120 - Computer Equipment Depreciation</t>
  </si>
  <si>
    <t>01220 - Fixtures &amp; Fittings Depreciation</t>
  </si>
  <si>
    <t>02120 - Bottle Mould Amortisation</t>
  </si>
  <si>
    <t>F</t>
  </si>
  <si>
    <t>Item Fulfillment</t>
  </si>
  <si>
    <t>-</t>
  </si>
  <si>
    <t>Invoice</t>
  </si>
  <si>
    <t>Goodwill Before Impairment</t>
  </si>
  <si>
    <t>Goodwill Previously Impaired By</t>
  </si>
  <si>
    <t>Goodwill Currently Impaired By</t>
  </si>
  <si>
    <t>Goodwill After Impairment</t>
  </si>
  <si>
    <t>Adjustment</t>
  </si>
  <si>
    <t>Bill</t>
  </si>
  <si>
    <t>20010 - - ACCOUNTS PAYABLE - : Accounts Payable</t>
  </si>
  <si>
    <t>Celtic Whiskey Shop</t>
  </si>
  <si>
    <t>14020 - - INVENTORY - : Finished Goods Inventory</t>
  </si>
  <si>
    <t>Markus Suttle</t>
  </si>
  <si>
    <t>11010 - - ACCOUNTS RECEIVABLE - : Trade Receivable</t>
  </si>
  <si>
    <t>Total - 50010 - Cost of Goods Sold</t>
  </si>
  <si>
    <t>Total - 40010 - Sales</t>
  </si>
  <si>
    <t>Intrepid Japan</t>
  </si>
  <si>
    <t>10050 - Spendesk</t>
  </si>
  <si>
    <t>10320 - Intrepid Spirits Holding Check (new)</t>
  </si>
  <si>
    <t>10330 - Intrepid Spirits Holding Savings (new)</t>
  </si>
  <si>
    <t>10700 - RAKUTEN BANK LTD</t>
  </si>
  <si>
    <t>10710 - Resona Bank Limited</t>
  </si>
  <si>
    <t>10715 - Interco Offset Account AUS</t>
  </si>
  <si>
    <t>11320 - Office Rent</t>
  </si>
  <si>
    <t>11330 - Labor Insurance</t>
  </si>
  <si>
    <t>11350 - Supplier Advance Payments</t>
  </si>
  <si>
    <t>Total - 11310 - Prepayments</t>
  </si>
  <si>
    <t>11500 - - ADVANCES -</t>
  </si>
  <si>
    <t>11510 - Employee Advances Paid</t>
  </si>
  <si>
    <t>Total - 11500 - - ADVANCES -</t>
  </si>
  <si>
    <t>13500 - INTERCO INVESTMENT -: Intrepid Rooster LLC</t>
  </si>
  <si>
    <t>14011 - Inventory In Transit</t>
  </si>
  <si>
    <t>21240 - Intrepid Spirits USA Divvy Account</t>
  </si>
  <si>
    <t>22020 - Withholding Income Tax for Reward</t>
  </si>
  <si>
    <t>Total - 22300 - Accruals</t>
  </si>
  <si>
    <t>22480 - AMP Accruals - AUS</t>
  </si>
  <si>
    <t>23021 - Withholding Income Tax</t>
  </si>
  <si>
    <t>Total - 23020 - Employee Tax Payable</t>
  </si>
  <si>
    <t>27042 - InterCo. Loan - Shanghai</t>
  </si>
  <si>
    <t>27500 - InterCo. Loan - Intrepid Spirits Japan</t>
  </si>
  <si>
    <t>27600 - InterCo. Loan - Intrepid Rooster</t>
  </si>
  <si>
    <t>Craft Cocktails LTD</t>
  </si>
  <si>
    <t>Classic Drinks</t>
  </si>
  <si>
    <t>EMEA Samples (Fergal, Ian and Jay)</t>
  </si>
  <si>
    <t>Marketing Support / A&amp;P</t>
  </si>
  <si>
    <t>DAA Shared Services</t>
  </si>
  <si>
    <t>MHW Samples</t>
  </si>
  <si>
    <t>Kehinde Ayinla</t>
  </si>
  <si>
    <t>RRBR5LBIBLABEUR</t>
  </si>
  <si>
    <t>Regal Rogue Bold Red 5L BIB Label EUR</t>
  </si>
  <si>
    <t>RRBRCUBLEUR</t>
  </si>
  <si>
    <t>Regal Rogue Bold Red COVER UP Back Label 500ml EUR</t>
  </si>
  <si>
    <t>RRDD5LBIBLABEUR</t>
  </si>
  <si>
    <t>Regal Rogue Daring Dry 5L BIB Label EUR</t>
  </si>
  <si>
    <t>RRDDCUBLEUR</t>
  </si>
  <si>
    <t>Regal Rogue Daring Dry COVER UP Back Label 500ml EUR</t>
  </si>
  <si>
    <t>RRLW5LBIBLABEUR</t>
  </si>
  <si>
    <t>Regal Rogue Lively White 5L BIB Label EUR</t>
  </si>
  <si>
    <t>RRLWCUBLEUR</t>
  </si>
  <si>
    <t>Regal Rogue Lively White COVER UP Back Label 500ml EUR</t>
  </si>
  <si>
    <t>RRWR5LBIBLABEUR</t>
  </si>
  <si>
    <t>Regal Rogue Wild Rose 5L BIB Label EUR</t>
  </si>
  <si>
    <t>RRWRCUBLEUR</t>
  </si>
  <si>
    <t>Regal Rogue Wild Rose COVER UP Back Label 500ml EUR</t>
  </si>
  <si>
    <t>60510 - Staff Welfare</t>
  </si>
  <si>
    <t>60540 - Bike to Work</t>
  </si>
  <si>
    <t>62050 - Customs Fees</t>
  </si>
  <si>
    <t>62070 - State Tax</t>
  </si>
  <si>
    <t>62100 - Duty</t>
  </si>
  <si>
    <t>65020 - Promotional Events</t>
  </si>
  <si>
    <t>65115 - E-commerce web hosting</t>
  </si>
  <si>
    <t>65125 - Email Marketing</t>
  </si>
  <si>
    <t>66020 - AMP Expenditure</t>
  </si>
  <si>
    <t>Total Regal Rogue</t>
  </si>
  <si>
    <t>51000 - - LANDED COST -</t>
  </si>
  <si>
    <t>51300 - Duty</t>
  </si>
  <si>
    <t>Total - 51000 - - LANDED COST -</t>
  </si>
  <si>
    <t>60001 - Unclassified Expenses</t>
  </si>
  <si>
    <t>61100 - - BUILDING COSTS -</t>
  </si>
  <si>
    <t>61110 - Light, Power, Heating</t>
  </si>
  <si>
    <t>Total - 61100 - - BUILDING COSTS -</t>
  </si>
  <si>
    <t>61310 - Legal Expenses</t>
  </si>
  <si>
    <t>62130 - Sales Person SA</t>
  </si>
  <si>
    <t>63030 - Finance Charges</t>
  </si>
  <si>
    <t>65100 - Advertising</t>
  </si>
  <si>
    <t>65135 - Agency Fees</t>
  </si>
  <si>
    <t>Latina S.A.M.</t>
  </si>
  <si>
    <t>I.D. Shoji Co. Ltd</t>
  </si>
  <si>
    <t>Richmond Marketing - Drinks Genius</t>
  </si>
  <si>
    <t>Diplomatic Supply Service,S.A.</t>
  </si>
  <si>
    <t>Roger Conan</t>
  </si>
  <si>
    <t>Bill Credit</t>
  </si>
  <si>
    <t>22310 - SI Accruals</t>
  </si>
  <si>
    <t>End of Dec 2021</t>
  </si>
  <si>
    <t>14060 - Deferred Charges</t>
  </si>
  <si>
    <t>As of 31 December 2021</t>
  </si>
  <si>
    <t>From Jan 2021 to Dec 2021</t>
  </si>
  <si>
    <t>40100 - Other Revenue</t>
  </si>
  <si>
    <t>50020 - Stock Wastage</t>
  </si>
  <si>
    <t>50040 - Obsolete Stock Write Off</t>
  </si>
  <si>
    <t>51100 - Customs Fees</t>
  </si>
  <si>
    <t>51200 - Inbound Freight</t>
  </si>
  <si>
    <t>51400 - Import Consumption Tax</t>
  </si>
  <si>
    <t>51410 - Import National Consumption Tax</t>
  </si>
  <si>
    <t>51420 - Import Local Consumption Tax</t>
  </si>
  <si>
    <t>Total - 51400 - Import Consumption Tax</t>
  </si>
  <si>
    <t>60530 - Staff Recruitment</t>
  </si>
  <si>
    <t>61130 - Repairs &amp; Maintenance</t>
  </si>
  <si>
    <t>61250 - General Travel - Mileage</t>
  </si>
  <si>
    <t>61260 - Car Rental</t>
  </si>
  <si>
    <t>61340 - Consultant - Directors</t>
  </si>
  <si>
    <t>61420 - Printing &amp; Stationary</t>
  </si>
  <si>
    <t>61450 - Office Courier</t>
  </si>
  <si>
    <t>61520 - Credit Insurance</t>
  </si>
  <si>
    <t>61535 - Meeting</t>
  </si>
  <si>
    <t>61540 - Licence Fee</t>
  </si>
  <si>
    <t>61545 - Commission Fees</t>
  </si>
  <si>
    <t>61560 - Sundry Taxes</t>
  </si>
  <si>
    <t>61570 - Donations/Charity</t>
  </si>
  <si>
    <t>61585 - Loan Write Off</t>
  </si>
  <si>
    <t>61595 - General Write Off</t>
  </si>
  <si>
    <t>61600 - - DEPRECIATION -</t>
  </si>
  <si>
    <t>61620 - Depreciation - Computer Equipment</t>
  </si>
  <si>
    <t>Total - 61600 - - DEPRECIATION -</t>
  </si>
  <si>
    <t>61700 - - RESEARCH &amp; DEVELOPMENT -</t>
  </si>
  <si>
    <t>61720 - Product Testing</t>
  </si>
  <si>
    <t>61730 - Packaging Design</t>
  </si>
  <si>
    <t>Total - 61700 - - RESEARCH &amp; DEVELOPMENT -</t>
  </si>
  <si>
    <t>62010 - Warehousing Fees</t>
  </si>
  <si>
    <t>62020 - Logistic Fees</t>
  </si>
  <si>
    <t>62040 - Broker Fees</t>
  </si>
  <si>
    <t>62060 - MHW fees</t>
  </si>
  <si>
    <t>62080 - Sales Commission</t>
  </si>
  <si>
    <t>62090 - Bad Debt</t>
  </si>
  <si>
    <t>62110 - VAT</t>
  </si>
  <si>
    <t>62120 - Sales Person AUS</t>
  </si>
  <si>
    <t>62150 - Sales Person CAN</t>
  </si>
  <si>
    <t>62160 - Sales Person USA</t>
  </si>
  <si>
    <t>80020 - Un-Realised Currency Gains/Losses</t>
  </si>
  <si>
    <t>Total - 62160 - Sales Person USA</t>
  </si>
  <si>
    <t>63050 - Realised Currency Gains/Losses</t>
  </si>
  <si>
    <t>65030 - Marketing - Trade Shows</t>
  </si>
  <si>
    <t>65040 - Ambassador Fees</t>
  </si>
  <si>
    <t>65050 - Billbacks</t>
  </si>
  <si>
    <t>65130 - Public Relations</t>
  </si>
  <si>
    <t>65500 - -BRANDING -</t>
  </si>
  <si>
    <t>65510 - Branding &amp; Design Costs</t>
  </si>
  <si>
    <t>65530 - Label Development Costs</t>
  </si>
  <si>
    <t>Total - 65500 - -BRANDING -</t>
  </si>
  <si>
    <t>Other Income</t>
  </si>
  <si>
    <t>80000 - - OTHER INCOME -</t>
  </si>
  <si>
    <t>80010 - Interest Income</t>
  </si>
  <si>
    <t>80015 - Exchange Gain</t>
  </si>
  <si>
    <t>Total - 80000 - - OTHER INCOME -</t>
  </si>
  <si>
    <t>Total - Other Income</t>
  </si>
  <si>
    <t>63060 - Exchange Loss</t>
  </si>
  <si>
    <t>70000 - - TAX -</t>
  </si>
  <si>
    <t>70100 - Corporation Tax</t>
  </si>
  <si>
    <t>Total - 70000 - - TAX -</t>
  </si>
  <si>
    <t>P01/1/21#00007030</t>
  </si>
  <si>
    <t>Top Drop Pty T/as Jarrets Wines</t>
  </si>
  <si>
    <t>Inventory Adjustment</t>
  </si>
  <si>
    <t>IA00512</t>
  </si>
  <si>
    <t>50050 - - COST OF GOODS SOLD - : Stock Adjustment</t>
  </si>
  <si>
    <t>Item Receipt</t>
  </si>
  <si>
    <t>IR00299</t>
  </si>
  <si>
    <t>Austral Herbs Pty ltd</t>
  </si>
  <si>
    <t>22100 - - OTHER CURRENT LIABILITIES - : Accrued Purchases</t>
  </si>
  <si>
    <t>IF00500</t>
  </si>
  <si>
    <t>IF00502</t>
  </si>
  <si>
    <t>Fergal McGuinness</t>
  </si>
  <si>
    <t>IF00507</t>
  </si>
  <si>
    <t>Crevan Dunne</t>
  </si>
  <si>
    <t>IF00506</t>
  </si>
  <si>
    <t>Ian Doody</t>
  </si>
  <si>
    <t>IF00505</t>
  </si>
  <si>
    <t>Colin Staunton</t>
  </si>
  <si>
    <t>IF00508</t>
  </si>
  <si>
    <t>IF00511</t>
  </si>
  <si>
    <t>IR00262</t>
  </si>
  <si>
    <t>P67/1/21#SI-2706</t>
  </si>
  <si>
    <t>Vertice Transport Services</t>
  </si>
  <si>
    <t>P05/1/21#14955071</t>
  </si>
  <si>
    <t>GLAMAPAK</t>
  </si>
  <si>
    <t>IF00522</t>
  </si>
  <si>
    <t>IF00519</t>
  </si>
  <si>
    <t>IF00521</t>
  </si>
  <si>
    <t>Jade Communication Ltd</t>
  </si>
  <si>
    <t>IF00520</t>
  </si>
  <si>
    <t>IF00523</t>
  </si>
  <si>
    <t>IR00268</t>
  </si>
  <si>
    <t>IR00289</t>
  </si>
  <si>
    <t>CCL Label Art Limited</t>
  </si>
  <si>
    <t>IF00526</t>
  </si>
  <si>
    <t>IF00527</t>
  </si>
  <si>
    <t>IF00528</t>
  </si>
  <si>
    <t>IF00529</t>
  </si>
  <si>
    <t>Premier Distributor's Limited</t>
  </si>
  <si>
    <t>IF00530</t>
  </si>
  <si>
    <t>CCI Beer Distributor Inc</t>
  </si>
  <si>
    <t>IF00533</t>
  </si>
  <si>
    <t>IF00596</t>
  </si>
  <si>
    <t>IF00532</t>
  </si>
  <si>
    <t>IF00538</t>
  </si>
  <si>
    <t>IF00540</t>
  </si>
  <si>
    <t>Jeremy Toettcher</t>
  </si>
  <si>
    <t>IF00542</t>
  </si>
  <si>
    <t>IF00539</t>
  </si>
  <si>
    <t>IF00541</t>
  </si>
  <si>
    <t>IF00595</t>
  </si>
  <si>
    <t>Gusta Brands BV</t>
  </si>
  <si>
    <t>IF00543</t>
  </si>
  <si>
    <t>IF00544</t>
  </si>
  <si>
    <t>IF00547</t>
  </si>
  <si>
    <t>IF00546</t>
  </si>
  <si>
    <t>IF00545</t>
  </si>
  <si>
    <t>P09/1/21#00007159</t>
  </si>
  <si>
    <t>7174</t>
  </si>
  <si>
    <t>Encore Beverages Pty Ltd</t>
  </si>
  <si>
    <t>P20/2/21#0007127 dated 29-1-21</t>
  </si>
  <si>
    <t>Proforma invoice (21.08.20)</t>
  </si>
  <si>
    <t>P11/1/21#00006723 dated 30-11-20</t>
  </si>
  <si>
    <t>P13/2/21#IN192668 dated 8-1-21</t>
  </si>
  <si>
    <t>Squad Ink</t>
  </si>
  <si>
    <t>7170</t>
  </si>
  <si>
    <t>IF00559</t>
  </si>
  <si>
    <t>IR00272</t>
  </si>
  <si>
    <t>IR00274</t>
  </si>
  <si>
    <t>IF00571</t>
  </si>
  <si>
    <t>IF00551</t>
  </si>
  <si>
    <t>Bar 1661</t>
  </si>
  <si>
    <t>IF00568</t>
  </si>
  <si>
    <t>Killian Egan</t>
  </si>
  <si>
    <t>IF00428</t>
  </si>
  <si>
    <t>Shanghai Haibo Supply Chain Management Co., Ltd.</t>
  </si>
  <si>
    <t>IF00554</t>
  </si>
  <si>
    <t>IF00566</t>
  </si>
  <si>
    <t>IF00562</t>
  </si>
  <si>
    <t>IF00565</t>
  </si>
  <si>
    <t>IF00563</t>
  </si>
  <si>
    <t>IF00553</t>
  </si>
  <si>
    <t>IF00561</t>
  </si>
  <si>
    <t>IF00560</t>
  </si>
  <si>
    <t>IF00556</t>
  </si>
  <si>
    <t>IF00555</t>
  </si>
  <si>
    <t>IF00564</t>
  </si>
  <si>
    <t>IF00558</t>
  </si>
  <si>
    <t>Assembly Build</t>
  </si>
  <si>
    <t>ASB00094</t>
  </si>
  <si>
    <t>7202</t>
  </si>
  <si>
    <t>IF00635</t>
  </si>
  <si>
    <t>Dejavu Wines</t>
  </si>
  <si>
    <t>IF00569</t>
  </si>
  <si>
    <t>IF00640</t>
  </si>
  <si>
    <t>Del Rosa Liquor</t>
  </si>
  <si>
    <t>IF00580</t>
  </si>
  <si>
    <t>IF00576</t>
  </si>
  <si>
    <t>IF00638</t>
  </si>
  <si>
    <t>Bounty Hunter Warehouse</t>
  </si>
  <si>
    <t>IF00575</t>
  </si>
  <si>
    <t>IF00577</t>
  </si>
  <si>
    <t>IF00574</t>
  </si>
  <si>
    <t>IF00582</t>
  </si>
  <si>
    <t>Nomad Collection Ltd</t>
  </si>
  <si>
    <t>IF00585</t>
  </si>
  <si>
    <t>IF00581</t>
  </si>
  <si>
    <t>Cian Spillane</t>
  </si>
  <si>
    <t>IF00583</t>
  </si>
  <si>
    <t>IF00586</t>
  </si>
  <si>
    <t>IF00588</t>
  </si>
  <si>
    <t>UETA LatinaAmerica Inc</t>
  </si>
  <si>
    <t>IF00587</t>
  </si>
  <si>
    <t>Iris Sousa Franco</t>
  </si>
  <si>
    <t>IF00607</t>
  </si>
  <si>
    <t>VINTAGE SPIRIT GARAGE</t>
  </si>
  <si>
    <t>7262</t>
  </si>
  <si>
    <t>IF00593</t>
  </si>
  <si>
    <t>Blake Kramer</t>
  </si>
  <si>
    <t>IF00589</t>
  </si>
  <si>
    <t>Selection Prestige</t>
  </si>
  <si>
    <t>IF00598</t>
  </si>
  <si>
    <t>The Liana Collection Ltd</t>
  </si>
  <si>
    <t>IF00590</t>
  </si>
  <si>
    <t>IF00592</t>
  </si>
  <si>
    <t>Amber Gallaty</t>
  </si>
  <si>
    <t>IF00594</t>
  </si>
  <si>
    <t>IF00608</t>
  </si>
  <si>
    <t>IF00597</t>
  </si>
  <si>
    <t>IF00599</t>
  </si>
  <si>
    <t>IF00591</t>
  </si>
  <si>
    <t>IF00705</t>
  </si>
  <si>
    <t>TBrands LLC</t>
  </si>
  <si>
    <t>ASB00077</t>
  </si>
  <si>
    <t>7269</t>
  </si>
  <si>
    <t>IF00602</t>
  </si>
  <si>
    <t>Shaun Mallon</t>
  </si>
  <si>
    <t>IF00615</t>
  </si>
  <si>
    <t>IF00606</t>
  </si>
  <si>
    <t>Silverbogen AG</t>
  </si>
  <si>
    <t>IF00612</t>
  </si>
  <si>
    <t>IF00610</t>
  </si>
  <si>
    <t>IF00613</t>
  </si>
  <si>
    <t>IF00611</t>
  </si>
  <si>
    <t>IF00609</t>
  </si>
  <si>
    <t>IF00735</t>
  </si>
  <si>
    <t>Greystone</t>
  </si>
  <si>
    <t>IF00605</t>
  </si>
  <si>
    <t>IF00614</t>
  </si>
  <si>
    <t>IF00622</t>
  </si>
  <si>
    <t>Chris Flynn</t>
  </si>
  <si>
    <t>IF00621</t>
  </si>
  <si>
    <t>IF00619</t>
  </si>
  <si>
    <t>IF00639</t>
  </si>
  <si>
    <t>IF00618</t>
  </si>
  <si>
    <t>IF00623</t>
  </si>
  <si>
    <t>IF00629</t>
  </si>
  <si>
    <t>Kjaer Company Aps</t>
  </si>
  <si>
    <t>IF00627</t>
  </si>
  <si>
    <t>IF00625</t>
  </si>
  <si>
    <t>IF00647</t>
  </si>
  <si>
    <t>IF00628</t>
  </si>
  <si>
    <t>IF00624</t>
  </si>
  <si>
    <t>IF00626</t>
  </si>
  <si>
    <t>IF00634</t>
  </si>
  <si>
    <t>IF00636</t>
  </si>
  <si>
    <t>IF00631</t>
  </si>
  <si>
    <t>IF00637</t>
  </si>
  <si>
    <t>IF00653</t>
  </si>
  <si>
    <t>IF00654</t>
  </si>
  <si>
    <t>IF00649</t>
  </si>
  <si>
    <t>IF00651</t>
  </si>
  <si>
    <t>IF00652</t>
  </si>
  <si>
    <t>IF00650</t>
  </si>
  <si>
    <t>IF00648</t>
  </si>
  <si>
    <t>IF00658</t>
  </si>
  <si>
    <t>IF00655</t>
  </si>
  <si>
    <t>IF00698</t>
  </si>
  <si>
    <t>IF00697</t>
  </si>
  <si>
    <t>IF00657</t>
  </si>
  <si>
    <t>IF00678</t>
  </si>
  <si>
    <t>IF00715</t>
  </si>
  <si>
    <t>Fine Wine Wholesalers</t>
  </si>
  <si>
    <t>IF01452</t>
  </si>
  <si>
    <t>IF00684</t>
  </si>
  <si>
    <t>IF00672</t>
  </si>
  <si>
    <t>IF00671</t>
  </si>
  <si>
    <t>John Suttle</t>
  </si>
  <si>
    <t>IF00669</t>
  </si>
  <si>
    <t>IF00660</t>
  </si>
  <si>
    <t>IF00670</t>
  </si>
  <si>
    <t>IF00689</t>
  </si>
  <si>
    <t>IF00712</t>
  </si>
  <si>
    <t>IF00685</t>
  </si>
  <si>
    <t>IF00686</t>
  </si>
  <si>
    <t>IF00668</t>
  </si>
  <si>
    <t>IF00731</t>
  </si>
  <si>
    <t>IF00683</t>
  </si>
  <si>
    <t>IF00687</t>
  </si>
  <si>
    <t>IF00682</t>
  </si>
  <si>
    <t>IF00746</t>
  </si>
  <si>
    <t>Stile Enterprises Ltd</t>
  </si>
  <si>
    <t>IF00709</t>
  </si>
  <si>
    <t>IF00688</t>
  </si>
  <si>
    <t>IF00681</t>
  </si>
  <si>
    <t>IF00680</t>
  </si>
  <si>
    <t>IF00710</t>
  </si>
  <si>
    <t>H+P Center</t>
  </si>
  <si>
    <t>IF00758</t>
  </si>
  <si>
    <t>IF00692</t>
  </si>
  <si>
    <t>IF00675</t>
  </si>
  <si>
    <t>IF00677</t>
  </si>
  <si>
    <t>IF00679</t>
  </si>
  <si>
    <t>Terra Spirits &amp; Liqueurs</t>
  </si>
  <si>
    <t>14010 - - INVENTORY - : Raw Material Inventory</t>
  </si>
  <si>
    <t>IF00676</t>
  </si>
  <si>
    <t>IF00690</t>
  </si>
  <si>
    <t>IF00713</t>
  </si>
  <si>
    <t>Hellwege Spirituosen und Wein Vertriebs- GmbH</t>
  </si>
  <si>
    <t>IF00693</t>
  </si>
  <si>
    <t>IF00726</t>
  </si>
  <si>
    <t>IF00694</t>
  </si>
  <si>
    <t>IR00359</t>
  </si>
  <si>
    <t>IF00702</t>
  </si>
  <si>
    <t>IF00703</t>
  </si>
  <si>
    <t>IF00701</t>
  </si>
  <si>
    <t>IF00706</t>
  </si>
  <si>
    <t>IF00711</t>
  </si>
  <si>
    <t>IF00727</t>
  </si>
  <si>
    <t>Fine Stvari</t>
  </si>
  <si>
    <t>IA00807</t>
  </si>
  <si>
    <t>IF00708</t>
  </si>
  <si>
    <t>IF00714</t>
  </si>
  <si>
    <t>IF00707</t>
  </si>
  <si>
    <t>IF00716</t>
  </si>
  <si>
    <t>IF00845</t>
  </si>
  <si>
    <t>LeVecke Corporation</t>
  </si>
  <si>
    <t>IF00755</t>
  </si>
  <si>
    <t>IF00756</t>
  </si>
  <si>
    <t>IF00718</t>
  </si>
  <si>
    <t>IF00760</t>
  </si>
  <si>
    <t>IF00719</t>
  </si>
  <si>
    <t>IF00730</t>
  </si>
  <si>
    <t>Andrew Mitchell</t>
  </si>
  <si>
    <t>IF00724</t>
  </si>
  <si>
    <t>IF00737</t>
  </si>
  <si>
    <t>Craft Clubs Limited</t>
  </si>
  <si>
    <t>IF00721</t>
  </si>
  <si>
    <t>IF00736</t>
  </si>
  <si>
    <t>IR00374</t>
  </si>
  <si>
    <t>IF00729</t>
  </si>
  <si>
    <t>IF01453</t>
  </si>
  <si>
    <t>IF00732</t>
  </si>
  <si>
    <t>IF00953</t>
  </si>
  <si>
    <t>Kahlia Woods</t>
  </si>
  <si>
    <t>IF00742</t>
  </si>
  <si>
    <t>IF00738</t>
  </si>
  <si>
    <t>IF00812</t>
  </si>
  <si>
    <t>IF00813</t>
  </si>
  <si>
    <t>IF00780</t>
  </si>
  <si>
    <t>IF00744</t>
  </si>
  <si>
    <t>IF00745</t>
  </si>
  <si>
    <t>IF00748</t>
  </si>
  <si>
    <t>IF00754</t>
  </si>
  <si>
    <t>IF00810</t>
  </si>
  <si>
    <t>IF00922</t>
  </si>
  <si>
    <t>Lion Beer Australia</t>
  </si>
  <si>
    <t>IF00751</t>
  </si>
  <si>
    <t>IF00763</t>
  </si>
  <si>
    <t>Cocktail Porter</t>
  </si>
  <si>
    <t>IF00762</t>
  </si>
  <si>
    <t>IF00772</t>
  </si>
  <si>
    <t>IF00759</t>
  </si>
  <si>
    <t>ASB00102</t>
  </si>
  <si>
    <t>IF00766</t>
  </si>
  <si>
    <t>IF00768</t>
  </si>
  <si>
    <t>IF00770</t>
  </si>
  <si>
    <t>IF00769</t>
  </si>
  <si>
    <t>IF00779</t>
  </si>
  <si>
    <t>IF00773</t>
  </si>
  <si>
    <t>IF00801</t>
  </si>
  <si>
    <t>IF00774</t>
  </si>
  <si>
    <t>IF00787</t>
  </si>
  <si>
    <t>IF00771</t>
  </si>
  <si>
    <t>APAC (Andrew)</t>
  </si>
  <si>
    <t>IF00777</t>
  </si>
  <si>
    <t>IF00778</t>
  </si>
  <si>
    <t>IF00782</t>
  </si>
  <si>
    <t>Liana Goncalves</t>
  </si>
  <si>
    <t>IF00802</t>
  </si>
  <si>
    <t>IF00794</t>
  </si>
  <si>
    <t>IF00797</t>
  </si>
  <si>
    <t>IF00804</t>
  </si>
  <si>
    <t>IF00796</t>
  </si>
  <si>
    <t>IF00791</t>
  </si>
  <si>
    <t>IF00800</t>
  </si>
  <si>
    <t>IF00798</t>
  </si>
  <si>
    <t>IF00795</t>
  </si>
  <si>
    <t>IF00799</t>
  </si>
  <si>
    <t>IF00792</t>
  </si>
  <si>
    <t>IF00790</t>
  </si>
  <si>
    <t>P44/4/21#0007604</t>
  </si>
  <si>
    <t>IF00818</t>
  </si>
  <si>
    <t>Neuehouse Canteen</t>
  </si>
  <si>
    <t>IR00415</t>
  </si>
  <si>
    <t>IF00830</t>
  </si>
  <si>
    <t>IF00809</t>
  </si>
  <si>
    <t>IF00815</t>
  </si>
  <si>
    <t>IF00827</t>
  </si>
  <si>
    <t>IF00896</t>
  </si>
  <si>
    <t>IF00829</t>
  </si>
  <si>
    <t>IF00826</t>
  </si>
  <si>
    <t>IF00828</t>
  </si>
  <si>
    <t>IF00819</t>
  </si>
  <si>
    <t>IF00822</t>
  </si>
  <si>
    <t>IF00843</t>
  </si>
  <si>
    <t>Collection Spirits</t>
  </si>
  <si>
    <t>IF00820</t>
  </si>
  <si>
    <t>IF00823</t>
  </si>
  <si>
    <t>IF00821</t>
  </si>
  <si>
    <t>IF00824</t>
  </si>
  <si>
    <t>IF00825</t>
  </si>
  <si>
    <t>IF00836</t>
  </si>
  <si>
    <t>IF00835</t>
  </si>
  <si>
    <t>IF00840</t>
  </si>
  <si>
    <t>IF00834</t>
  </si>
  <si>
    <t>Cape Town Gin Company</t>
  </si>
  <si>
    <t>IF00833</t>
  </si>
  <si>
    <t>IF00837</t>
  </si>
  <si>
    <t>IF00844</t>
  </si>
  <si>
    <t>IF00839</t>
  </si>
  <si>
    <t>IF00900</t>
  </si>
  <si>
    <t>IF00838</t>
  </si>
  <si>
    <t>IF00848</t>
  </si>
  <si>
    <t>IF00846</t>
  </si>
  <si>
    <t>IF00847</t>
  </si>
  <si>
    <t>IF00853</t>
  </si>
  <si>
    <t>IF00850</t>
  </si>
  <si>
    <t>IF00852</t>
  </si>
  <si>
    <t>IF00854</t>
  </si>
  <si>
    <t>IF00851</t>
  </si>
  <si>
    <t>IF00858</t>
  </si>
  <si>
    <t>IF00855</t>
  </si>
  <si>
    <t>IF00856</t>
  </si>
  <si>
    <t>IF00857</t>
  </si>
  <si>
    <t>IF00859</t>
  </si>
  <si>
    <t>IF00863</t>
  </si>
  <si>
    <t>IF00860</t>
  </si>
  <si>
    <t>IF00862</t>
  </si>
  <si>
    <t>IF00881</t>
  </si>
  <si>
    <t>IF00895</t>
  </si>
  <si>
    <t>IF00861</t>
  </si>
  <si>
    <t>IA00657</t>
  </si>
  <si>
    <t>IF00894</t>
  </si>
  <si>
    <t>IF00898</t>
  </si>
  <si>
    <t>IF00893</t>
  </si>
  <si>
    <t>IF00864</t>
  </si>
  <si>
    <t>ASB00107</t>
  </si>
  <si>
    <t>ASB00104</t>
  </si>
  <si>
    <t>ASB00106</t>
  </si>
  <si>
    <t>ASB00105</t>
  </si>
  <si>
    <t>ASB00108</t>
  </si>
  <si>
    <t>P57/5/21#CR-10198</t>
  </si>
  <si>
    <t>UNIQUEPAK</t>
  </si>
  <si>
    <t>IF00879</t>
  </si>
  <si>
    <t>IF00880</t>
  </si>
  <si>
    <t>IF00899</t>
  </si>
  <si>
    <t>IF00897</t>
  </si>
  <si>
    <t>P65/6/21#00007706</t>
  </si>
  <si>
    <t>IF00884</t>
  </si>
  <si>
    <t>IF00883</t>
  </si>
  <si>
    <t>IF00957</t>
  </si>
  <si>
    <t>IA00607</t>
  </si>
  <si>
    <t>22270 - - OTHER CURRENT LIABILITIES - : Duty Accruals</t>
  </si>
  <si>
    <t>IF00885</t>
  </si>
  <si>
    <t>IF00891</t>
  </si>
  <si>
    <t>IF00890</t>
  </si>
  <si>
    <t>IF00903</t>
  </si>
  <si>
    <t>IF00888</t>
  </si>
  <si>
    <t>IF00889</t>
  </si>
  <si>
    <t>IF00945</t>
  </si>
  <si>
    <t>UVA DBA Momentum</t>
  </si>
  <si>
    <t>IF00905</t>
  </si>
  <si>
    <t>IF00906</t>
  </si>
  <si>
    <t>IF00904</t>
  </si>
  <si>
    <t>IF00908</t>
  </si>
  <si>
    <t>Peter Minch</t>
  </si>
  <si>
    <t>IF00913</t>
  </si>
  <si>
    <t>IF00909</t>
  </si>
  <si>
    <t>IF00907</t>
  </si>
  <si>
    <t>IF00911</t>
  </si>
  <si>
    <t>IF00910</t>
  </si>
  <si>
    <t>IF00914</t>
  </si>
  <si>
    <t>IF00921</t>
  </si>
  <si>
    <t>IF01028</t>
  </si>
  <si>
    <t>IF00918</t>
  </si>
  <si>
    <t>IF00920</t>
  </si>
  <si>
    <t>IF00916</t>
  </si>
  <si>
    <t>IF00919</t>
  </si>
  <si>
    <t>IF00926</t>
  </si>
  <si>
    <t>IF00917</t>
  </si>
  <si>
    <t>IF00924</t>
  </si>
  <si>
    <t>IF00925</t>
  </si>
  <si>
    <t>IF00927</t>
  </si>
  <si>
    <t>IF00929</t>
  </si>
  <si>
    <t>IF00928</t>
  </si>
  <si>
    <t>IF00930</t>
  </si>
  <si>
    <t>IF00931</t>
  </si>
  <si>
    <t>IF00932</t>
  </si>
  <si>
    <t>IF00951</t>
  </si>
  <si>
    <t>IF00947</t>
  </si>
  <si>
    <t>IF00938</t>
  </si>
  <si>
    <t>Paragon Brands Ltd</t>
  </si>
  <si>
    <t>IF00948</t>
  </si>
  <si>
    <t>IF00946</t>
  </si>
  <si>
    <t>Pacha Spirits AB</t>
  </si>
  <si>
    <t>IF00952</t>
  </si>
  <si>
    <t>The Doyle Collection</t>
  </si>
  <si>
    <t>IF00950</t>
  </si>
  <si>
    <t>IF00939</t>
  </si>
  <si>
    <t>IF00942</t>
  </si>
  <si>
    <t>IF00940</t>
  </si>
  <si>
    <t>IF00949</t>
  </si>
  <si>
    <t>IR00470</t>
  </si>
  <si>
    <t>7914</t>
  </si>
  <si>
    <t>7915</t>
  </si>
  <si>
    <t>7912</t>
  </si>
  <si>
    <t>7913</t>
  </si>
  <si>
    <t>7916</t>
  </si>
  <si>
    <t>7909</t>
  </si>
  <si>
    <t>7917</t>
  </si>
  <si>
    <t>7911</t>
  </si>
  <si>
    <t>7908</t>
  </si>
  <si>
    <t>7910</t>
  </si>
  <si>
    <t>IF00956</t>
  </si>
  <si>
    <t>IF00955</t>
  </si>
  <si>
    <t>Credit Memo</t>
  </si>
  <si>
    <t>CRM16600089</t>
  </si>
  <si>
    <t>Enotria Winecellars Ltd</t>
  </si>
  <si>
    <t>IF00961</t>
  </si>
  <si>
    <t>IF00960</t>
  </si>
  <si>
    <t>IF00965</t>
  </si>
  <si>
    <t>Vinumport</t>
  </si>
  <si>
    <t>IF00959</t>
  </si>
  <si>
    <t>IA00658</t>
  </si>
  <si>
    <t>IF00967</t>
  </si>
  <si>
    <t>IF00966</t>
  </si>
  <si>
    <t>IF00971</t>
  </si>
  <si>
    <t>IF00968</t>
  </si>
  <si>
    <t>IF00970</t>
  </si>
  <si>
    <t>IF00969</t>
  </si>
  <si>
    <t>IF00972</t>
  </si>
  <si>
    <t>IF00973</t>
  </si>
  <si>
    <t>IF00977</t>
  </si>
  <si>
    <t>IF00975</t>
  </si>
  <si>
    <t>IF00976</t>
  </si>
  <si>
    <t>IF00978</t>
  </si>
  <si>
    <t>IF00974</t>
  </si>
  <si>
    <t>IF00979</t>
  </si>
  <si>
    <t>IF00980</t>
  </si>
  <si>
    <t>IF00982</t>
  </si>
  <si>
    <t>IF00981</t>
  </si>
  <si>
    <t>IF00999</t>
  </si>
  <si>
    <t>IF01035</t>
  </si>
  <si>
    <t>IF00991</t>
  </si>
  <si>
    <t>IF00984</t>
  </si>
  <si>
    <t>IF00986</t>
  </si>
  <si>
    <t>IF00985</t>
  </si>
  <si>
    <t>IF00987</t>
  </si>
  <si>
    <t>IF00988</t>
  </si>
  <si>
    <t>IF00998</t>
  </si>
  <si>
    <t>IF00996</t>
  </si>
  <si>
    <t>IF00993</t>
  </si>
  <si>
    <t>IF00995</t>
  </si>
  <si>
    <t>IF00997</t>
  </si>
  <si>
    <t>IF00992</t>
  </si>
  <si>
    <t>IF00994</t>
  </si>
  <si>
    <t>IF00989</t>
  </si>
  <si>
    <t>IF01029</t>
  </si>
  <si>
    <t>00008006</t>
  </si>
  <si>
    <t>IF01000</t>
  </si>
  <si>
    <t>IR00510</t>
  </si>
  <si>
    <t>IF01001</t>
  </si>
  <si>
    <t>IF01003</t>
  </si>
  <si>
    <t>IF01004</t>
  </si>
  <si>
    <t>IF01002</t>
  </si>
  <si>
    <t>IF01013</t>
  </si>
  <si>
    <t>IF01018</t>
  </si>
  <si>
    <t>IF01019</t>
  </si>
  <si>
    <t>Journal</t>
  </si>
  <si>
    <t>JNL02423</t>
  </si>
  <si>
    <t>65140 - - MARKETING - : General Marketing</t>
  </si>
  <si>
    <t>IF01009</t>
  </si>
  <si>
    <t>IF01011</t>
  </si>
  <si>
    <t>IF01008</t>
  </si>
  <si>
    <t>Shayne Ackerl</t>
  </si>
  <si>
    <t>IF01036</t>
  </si>
  <si>
    <t>IF01010</t>
  </si>
  <si>
    <t>IF01007</t>
  </si>
  <si>
    <t>IF01014</t>
  </si>
  <si>
    <t>IF01023</t>
  </si>
  <si>
    <t>IF01015</t>
  </si>
  <si>
    <t>IF01037</t>
  </si>
  <si>
    <t>IR00505</t>
  </si>
  <si>
    <t>Abercorn Trading Co. Ltd.</t>
  </si>
  <si>
    <t>IF01021</t>
  </si>
  <si>
    <t>IF01024</t>
  </si>
  <si>
    <t>IF01020</t>
  </si>
  <si>
    <t>IF01022</t>
  </si>
  <si>
    <t>IF01017</t>
  </si>
  <si>
    <t>IF01025</t>
  </si>
  <si>
    <t>IF01031</t>
  </si>
  <si>
    <t>DJ Limbrey Distilling Co Limited</t>
  </si>
  <si>
    <t>IF01033</t>
  </si>
  <si>
    <t>IF01032</t>
  </si>
  <si>
    <t>IF01034</t>
  </si>
  <si>
    <t>IF01038</t>
  </si>
  <si>
    <t>IF01041</t>
  </si>
  <si>
    <t>14030 - - INVENTORY - : Point of Sales Stock</t>
  </si>
  <si>
    <t>IF01039</t>
  </si>
  <si>
    <t>IF01044</t>
  </si>
  <si>
    <t>IF01042</t>
  </si>
  <si>
    <t>IF01043</t>
  </si>
  <si>
    <t>IF01048</t>
  </si>
  <si>
    <t>IF01046</t>
  </si>
  <si>
    <t>IF01047</t>
  </si>
  <si>
    <t>Bonac Spirits Ltd</t>
  </si>
  <si>
    <t>IF01051</t>
  </si>
  <si>
    <t>IF01050</t>
  </si>
  <si>
    <t>IF01049</t>
  </si>
  <si>
    <t>IF01067</t>
  </si>
  <si>
    <t>IF01057</t>
  </si>
  <si>
    <t>IF01053</t>
  </si>
  <si>
    <t>IF01052</t>
  </si>
  <si>
    <t>IF01054</t>
  </si>
  <si>
    <t>IA00653</t>
  </si>
  <si>
    <t>IF01060</t>
  </si>
  <si>
    <t>IF01058</t>
  </si>
  <si>
    <t>IA00654</t>
  </si>
  <si>
    <t>IF01066</t>
  </si>
  <si>
    <t>IF01061</t>
  </si>
  <si>
    <t>IF01062</t>
  </si>
  <si>
    <t>IF01068</t>
  </si>
  <si>
    <t>IF01073</t>
  </si>
  <si>
    <t>IF01071</t>
  </si>
  <si>
    <t>IF01072</t>
  </si>
  <si>
    <t>Cask &amp; Barrel Club</t>
  </si>
  <si>
    <t>IF01069</t>
  </si>
  <si>
    <t>IF01074</t>
  </si>
  <si>
    <t>IF01126</t>
  </si>
  <si>
    <t>IR00533</t>
  </si>
  <si>
    <t>LeVecke Wine, Beer &amp; Spirits</t>
  </si>
  <si>
    <t>CRM16600090</t>
  </si>
  <si>
    <t>IF01080</t>
  </si>
  <si>
    <t>ASB00129</t>
  </si>
  <si>
    <t>IF01094</t>
  </si>
  <si>
    <t>IF01084</t>
  </si>
  <si>
    <t>IF01096</t>
  </si>
  <si>
    <t>IF01136</t>
  </si>
  <si>
    <t>IF01127</t>
  </si>
  <si>
    <t>Country Wine and Spirits</t>
  </si>
  <si>
    <t>IF01085</t>
  </si>
  <si>
    <t>IF01087</t>
  </si>
  <si>
    <t>IF01089</t>
  </si>
  <si>
    <t>IF01092</t>
  </si>
  <si>
    <t>IF01088</t>
  </si>
  <si>
    <t>IF01090</t>
  </si>
  <si>
    <t>Weir &amp; Sons</t>
  </si>
  <si>
    <t>IF01091</t>
  </si>
  <si>
    <t>IF01093</t>
  </si>
  <si>
    <t>IF01097</t>
  </si>
  <si>
    <t>IF01131</t>
  </si>
  <si>
    <t>Avanoellebk LLC - Altar</t>
  </si>
  <si>
    <t>IA00663</t>
  </si>
  <si>
    <t>IF01098</t>
  </si>
  <si>
    <t>IF01101</t>
  </si>
  <si>
    <t>IF01102</t>
  </si>
  <si>
    <t>IF01105</t>
  </si>
  <si>
    <t>IF01100</t>
  </si>
  <si>
    <t>IF01104</t>
  </si>
  <si>
    <t>IF01103</t>
  </si>
  <si>
    <t>IF01106</t>
  </si>
  <si>
    <t>IF01128</t>
  </si>
  <si>
    <t>IF01107</t>
  </si>
  <si>
    <t>IF01109</t>
  </si>
  <si>
    <t>IF01118</t>
  </si>
  <si>
    <t>IF01108</t>
  </si>
  <si>
    <t>IF01120</t>
  </si>
  <si>
    <t>IF01124</t>
  </si>
  <si>
    <t>IF01123</t>
  </si>
  <si>
    <t>IF01125</t>
  </si>
  <si>
    <t>IF01117</t>
  </si>
  <si>
    <t>IF01113</t>
  </si>
  <si>
    <t>IF01119</t>
  </si>
  <si>
    <t>IF01114</t>
  </si>
  <si>
    <t>P665/9/21#70024 dated 21-6-21</t>
  </si>
  <si>
    <t>Off the Cuffe LTD</t>
  </si>
  <si>
    <t>IF01129</t>
  </si>
  <si>
    <t>IF01133</t>
  </si>
  <si>
    <t>IF01132</t>
  </si>
  <si>
    <t>IA00675</t>
  </si>
  <si>
    <t>CRM16600091</t>
  </si>
  <si>
    <t>IF01134</t>
  </si>
  <si>
    <t>IF01137</t>
  </si>
  <si>
    <t>IA00676</t>
  </si>
  <si>
    <t>IF01192</t>
  </si>
  <si>
    <t>IF01139</t>
  </si>
  <si>
    <t>ONESTIGROUP S.p.A.</t>
  </si>
  <si>
    <t>IF01138</t>
  </si>
  <si>
    <t>IF01150</t>
  </si>
  <si>
    <t>IF01145</t>
  </si>
  <si>
    <t>IF01144</t>
  </si>
  <si>
    <t>IF01143</t>
  </si>
  <si>
    <t>IA00681</t>
  </si>
  <si>
    <t>IF01225</t>
  </si>
  <si>
    <t>IF01151</t>
  </si>
  <si>
    <t>IF01148</t>
  </si>
  <si>
    <t>IF01158</t>
  </si>
  <si>
    <t>IF01152</t>
  </si>
  <si>
    <t>IF01155</t>
  </si>
  <si>
    <t>IF01153</t>
  </si>
  <si>
    <t>IF01154</t>
  </si>
  <si>
    <t>IF01156</t>
  </si>
  <si>
    <t>IF01167</t>
  </si>
  <si>
    <t>IF01164</t>
  </si>
  <si>
    <t>IF01228</t>
  </si>
  <si>
    <t>IF01166</t>
  </si>
  <si>
    <t>IF01162</t>
  </si>
  <si>
    <t>IF01160</t>
  </si>
  <si>
    <t>IF01168</t>
  </si>
  <si>
    <t>IF01165</t>
  </si>
  <si>
    <t>IF01175</t>
  </si>
  <si>
    <t>IF01174</t>
  </si>
  <si>
    <t>IF01170</t>
  </si>
  <si>
    <t>IF01178</t>
  </si>
  <si>
    <t>IF01177</t>
  </si>
  <si>
    <t>IA00685</t>
  </si>
  <si>
    <t>IF01215</t>
  </si>
  <si>
    <t>IF01171</t>
  </si>
  <si>
    <t>Juul’s Engros A/S</t>
  </si>
  <si>
    <t>IF01176</t>
  </si>
  <si>
    <t>IF01173</t>
  </si>
  <si>
    <t>IF01179</t>
  </si>
  <si>
    <t>IF01180</t>
  </si>
  <si>
    <t>IF01216</t>
  </si>
  <si>
    <t>IF01217</t>
  </si>
  <si>
    <t>IF01202</t>
  </si>
  <si>
    <t>IR00596</t>
  </si>
  <si>
    <t>IF01198</t>
  </si>
  <si>
    <t>IF01182</t>
  </si>
  <si>
    <t>IF01230</t>
  </si>
  <si>
    <t>IF01211</t>
  </si>
  <si>
    <t>IF01184</t>
  </si>
  <si>
    <t>IF01181</t>
  </si>
  <si>
    <t>IF01183</t>
  </si>
  <si>
    <t>IR00600</t>
  </si>
  <si>
    <t>Chatham Imports Inc.</t>
  </si>
  <si>
    <t>IR00617</t>
  </si>
  <si>
    <t>IF01203</t>
  </si>
  <si>
    <t>IF01210</t>
  </si>
  <si>
    <t>IF01193</t>
  </si>
  <si>
    <t>IF01191</t>
  </si>
  <si>
    <t>IF01206</t>
  </si>
  <si>
    <t>IF01213</t>
  </si>
  <si>
    <t>IF01212</t>
  </si>
  <si>
    <t>IR00616</t>
  </si>
  <si>
    <t>IF01220</t>
  </si>
  <si>
    <t>IF01218</t>
  </si>
  <si>
    <t>IF01219</t>
  </si>
  <si>
    <t>IF01205</t>
  </si>
  <si>
    <t>IF01214</t>
  </si>
  <si>
    <t>IR00628</t>
  </si>
  <si>
    <t>IF01226</t>
  </si>
  <si>
    <t>IF01231</t>
  </si>
  <si>
    <t>IF01222</t>
  </si>
  <si>
    <t>IF01223</t>
  </si>
  <si>
    <t>P773/10/21#215687</t>
  </si>
  <si>
    <t>Amsterdam Warehouse Company</t>
  </si>
  <si>
    <t>IF01255</t>
  </si>
  <si>
    <t>IF01229</t>
  </si>
  <si>
    <t>Nova Scotia Liquor Corporation</t>
  </si>
  <si>
    <t>IF01232</t>
  </si>
  <si>
    <t>IF01235</t>
  </si>
  <si>
    <t>John Ralph</t>
  </si>
  <si>
    <t>IF01236</t>
  </si>
  <si>
    <t>IF01237</t>
  </si>
  <si>
    <t>IF01238</t>
  </si>
  <si>
    <t>IF01261</t>
  </si>
  <si>
    <t>Jason Fox</t>
  </si>
  <si>
    <t>IF01240</t>
  </si>
  <si>
    <t>STREETSTYLE OÜ</t>
  </si>
  <si>
    <t>IF01241</t>
  </si>
  <si>
    <t>IF01244</t>
  </si>
  <si>
    <t>IF01242</t>
  </si>
  <si>
    <t>IF01243</t>
  </si>
  <si>
    <t>IF01249</t>
  </si>
  <si>
    <t>IF01245</t>
  </si>
  <si>
    <t>MCM Spirits &amp; Liqueurs</t>
  </si>
  <si>
    <t>IF01248</t>
  </si>
  <si>
    <t>IF01247</t>
  </si>
  <si>
    <t>IF01246</t>
  </si>
  <si>
    <t>IF01251</t>
  </si>
  <si>
    <t>IF01250</t>
  </si>
  <si>
    <t>In Good Spirits AS</t>
  </si>
  <si>
    <t>IF01256</t>
  </si>
  <si>
    <t>IF01254</t>
  </si>
  <si>
    <t>IF01253</t>
  </si>
  <si>
    <t>IF01267</t>
  </si>
  <si>
    <t>IF01252</t>
  </si>
  <si>
    <t>IF01260</t>
  </si>
  <si>
    <t>IF01262</t>
  </si>
  <si>
    <t>IF01257</t>
  </si>
  <si>
    <t>I-Spirits LLC</t>
  </si>
  <si>
    <t>IF01271</t>
  </si>
  <si>
    <t>IF01264</t>
  </si>
  <si>
    <t>IF01269</t>
  </si>
  <si>
    <t>IF01268</t>
  </si>
  <si>
    <t>IF01318</t>
  </si>
  <si>
    <t>IF01273</t>
  </si>
  <si>
    <t>IF01275</t>
  </si>
  <si>
    <t>IF01274</t>
  </si>
  <si>
    <t>IF01459</t>
  </si>
  <si>
    <t>IF01277</t>
  </si>
  <si>
    <t>IF01281</t>
  </si>
  <si>
    <t>IF01303</t>
  </si>
  <si>
    <t>IF01279</t>
  </si>
  <si>
    <t>ANGGEL'S SHARE LLP</t>
  </si>
  <si>
    <t>IF01278</t>
  </si>
  <si>
    <t>IF01307</t>
  </si>
  <si>
    <t>IF01376</t>
  </si>
  <si>
    <t>IF01460</t>
  </si>
  <si>
    <t>IF01296</t>
  </si>
  <si>
    <t>IF01282</t>
  </si>
  <si>
    <t>IF01284</t>
  </si>
  <si>
    <t>IF01285</t>
  </si>
  <si>
    <t>IF01283</t>
  </si>
  <si>
    <t>IF01298</t>
  </si>
  <si>
    <t>IF01286</t>
  </si>
  <si>
    <t>IF01291</t>
  </si>
  <si>
    <t>IF01461</t>
  </si>
  <si>
    <t>IF01290</t>
  </si>
  <si>
    <t>JNL03273</t>
  </si>
  <si>
    <t>40010 - - SALES - : Sales</t>
  </si>
  <si>
    <t>IF01294</t>
  </si>
  <si>
    <t>IF01299</t>
  </si>
  <si>
    <t>IF01297</t>
  </si>
  <si>
    <t>IF01295</t>
  </si>
  <si>
    <t>IF01302</t>
  </si>
  <si>
    <t>IF01300</t>
  </si>
  <si>
    <t>IF01301</t>
  </si>
  <si>
    <t>IF01304</t>
  </si>
  <si>
    <t>IF01306</t>
  </si>
  <si>
    <t>IF01315</t>
  </si>
  <si>
    <t>IF01308</t>
  </si>
  <si>
    <t>IF01320</t>
  </si>
  <si>
    <t>IF01317</t>
  </si>
  <si>
    <t>IF01316</t>
  </si>
  <si>
    <t>IF01314</t>
  </si>
  <si>
    <t>IF01323</t>
  </si>
  <si>
    <t>IF01312</t>
  </si>
  <si>
    <t>IF01313</t>
  </si>
  <si>
    <t>IF01505</t>
  </si>
  <si>
    <t>Veronika  Fotografiska</t>
  </si>
  <si>
    <t>IF01319</t>
  </si>
  <si>
    <t>IF01322</t>
  </si>
  <si>
    <t>IF01324</t>
  </si>
  <si>
    <t>IF01327</t>
  </si>
  <si>
    <t>IF01325</t>
  </si>
  <si>
    <t>IF01421</t>
  </si>
  <si>
    <t>IF01340</t>
  </si>
  <si>
    <t>IF01326</t>
  </si>
  <si>
    <t>IR00677</t>
  </si>
  <si>
    <t>Echinville Distillery</t>
  </si>
  <si>
    <t>IF01330</t>
  </si>
  <si>
    <t>IF01331</t>
  </si>
  <si>
    <t>IF01334</t>
  </si>
  <si>
    <t>IF01352</t>
  </si>
  <si>
    <t>IF01332</t>
  </si>
  <si>
    <t>IF01328</t>
  </si>
  <si>
    <t>IF01356</t>
  </si>
  <si>
    <t>IF01333</t>
  </si>
  <si>
    <t>IR00686</t>
  </si>
  <si>
    <t>IF01354</t>
  </si>
  <si>
    <t>IF01355</t>
  </si>
  <si>
    <t>IR00703</t>
  </si>
  <si>
    <t>IF01337</t>
  </si>
  <si>
    <t>IF01341</t>
  </si>
  <si>
    <t>IF01342</t>
  </si>
  <si>
    <t>IF01345</t>
  </si>
  <si>
    <t>IF01357</t>
  </si>
  <si>
    <t>IF01351</t>
  </si>
  <si>
    <t>IF01353</t>
  </si>
  <si>
    <t>IF01358</t>
  </si>
  <si>
    <t>IF01361</t>
  </si>
  <si>
    <t>IF01360</t>
  </si>
  <si>
    <t>IF01359</t>
  </si>
  <si>
    <t>IF01367</t>
  </si>
  <si>
    <t>IF01362</t>
  </si>
  <si>
    <t>IF01369</t>
  </si>
  <si>
    <t>IF01366</t>
  </si>
  <si>
    <t>IF01365</t>
  </si>
  <si>
    <t>IF01364</t>
  </si>
  <si>
    <t>IF01375</t>
  </si>
  <si>
    <t>IF01370</t>
  </si>
  <si>
    <t>IF01379</t>
  </si>
  <si>
    <t>IR00706</t>
  </si>
  <si>
    <t>IF01374</t>
  </si>
  <si>
    <t>IF01380</t>
  </si>
  <si>
    <t>IF01377</t>
  </si>
  <si>
    <t>IF01381</t>
  </si>
  <si>
    <t>IF01386</t>
  </si>
  <si>
    <t>IF01387</t>
  </si>
  <si>
    <t>IF01404</t>
  </si>
  <si>
    <t>Swift &amp; Moore Pty Ltd</t>
  </si>
  <si>
    <t>IF01382</t>
  </si>
  <si>
    <t>IF01383</t>
  </si>
  <si>
    <t>IF01403</t>
  </si>
  <si>
    <t>IF01412</t>
  </si>
  <si>
    <t>IF01388</t>
  </si>
  <si>
    <t>IF01389</t>
  </si>
  <si>
    <t>IF01390</t>
  </si>
  <si>
    <t>IF01451</t>
  </si>
  <si>
    <t>IA00749</t>
  </si>
  <si>
    <t>50020 - - COST OF GOODS SOLD - : Stock Wastage</t>
  </si>
  <si>
    <t>IF01392</t>
  </si>
  <si>
    <t>IF01391</t>
  </si>
  <si>
    <t>IF01429</t>
  </si>
  <si>
    <t>IF01427</t>
  </si>
  <si>
    <t>IF01396</t>
  </si>
  <si>
    <t>IF01394</t>
  </si>
  <si>
    <t>IF01397</t>
  </si>
  <si>
    <t>IF01406</t>
  </si>
  <si>
    <t>IF01413</t>
  </si>
  <si>
    <t>IF01407</t>
  </si>
  <si>
    <t>IF01410</t>
  </si>
  <si>
    <t>IF01409</t>
  </si>
  <si>
    <t>IF01408</t>
  </si>
  <si>
    <t>Proforma Invoice 566813-14-15-16</t>
  </si>
  <si>
    <t>ABBE Corrugated PTY</t>
  </si>
  <si>
    <t>IF01417</t>
  </si>
  <si>
    <t>IF01416</t>
  </si>
  <si>
    <t>IF01411</t>
  </si>
  <si>
    <t>IF01415</t>
  </si>
  <si>
    <t>IF01418</t>
  </si>
  <si>
    <t>IF01414</t>
  </si>
  <si>
    <t>CRM16600096</t>
  </si>
  <si>
    <t>IF01430</t>
  </si>
  <si>
    <t>IF01494</t>
  </si>
  <si>
    <t>Never Never Distilling co</t>
  </si>
  <si>
    <t>IF01423</t>
  </si>
  <si>
    <t>IF01424</t>
  </si>
  <si>
    <t>IF01474</t>
  </si>
  <si>
    <t>IF01419</t>
  </si>
  <si>
    <t>CBMAX Sp. z o.o. Sp. Komandytowa</t>
  </si>
  <si>
    <t>IF01420</t>
  </si>
  <si>
    <t>IF01438</t>
  </si>
  <si>
    <t>IF01428</t>
  </si>
  <si>
    <t>IF01435</t>
  </si>
  <si>
    <t>CRM16600097</t>
  </si>
  <si>
    <t>IF01506</t>
  </si>
  <si>
    <t>IF01434</t>
  </si>
  <si>
    <t>IF01437</t>
  </si>
  <si>
    <t>IF01431</t>
  </si>
  <si>
    <t>IF01436</t>
  </si>
  <si>
    <t>IF01442</t>
  </si>
  <si>
    <t>IF01433</t>
  </si>
  <si>
    <t>IF01450</t>
  </si>
  <si>
    <t>IF01443</t>
  </si>
  <si>
    <t>IF01441</t>
  </si>
  <si>
    <t>IF01471</t>
  </si>
  <si>
    <t>CRM16600105</t>
  </si>
  <si>
    <t>CRM16600102</t>
  </si>
  <si>
    <t>CRM16600103</t>
  </si>
  <si>
    <t>CRM16600104</t>
  </si>
  <si>
    <t>IF01446</t>
  </si>
  <si>
    <t>IF01523</t>
  </si>
  <si>
    <t>IF01448</t>
  </si>
  <si>
    <t>IF01522</t>
  </si>
  <si>
    <t>IF01525</t>
  </si>
  <si>
    <t>CRM16600100</t>
  </si>
  <si>
    <t>CRM16600099</t>
  </si>
  <si>
    <t>IF01454</t>
  </si>
  <si>
    <t>IF01465</t>
  </si>
  <si>
    <t>Lindsey Morrisey</t>
  </si>
  <si>
    <t>IF01466</t>
  </si>
  <si>
    <t>IF01464</t>
  </si>
  <si>
    <t>IF01467</t>
  </si>
  <si>
    <t>IF01469</t>
  </si>
  <si>
    <t>IF01456</t>
  </si>
  <si>
    <t>IF01470</t>
  </si>
  <si>
    <t>IF01468</t>
  </si>
  <si>
    <t>IF01458</t>
  </si>
  <si>
    <t>IF01462</t>
  </si>
  <si>
    <t>IF01455</t>
  </si>
  <si>
    <t>IF01500</t>
  </si>
  <si>
    <t>IF01457</t>
  </si>
  <si>
    <t>IF01472</t>
  </si>
  <si>
    <t>IF01488</t>
  </si>
  <si>
    <t>IF01481</t>
  </si>
  <si>
    <t>IF01487</t>
  </si>
  <si>
    <t>IF01480</t>
  </si>
  <si>
    <t>IF01486</t>
  </si>
  <si>
    <t>IF01489</t>
  </si>
  <si>
    <t>IF01485</t>
  </si>
  <si>
    <t>IF01492</t>
  </si>
  <si>
    <t>IF01482</t>
  </si>
  <si>
    <t>IF01498</t>
  </si>
  <si>
    <t>INV00976</t>
  </si>
  <si>
    <t>INV00985</t>
  </si>
  <si>
    <t>INV00984</t>
  </si>
  <si>
    <t>INV00989</t>
  </si>
  <si>
    <t>INV00988</t>
  </si>
  <si>
    <t>INV00992</t>
  </si>
  <si>
    <t>INV00996</t>
  </si>
  <si>
    <t>INV00997</t>
  </si>
  <si>
    <t>Kyro Distillery Company</t>
  </si>
  <si>
    <t>INV00991</t>
  </si>
  <si>
    <t>INV00993</t>
  </si>
  <si>
    <t>INV00998</t>
  </si>
  <si>
    <t>INV01005</t>
  </si>
  <si>
    <t>INV01006</t>
  </si>
  <si>
    <t>INV01007</t>
  </si>
  <si>
    <t>INV01011</t>
  </si>
  <si>
    <t>INV01019</t>
  </si>
  <si>
    <t>CRM16600084</t>
  </si>
  <si>
    <t>INV10343</t>
  </si>
  <si>
    <t>11110 - - INTERCOMPANY ACCOUNTS RECEIVABLE - : Intercompany Accounts Receivable</t>
  </si>
  <si>
    <t>INV01031</t>
  </si>
  <si>
    <t>INV01032</t>
  </si>
  <si>
    <t>INV01002</t>
  </si>
  <si>
    <t>INV00987</t>
  </si>
  <si>
    <t>INV01025</t>
  </si>
  <si>
    <t>INV01040</t>
  </si>
  <si>
    <t>INV01035</t>
  </si>
  <si>
    <t>INV00905</t>
  </si>
  <si>
    <t>INV01029</t>
  </si>
  <si>
    <t>INV01049</t>
  </si>
  <si>
    <t>INV01027</t>
  </si>
  <si>
    <t>INV01055</t>
  </si>
  <si>
    <t>INV01054</t>
  </si>
  <si>
    <t>INV01089</t>
  </si>
  <si>
    <t>INV01088</t>
  </si>
  <si>
    <t>INV01056</t>
  </si>
  <si>
    <t>INV01066</t>
  </si>
  <si>
    <t>INV01064</t>
  </si>
  <si>
    <t>INV01063</t>
  </si>
  <si>
    <t>INV01074</t>
  </si>
  <si>
    <t>INV01067</t>
  </si>
  <si>
    <t>INV01069</t>
  </si>
  <si>
    <t>INV10165</t>
  </si>
  <si>
    <t>INV01076</t>
  </si>
  <si>
    <t>INV01090</t>
  </si>
  <si>
    <t>INV01080</t>
  </si>
  <si>
    <t>INV01075</t>
  </si>
  <si>
    <t>INV01084</t>
  </si>
  <si>
    <t>INV01092</t>
  </si>
  <si>
    <t>INV01091</t>
  </si>
  <si>
    <t>INV01097</t>
  </si>
  <si>
    <t>INV01095</t>
  </si>
  <si>
    <t>INV01086</t>
  </si>
  <si>
    <t>INV01087</t>
  </si>
  <si>
    <t>INV01104</t>
  </si>
  <si>
    <t>INV01102</t>
  </si>
  <si>
    <t>INV10342</t>
  </si>
  <si>
    <t>INV01099</t>
  </si>
  <si>
    <t>INV01098</t>
  </si>
  <si>
    <t>INV01028</t>
  </si>
  <si>
    <t>INV10122</t>
  </si>
  <si>
    <t>INV01114</t>
  </si>
  <si>
    <t>INV01108</t>
  </si>
  <si>
    <t>INV01107</t>
  </si>
  <si>
    <t>INV01112</t>
  </si>
  <si>
    <t>INV01115</t>
  </si>
  <si>
    <t>INV01116</t>
  </si>
  <si>
    <t>INV01113</t>
  </si>
  <si>
    <t>INV01117</t>
  </si>
  <si>
    <t>INV10124</t>
  </si>
  <si>
    <t>INV10145</t>
  </si>
  <si>
    <t>INV10123</t>
  </si>
  <si>
    <t>INV10173</t>
  </si>
  <si>
    <t>INV10170</t>
  </si>
  <si>
    <t>INV10136</t>
  </si>
  <si>
    <t>INV10125</t>
  </si>
  <si>
    <t>INV10128</t>
  </si>
  <si>
    <t>INV10129</t>
  </si>
  <si>
    <t>INV10147</t>
  </si>
  <si>
    <t>INV10169</t>
  </si>
  <si>
    <t>INV10150</t>
  </si>
  <si>
    <t>INV10132</t>
  </si>
  <si>
    <t>INV10137</t>
  </si>
  <si>
    <t>INV10138</t>
  </si>
  <si>
    <t>INV10148</t>
  </si>
  <si>
    <t>INV10187</t>
  </si>
  <si>
    <t>INV10338</t>
  </si>
  <si>
    <t>INV10152</t>
  </si>
  <si>
    <t>INV10141</t>
  </si>
  <si>
    <t>INV10350</t>
  </si>
  <si>
    <t>INV10142</t>
  </si>
  <si>
    <t>INV10168</t>
  </si>
  <si>
    <t>INV10184</t>
  </si>
  <si>
    <t>INV10157</t>
  </si>
  <si>
    <t>INV10167</t>
  </si>
  <si>
    <t>INV10340</t>
  </si>
  <si>
    <t>INV10362</t>
  </si>
  <si>
    <t>INV10347</t>
  </si>
  <si>
    <t>INV10427</t>
  </si>
  <si>
    <t>INV10348</t>
  </si>
  <si>
    <t>INV10178</t>
  </si>
  <si>
    <t>INV10351</t>
  </si>
  <si>
    <t>INV10179</t>
  </si>
  <si>
    <t>INV10181</t>
  </si>
  <si>
    <t>INV10180</t>
  </si>
  <si>
    <t>INV10190</t>
  </si>
  <si>
    <t>INV10330</t>
  </si>
  <si>
    <t>INV10329</t>
  </si>
  <si>
    <t>INV10328</t>
  </si>
  <si>
    <t>INV10334</t>
  </si>
  <si>
    <t>INV10335</t>
  </si>
  <si>
    <t>CRM16600088</t>
  </si>
  <si>
    <t>INV10337</t>
  </si>
  <si>
    <t>INV10346</t>
  </si>
  <si>
    <t>INV10353</t>
  </si>
  <si>
    <t>INV10424</t>
  </si>
  <si>
    <t>INV10354</t>
  </si>
  <si>
    <t>INV10349</t>
  </si>
  <si>
    <t>INV10365</t>
  </si>
  <si>
    <t>INV10352</t>
  </si>
  <si>
    <t>INV10357</t>
  </si>
  <si>
    <t>INV10356</t>
  </si>
  <si>
    <t>INV10368</t>
  </si>
  <si>
    <t>INV10355</t>
  </si>
  <si>
    <t>INV10359</t>
  </si>
  <si>
    <t>INV10358</t>
  </si>
  <si>
    <t>INV10360</t>
  </si>
  <si>
    <t>INV10428</t>
  </si>
  <si>
    <t>INV10369</t>
  </si>
  <si>
    <t>INV10370</t>
  </si>
  <si>
    <t>INV10361</t>
  </si>
  <si>
    <t>INV10419</t>
  </si>
  <si>
    <t>INV10429</t>
  </si>
  <si>
    <t>INV10455</t>
  </si>
  <si>
    <t>INV10421</t>
  </si>
  <si>
    <t>INV10422</t>
  </si>
  <si>
    <t>INV10423</t>
  </si>
  <si>
    <t>INV10443</t>
  </si>
  <si>
    <t>INV10441</t>
  </si>
  <si>
    <t>INV10518</t>
  </si>
  <si>
    <t>INV10440</t>
  </si>
  <si>
    <t>INV10442</t>
  </si>
  <si>
    <t>INV10438</t>
  </si>
  <si>
    <t>INV10447</t>
  </si>
  <si>
    <t>INV10439</t>
  </si>
  <si>
    <t>INV10444</t>
  </si>
  <si>
    <t>INV10431</t>
  </si>
  <si>
    <t>INV10449</t>
  </si>
  <si>
    <t>INV10446</t>
  </si>
  <si>
    <t>INV10445</t>
  </si>
  <si>
    <t>INV10454</t>
  </si>
  <si>
    <t>INV10453</t>
  </si>
  <si>
    <t>INV10452</t>
  </si>
  <si>
    <t>INV10520</t>
  </si>
  <si>
    <t>INV10459</t>
  </si>
  <si>
    <t>INV10466</t>
  </si>
  <si>
    <t>INV10461</t>
  </si>
  <si>
    <t>INV10470</t>
  </si>
  <si>
    <t>INV10471</t>
  </si>
  <si>
    <t>INV10495</t>
  </si>
  <si>
    <t>INV10475</t>
  </si>
  <si>
    <t>INV10479</t>
  </si>
  <si>
    <t>INV10472</t>
  </si>
  <si>
    <t>INV10494</t>
  </si>
  <si>
    <t>INV10478</t>
  </si>
  <si>
    <t>INV10468</t>
  </si>
  <si>
    <t>INV10467</t>
  </si>
  <si>
    <t>INV10480</t>
  </si>
  <si>
    <t>INV10519</t>
  </si>
  <si>
    <t>INV10484</t>
  </si>
  <si>
    <t>INV10532</t>
  </si>
  <si>
    <t>INV10511</t>
  </si>
  <si>
    <t>INV10510</t>
  </si>
  <si>
    <t>INV10573</t>
  </si>
  <si>
    <t>INV10512</t>
  </si>
  <si>
    <t>INV10565</t>
  </si>
  <si>
    <t>INV10513</t>
  </si>
  <si>
    <t>INV10516</t>
  </si>
  <si>
    <t>INV10515</t>
  </si>
  <si>
    <t>INV10524</t>
  </si>
  <si>
    <t>INV10526</t>
  </si>
  <si>
    <t>INV10531</t>
  </si>
  <si>
    <t>INV10525</t>
  </si>
  <si>
    <t>INV10540</t>
  </si>
  <si>
    <t>INV10533</t>
  </si>
  <si>
    <t>INV10530</t>
  </si>
  <si>
    <t>INV10536</t>
  </si>
  <si>
    <t>INV10535</t>
  </si>
  <si>
    <t>INV10534</t>
  </si>
  <si>
    <t>INV10541</t>
  </si>
  <si>
    <t>INV10542</t>
  </si>
  <si>
    <t>INV10548</t>
  </si>
  <si>
    <t>INV10547</t>
  </si>
  <si>
    <t>INV10550</t>
  </si>
  <si>
    <t>INV10551</t>
  </si>
  <si>
    <t>INV10566</t>
  </si>
  <si>
    <t>INV10568</t>
  </si>
  <si>
    <t>INV10557</t>
  </si>
  <si>
    <t>INV10569</t>
  </si>
  <si>
    <t>INV10558</t>
  </si>
  <si>
    <t>INV10567</t>
  </si>
  <si>
    <t>INV10571</t>
  </si>
  <si>
    <t>INV10553</t>
  </si>
  <si>
    <t>INV10562</t>
  </si>
  <si>
    <t>INV10561</t>
  </si>
  <si>
    <t>INV10560</t>
  </si>
  <si>
    <t>INV10570</t>
  </si>
  <si>
    <t>INV10552</t>
  </si>
  <si>
    <t>INV10576</t>
  </si>
  <si>
    <t>INV10582</t>
  </si>
  <si>
    <t>INV10579</t>
  </si>
  <si>
    <t>INV10578</t>
  </si>
  <si>
    <t>INV10577</t>
  </si>
  <si>
    <t>INV10559</t>
  </si>
  <si>
    <t>INV10585</t>
  </si>
  <si>
    <t>INV10583</t>
  </si>
  <si>
    <t>INV10648</t>
  </si>
  <si>
    <t>INV10586</t>
  </si>
  <si>
    <t>INV10587</t>
  </si>
  <si>
    <t>INV10592</t>
  </si>
  <si>
    <t>INV10595</t>
  </si>
  <si>
    <t>INV10584</t>
  </si>
  <si>
    <t>INV10597</t>
  </si>
  <si>
    <t>INV10596</t>
  </si>
  <si>
    <t>INV10612</t>
  </si>
  <si>
    <t>INV10614</t>
  </si>
  <si>
    <t>INV10616</t>
  </si>
  <si>
    <t>INV10617</t>
  </si>
  <si>
    <t>INV10627</t>
  </si>
  <si>
    <t>INV10630</t>
  </si>
  <si>
    <t>INV10623</t>
  </si>
  <si>
    <t>INV10658</t>
  </si>
  <si>
    <t>INV10626</t>
  </si>
  <si>
    <t>INV10629</t>
  </si>
  <si>
    <t>INV10633</t>
  </si>
  <si>
    <t>INV10635</t>
  </si>
  <si>
    <t>INV10636</t>
  </si>
  <si>
    <t>INV10651</t>
  </si>
  <si>
    <t>INV10638</t>
  </si>
  <si>
    <t>INV10652</t>
  </si>
  <si>
    <t>INV10641</t>
  </si>
  <si>
    <t>INV10653</t>
  </si>
  <si>
    <t>INV10650</t>
  </si>
  <si>
    <t>INV10656</t>
  </si>
  <si>
    <t>INV10639</t>
  </si>
  <si>
    <t>INV10646</t>
  </si>
  <si>
    <t>INV10644</t>
  </si>
  <si>
    <t>INV10640</t>
  </si>
  <si>
    <t>INV10649</t>
  </si>
  <si>
    <t>INV10654</t>
  </si>
  <si>
    <t>INV10659</t>
  </si>
  <si>
    <t>INV10660</t>
  </si>
  <si>
    <t>INV10749</t>
  </si>
  <si>
    <t>INV10663</t>
  </si>
  <si>
    <t>INV10661</t>
  </si>
  <si>
    <t>INV10671</t>
  </si>
  <si>
    <t>INV10668</t>
  </si>
  <si>
    <t>INV10673</t>
  </si>
  <si>
    <t>INV10677</t>
  </si>
  <si>
    <t>INV10742</t>
  </si>
  <si>
    <t>INV10594</t>
  </si>
  <si>
    <t>INV10674</t>
  </si>
  <si>
    <t>INV10675</t>
  </si>
  <si>
    <t>INV10682</t>
  </si>
  <si>
    <t>INV10725</t>
  </si>
  <si>
    <t>INV10683</t>
  </si>
  <si>
    <t>INV10724</t>
  </si>
  <si>
    <t>INV10726</t>
  </si>
  <si>
    <t>INV10729</t>
  </si>
  <si>
    <t>INV10733</t>
  </si>
  <si>
    <t>INV10734</t>
  </si>
  <si>
    <t>INV10786</t>
  </si>
  <si>
    <t>INV10745</t>
  </si>
  <si>
    <t>INV10588</t>
  </si>
  <si>
    <t>INV10746</t>
  </si>
  <si>
    <t>INV10750</t>
  </si>
  <si>
    <t>INV10748</t>
  </si>
  <si>
    <t>INV10753</t>
  </si>
  <si>
    <t>INV10787</t>
  </si>
  <si>
    <t>INV10747</t>
  </si>
  <si>
    <t>INV10754</t>
  </si>
  <si>
    <t>INV10756</t>
  </si>
  <si>
    <t>INV10805</t>
  </si>
  <si>
    <t>INV10759</t>
  </si>
  <si>
    <t>INV10761</t>
  </si>
  <si>
    <t>INV10762</t>
  </si>
  <si>
    <t>INV10751</t>
  </si>
  <si>
    <t>INV10768</t>
  </si>
  <si>
    <t>INV10770</t>
  </si>
  <si>
    <t>INV10769</t>
  </si>
  <si>
    <t>INV10771</t>
  </si>
  <si>
    <t>INV10773</t>
  </si>
  <si>
    <t>INV10778</t>
  </si>
  <si>
    <t>INV10774</t>
  </si>
  <si>
    <t>CRM16600093</t>
  </si>
  <si>
    <t>MAVI DRINK SRL</t>
  </si>
  <si>
    <t>INV10781</t>
  </si>
  <si>
    <t>INV10814</t>
  </si>
  <si>
    <t>INV10784</t>
  </si>
  <si>
    <t>INV10780</t>
  </si>
  <si>
    <t>INV10782</t>
  </si>
  <si>
    <t>INV10776</t>
  </si>
  <si>
    <t>INV10779</t>
  </si>
  <si>
    <t>INV10763</t>
  </si>
  <si>
    <t>INV10806</t>
  </si>
  <si>
    <t>INV10760</t>
  </si>
  <si>
    <t>INV10807</t>
  </si>
  <si>
    <t>INV10813</t>
  </si>
  <si>
    <t>INV10812</t>
  </si>
  <si>
    <t>INV10934</t>
  </si>
  <si>
    <t>INV10821</t>
  </si>
  <si>
    <t>INV10825</t>
  </si>
  <si>
    <t>INV10910</t>
  </si>
  <si>
    <t>INV10819</t>
  </si>
  <si>
    <t>INV10818</t>
  </si>
  <si>
    <t>INV10755</t>
  </si>
  <si>
    <t>INV10826</t>
  </si>
  <si>
    <t>INV10824</t>
  </si>
  <si>
    <t>INV10822</t>
  </si>
  <si>
    <t>INV10909</t>
  </si>
  <si>
    <t>INV10832</t>
  </si>
  <si>
    <t>INV10828</t>
  </si>
  <si>
    <t>INV10917</t>
  </si>
  <si>
    <t>INV10908</t>
  </si>
  <si>
    <t>INV10916</t>
  </si>
  <si>
    <t>INV10827</t>
  </si>
  <si>
    <t>INV10815</t>
  </si>
  <si>
    <t>INV10913</t>
  </si>
  <si>
    <t>INV10918</t>
  </si>
  <si>
    <t>INV10922</t>
  </si>
  <si>
    <t>INV10925</t>
  </si>
  <si>
    <t>INV10924</t>
  </si>
  <si>
    <t>INV10919</t>
  </si>
  <si>
    <t>INV10923</t>
  </si>
  <si>
    <t>INV10920</t>
  </si>
  <si>
    <t>INV10914</t>
  </si>
  <si>
    <t>INV10930</t>
  </si>
  <si>
    <t>INV10944</t>
  </si>
  <si>
    <t>INV10945</t>
  </si>
  <si>
    <t>292/21 final</t>
  </si>
  <si>
    <t>Irish Whiskey Glass Limited</t>
  </si>
  <si>
    <t>CRM16600094</t>
  </si>
  <si>
    <t>INV10931</t>
  </si>
  <si>
    <t>INV10955</t>
  </si>
  <si>
    <t>INV10941</t>
  </si>
  <si>
    <t>INV10975</t>
  </si>
  <si>
    <t>INV10935</t>
  </si>
  <si>
    <t>INV10937</t>
  </si>
  <si>
    <t>INV10947</t>
  </si>
  <si>
    <t>INV10940</t>
  </si>
  <si>
    <t>INV10943</t>
  </si>
  <si>
    <t>INV10953</t>
  </si>
  <si>
    <t>INV10962</t>
  </si>
  <si>
    <t>INV10956</t>
  </si>
  <si>
    <t>INV10957</t>
  </si>
  <si>
    <t>INV10959</t>
  </si>
  <si>
    <t>INV10809</t>
  </si>
  <si>
    <t>INV10968</t>
  </si>
  <si>
    <t>INV10967</t>
  </si>
  <si>
    <t>INV10973</t>
  </si>
  <si>
    <t>INV10966</t>
  </si>
  <si>
    <t>INV10972</t>
  </si>
  <si>
    <t>INV10974</t>
  </si>
  <si>
    <t>INV10833</t>
  </si>
  <si>
    <t>INV10977</t>
  </si>
  <si>
    <t>INV10936</t>
  </si>
  <si>
    <t>INV10978</t>
  </si>
  <si>
    <t>INV10976</t>
  </si>
  <si>
    <t>INV10989</t>
  </si>
  <si>
    <t>INV10984</t>
  </si>
  <si>
    <t>INV10964</t>
  </si>
  <si>
    <t>INV10992</t>
  </si>
  <si>
    <t>INV10990</t>
  </si>
  <si>
    <t>INV00999</t>
  </si>
  <si>
    <t>INV10564</t>
  </si>
  <si>
    <t>INV10986</t>
  </si>
  <si>
    <t>INV10991</t>
  </si>
  <si>
    <t>INV11032</t>
  </si>
  <si>
    <t>INV10993</t>
  </si>
  <si>
    <t>INV11019</t>
  </si>
  <si>
    <t>INV10998</t>
  </si>
  <si>
    <t>INV10999</t>
  </si>
  <si>
    <t>INV10811</t>
  </si>
  <si>
    <t>INV11081</t>
  </si>
  <si>
    <t>INV10994</t>
  </si>
  <si>
    <t>INV11003</t>
  </si>
  <si>
    <t>INV11001</t>
  </si>
  <si>
    <t>INV11005</t>
  </si>
  <si>
    <t>INV11012</t>
  </si>
  <si>
    <t>INV11006</t>
  </si>
  <si>
    <t>P871/10/21#11219</t>
  </si>
  <si>
    <t>Belvedere Print Solutions</t>
  </si>
  <si>
    <t>50010 - - COST OF GOODS SOLD - : Cost of Goods Sold</t>
  </si>
  <si>
    <t>INV11009</t>
  </si>
  <si>
    <t>INV11013</t>
  </si>
  <si>
    <t>INV11010</t>
  </si>
  <si>
    <t>INV11011</t>
  </si>
  <si>
    <t>INV11018</t>
  </si>
  <si>
    <t>INV11059</t>
  </si>
  <si>
    <t>INV11020</t>
  </si>
  <si>
    <t>INV11029</t>
  </si>
  <si>
    <t>INV11022</t>
  </si>
  <si>
    <t>CRM16600095</t>
  </si>
  <si>
    <t>INV11034</t>
  </si>
  <si>
    <t>INV11030</t>
  </si>
  <si>
    <t>INV11023</t>
  </si>
  <si>
    <t>INV11025</t>
  </si>
  <si>
    <t>INV11031</t>
  </si>
  <si>
    <t>INV11196</t>
  </si>
  <si>
    <t>INV11043</t>
  </si>
  <si>
    <t>INV11040</t>
  </si>
  <si>
    <t>INV11041</t>
  </si>
  <si>
    <t>INV11056</t>
  </si>
  <si>
    <t>INV11035</t>
  </si>
  <si>
    <t>INV11036</t>
  </si>
  <si>
    <t>INV11045</t>
  </si>
  <si>
    <t>INV11065</t>
  </si>
  <si>
    <t>INV11051</t>
  </si>
  <si>
    <t>INV11064</t>
  </si>
  <si>
    <t>INV11054</t>
  </si>
  <si>
    <t>INV11067</t>
  </si>
  <si>
    <t>INV11066</t>
  </si>
  <si>
    <t>INV11063</t>
  </si>
  <si>
    <t>INV11072</t>
  </si>
  <si>
    <t>INV11068</t>
  </si>
  <si>
    <t>INV11071</t>
  </si>
  <si>
    <t>INV11076</t>
  </si>
  <si>
    <t>INV11086</t>
  </si>
  <si>
    <t>INV11078</t>
  </si>
  <si>
    <t>INV11079</t>
  </si>
  <si>
    <t>INV11080</t>
  </si>
  <si>
    <t>INV11099</t>
  </si>
  <si>
    <t>INV11108</t>
  </si>
  <si>
    <t>INV11088</t>
  </si>
  <si>
    <t>INV11100</t>
  </si>
  <si>
    <t>INV11098</t>
  </si>
  <si>
    <t>INV11094</t>
  </si>
  <si>
    <t>INV11091</t>
  </si>
  <si>
    <t>INV11044</t>
  </si>
  <si>
    <t>INV11090</t>
  </si>
  <si>
    <t>INV11105</t>
  </si>
  <si>
    <t>INV11109</t>
  </si>
  <si>
    <t>INV11101</t>
  </si>
  <si>
    <t>INV11113</t>
  </si>
  <si>
    <t>INV11106</t>
  </si>
  <si>
    <t>CRM16600101</t>
  </si>
  <si>
    <t>INV11107</t>
  </si>
  <si>
    <t>INV11126</t>
  </si>
  <si>
    <t>INV11112</t>
  </si>
  <si>
    <t>INV11115</t>
  </si>
  <si>
    <t>INV11120</t>
  </si>
  <si>
    <t>INV11089</t>
  </si>
  <si>
    <t>INV11181</t>
  </si>
  <si>
    <t>INV11124</t>
  </si>
  <si>
    <t>INV11123</t>
  </si>
  <si>
    <t>INV11138</t>
  </si>
  <si>
    <t>INV11132</t>
  </si>
  <si>
    <t>INV11119</t>
  </si>
  <si>
    <t>INV11125</t>
  </si>
  <si>
    <t>INV11137</t>
  </si>
  <si>
    <t>INV11169</t>
  </si>
  <si>
    <t>INV11129</t>
  </si>
  <si>
    <t>INV11131</t>
  </si>
  <si>
    <t>INV11141</t>
  </si>
  <si>
    <t>INV11166</t>
  </si>
  <si>
    <t>INV11148</t>
  </si>
  <si>
    <t>INV11192</t>
  </si>
  <si>
    <t>INV11147</t>
  </si>
  <si>
    <t>INV11210</t>
  </si>
  <si>
    <t>INV11212</t>
  </si>
  <si>
    <t>INV11144</t>
  </si>
  <si>
    <t>INV11160</t>
  </si>
  <si>
    <t>INV11168</t>
  </si>
  <si>
    <t>INV11167</t>
  </si>
  <si>
    <t>INV11179</t>
  </si>
  <si>
    <t>INV11178</t>
  </si>
  <si>
    <t>INV11171</t>
  </si>
  <si>
    <t>INV11191</t>
  </si>
  <si>
    <t>INV11182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</si>
</sst>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&quot;€&quot;#,##0.00"/>
    <numFmt numFmtId="166" formatCode="#,##0.00%"/>
  </numFmts>
  <fonts count="1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rgb="FFC0C0C0"/>
      </top>
      <bottom/>
      <diagonal/>
    </border>
    <border>
      <left/>
      <right/>
      <top style="dotted">
        <color rgb="FF96969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5" fillId="0" borderId="0"/>
  </cellStyleXfs>
  <cellXfs count="46">
    <xf numFmtId="0" fontId="0" fillId="0" borderId="0" xfId="0"/>
    <xf numFmtId="0" fontId="1" fillId="0" borderId="0" xfId="1"/>
    <xf numFmtId="0" fontId="8" fillId="2" borderId="0" xfId="1" applyFont="1" applyFill="1" applyAlignment="1">
      <alignment horizontal="left"/>
    </xf>
    <xf numFmtId="0" fontId="8" fillId="2" borderId="0" xfId="1" applyFont="1" applyFill="1" applyAlignment="1">
      <alignment horizontal="right"/>
    </xf>
    <xf numFmtId="0" fontId="9" fillId="0" borderId="0" xfId="1" applyFont="1" applyAlignment="1">
      <alignment horizontal="left" vertical="center"/>
    </xf>
    <xf numFmtId="164" fontId="9" fillId="0" borderId="0" xfId="1" applyNumberFormat="1" applyFont="1" applyAlignment="1">
      <alignment horizontal="right" vertical="center"/>
    </xf>
    <xf numFmtId="0" fontId="9" fillId="0" borderId="0" xfId="1" applyFont="1" applyAlignment="1">
      <alignment horizontal="left" indent="1"/>
    </xf>
    <xf numFmtId="0" fontId="9" fillId="0" borderId="0" xfId="1" applyFont="1" applyAlignment="1">
      <alignment horizontal="left" indent="2"/>
    </xf>
    <xf numFmtId="0" fontId="9" fillId="0" borderId="0" xfId="1" applyFont="1" applyAlignment="1">
      <alignment horizontal="left" indent="3"/>
    </xf>
    <xf numFmtId="0" fontId="10" fillId="0" borderId="0" xfId="1" applyFont="1" applyAlignment="1">
      <alignment horizontal="left" indent="4"/>
    </xf>
    <xf numFmtId="164" fontId="10" fillId="0" borderId="0" xfId="1" applyNumberFormat="1" applyFont="1" applyAlignment="1">
      <alignment horizontal="right" vertical="center"/>
    </xf>
    <xf numFmtId="0" fontId="9" fillId="0" borderId="1" xfId="1" applyFont="1" applyBorder="1" applyAlignment="1">
      <alignment horizontal="left" indent="3"/>
    </xf>
    <xf numFmtId="164" fontId="9" fillId="0" borderId="1" xfId="1" applyNumberFormat="1" applyFont="1" applyBorder="1" applyAlignment="1">
      <alignment horizontal="right" vertical="center"/>
    </xf>
    <xf numFmtId="0" fontId="9" fillId="0" borderId="1" xfId="1" applyFont="1" applyBorder="1" applyAlignment="1">
      <alignment horizontal="left" indent="2"/>
    </xf>
    <xf numFmtId="0" fontId="9" fillId="0" borderId="0" xfId="1" applyFont="1" applyAlignment="1">
      <alignment horizontal="left" indent="4"/>
    </xf>
    <xf numFmtId="0" fontId="10" fillId="0" borderId="0" xfId="1" applyFont="1" applyAlignment="1">
      <alignment horizontal="left" indent="5"/>
    </xf>
    <xf numFmtId="0" fontId="9" fillId="0" borderId="1" xfId="1" applyFont="1" applyBorder="1" applyAlignment="1">
      <alignment horizontal="left" indent="4"/>
    </xf>
    <xf numFmtId="0" fontId="10" fillId="0" borderId="0" xfId="1" applyFont="1" applyAlignment="1">
      <alignment horizontal="left" indent="3"/>
    </xf>
    <xf numFmtId="0" fontId="9" fillId="0" borderId="2" xfId="1" applyFont="1" applyBorder="1" applyAlignment="1">
      <alignment horizontal="left" indent="1"/>
    </xf>
    <xf numFmtId="164" fontId="9" fillId="0" borderId="2" xfId="1" applyNumberFormat="1" applyFont="1" applyBorder="1" applyAlignment="1">
      <alignment horizontal="right" vertical="center"/>
    </xf>
    <xf numFmtId="0" fontId="9" fillId="0" borderId="1" xfId="1" applyFont="1" applyBorder="1" applyAlignment="1">
      <alignment horizontal="left" indent="1"/>
    </xf>
    <xf numFmtId="0" fontId="9" fillId="0" borderId="2" xfId="1" applyFont="1" applyBorder="1" applyAlignment="1">
      <alignment horizontal="left" vertical="center"/>
    </xf>
    <xf numFmtId="0" fontId="10" fillId="0" borderId="0" xfId="1" applyFont="1" applyAlignment="1">
      <alignment horizontal="left" indent="2"/>
    </xf>
    <xf numFmtId="14" fontId="9" fillId="0" borderId="0" xfId="1" applyNumberFormat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14" fontId="10" fillId="0" borderId="0" xfId="1" applyNumberFormat="1" applyFont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14" fontId="9" fillId="0" borderId="1" xfId="1" applyNumberFormat="1" applyFont="1" applyBorder="1" applyAlignment="1">
      <alignment horizontal="left" vertical="center"/>
    </xf>
    <xf numFmtId="14" fontId="9" fillId="0" borderId="2" xfId="1" applyNumberFormat="1" applyFont="1" applyBorder="1" applyAlignment="1">
      <alignment horizontal="left" vertical="center"/>
    </xf>
    <xf numFmtId="165" fontId="10" fillId="0" borderId="0" xfId="1" applyNumberFormat="1" applyFont="1" applyAlignment="1">
      <alignment horizontal="right" vertical="center"/>
    </xf>
    <xf numFmtId="166" fontId="10" fillId="0" borderId="0" xfId="1" applyNumberFormat="1" applyFont="1" applyAlignment="1">
      <alignment horizontal="right" vertical="center"/>
    </xf>
    <xf numFmtId="4" fontId="10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left" indent="1"/>
    </xf>
    <xf numFmtId="0" fontId="8" fillId="2" borderId="3" xfId="1" applyFont="1" applyFill="1" applyBorder="1" applyAlignment="1">
      <alignment horizontal="left"/>
    </xf>
    <xf numFmtId="0" fontId="8" fillId="3" borderId="3" xfId="1" applyFont="1" applyFill="1" applyBorder="1" applyAlignment="1">
      <alignment horizontal="right"/>
    </xf>
    <xf numFmtId="164" fontId="9" fillId="3" borderId="0" xfId="1" applyNumberFormat="1" applyFont="1" applyFill="1" applyAlignment="1">
      <alignment horizontal="right" vertical="center"/>
    </xf>
    <xf numFmtId="164" fontId="10" fillId="3" borderId="0" xfId="1" applyNumberFormat="1" applyFont="1" applyFill="1" applyAlignment="1">
      <alignment horizontal="right" vertical="center"/>
    </xf>
    <xf numFmtId="164" fontId="9" fillId="3" borderId="1" xfId="1" applyNumberFormat="1" applyFont="1" applyFill="1" applyBorder="1" applyAlignment="1">
      <alignment horizontal="right" vertical="center"/>
    </xf>
    <xf numFmtId="164" fontId="9" fillId="3" borderId="2" xfId="1" applyNumberFormat="1" applyFont="1" applyFill="1" applyBorder="1" applyAlignment="1">
      <alignment horizontal="right" vertical="center"/>
    </xf>
    <xf numFmtId="165" fontId="1" fillId="0" borderId="0" xfId="1" applyNumberFormat="1"/>
    <xf numFmtId="0" fontId="8" fillId="2" borderId="3" xfId="1" applyFont="1" applyFill="1" applyBorder="1" applyAlignment="1">
      <alignment horizontal="right"/>
    </xf>
    <xf numFmtId="0" fontId="8" fillId="2" borderId="3" xfId="1" applyFont="1" applyFill="1" applyBorder="1" applyAlignment="1">
      <alignment horizontal="center"/>
    </xf>
    <xf numFmtId="0" fontId="7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8" fillId="2" borderId="3" xfId="1" applyFont="1" applyFill="1" applyBorder="1" applyAlignment="1">
      <alignment horizontal="right"/>
    </xf>
    <xf numFmtId="0" fontId="8" fillId="2" borderId="3" xfId="1" applyFont="1" applyFill="1" applyBorder="1" applyAlignment="1">
      <alignment horizontal="center"/>
    </xf>
  </cellXfs>
  <cellStyles count="5">
    <cellStyle name="Normal" xfId="0" builtinId="0"/>
    <cellStyle name="Normal 2" xfId="1" xr:uid="{AF02BC09-1C02-4B7D-B459-5D5154600EAD}"/>
    <cellStyle name="Normal 3" xfId="2" xr:uid="{3CF90A99-F3D7-43D5-B118-934D55A259B3}"/>
    <cellStyle name="Normal 4" xfId="3" xr:uid="{8952BF35-1861-4AE9-A82F-0B097E7C2D9A}"/>
    <cellStyle name="Normal 5" xfId="4" xr:uid="{0F91B580-BFEB-4E28-9CAB-7333BA9E1E0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539750</xdr:colOff>
          <xdr:row>4</xdr:row>
          <xdr:rowOff>82550</xdr:rowOff>
        </xdr:from>
        <xdr:to>
          <xdr:col>14</xdr:col>
          <xdr:colOff>127000</xdr:colOff>
          <xdr:row>10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Consolidating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3A3F-952E-4799-B035-00552801F337}">
  <sheetPr codeName="Sheet14"/>
  <dimension ref="A1"/>
  <sheetViews>
    <sheetView workbookViewId="0">
      <selection activeCell="F15" sqref="F15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terface">
                <anchor moveWithCells="1" sizeWithCells="1">
                  <from>
                    <xdr:col>3</xdr:col>
                    <xdr:colOff>539750</xdr:colOff>
                    <xdr:row>4</xdr:row>
                    <xdr:rowOff>82550</xdr:rowOff>
                  </from>
                  <to>
                    <xdr:col>14</xdr:col>
                    <xdr:colOff>127000</xdr:colOff>
                    <xdr:row>10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F9D53-EFD6-4399-9221-98E6D919DFE2}">
  <sheetPr codeName="Sheet1"/>
  <dimension ref="A1:Q228"/>
  <sheetViews>
    <sheetView tabSelected="1" workbookViewId="0">
      <selection activeCell="P12" sqref="P12:P229"/>
    </sheetView>
  </sheetViews>
  <sheetFormatPr defaultRowHeight="14.5" x14ac:dyDescent="0.35"/>
  <cols>
    <col min="1" max="1" width="46.54296875" bestFit="1" customWidth="1"/>
    <col min="2" max="2" width="11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1" width="11" bestFit="1" customWidth="1"/>
    <col min="12" max="12" width="9.81640625" bestFit="1" customWidth="1"/>
    <col min="13" max="13" width="27.1796875" bestFit="1" customWidth="1"/>
    <col min="14" max="14" width="9" bestFit="1" customWidth="1"/>
    <col min="15" max="15" width="9.81640625" bestFit="1" customWidth="1"/>
    <col min="16" max="17" width="11" bestFit="1" customWidth="1"/>
  </cols>
  <sheetData>
    <row r="1" spans="1:17" s="1" customFormat="1" ht="15.5" x14ac:dyDescent="0.35">
      <c r="A1" s="43" t="s">
        <v>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</row>
    <row r="2" spans="1:17" s="1" customFormat="1" ht="15.5" x14ac:dyDescent="0.35">
      <c r="A2" s="43" t="s">
        <v>6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17" s="1" customFormat="1" ht="18" x14ac:dyDescent="0.4">
      <c r="A3" s="42" t="s">
        <v>7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</row>
    <row r="4" spans="1:17" s="1" customFormat="1" ht="18" x14ac:dyDescent="0.4">
      <c r="A4" s="42" t="s">
        <v>427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</row>
    <row r="5" spans="1:17" s="1" customFormat="1" ht="18" x14ac:dyDescent="0.4">
      <c r="A5" s="42" t="s">
        <v>8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</row>
    <row r="6" spans="1:17" s="1" customFormat="1" ht="18" x14ac:dyDescent="0.4">
      <c r="A6" s="42" t="s">
        <v>8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17" s="1" customFormat="1" ht="10" x14ac:dyDescent="0.2">
      <c r="A7" s="33" t="s">
        <v>10</v>
      </c>
      <c r="B7" s="45" t="s">
        <v>12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s="1" customFormat="1" ht="10" x14ac:dyDescent="0.2">
      <c r="A8" s="33" t="s">
        <v>10</v>
      </c>
      <c r="B8" s="44" t="s">
        <v>11</v>
      </c>
      <c r="C8" s="40" t="s">
        <v>14</v>
      </c>
      <c r="D8" s="45" t="s">
        <v>5</v>
      </c>
      <c r="E8" s="45"/>
      <c r="F8" s="45"/>
      <c r="G8" s="45"/>
      <c r="H8" s="45"/>
      <c r="I8" s="45"/>
      <c r="J8" s="45"/>
      <c r="K8" s="45"/>
      <c r="L8" s="45" t="s">
        <v>15</v>
      </c>
      <c r="M8" s="45"/>
      <c r="N8" s="45"/>
      <c r="O8" s="45"/>
      <c r="P8" s="41"/>
      <c r="Q8" s="40" t="s">
        <v>13</v>
      </c>
    </row>
    <row r="9" spans="1:17" s="1" customFormat="1" ht="10" x14ac:dyDescent="0.2">
      <c r="A9" s="33" t="s">
        <v>10</v>
      </c>
      <c r="B9" s="44"/>
      <c r="C9" s="44" t="s">
        <v>11</v>
      </c>
      <c r="D9" s="44" t="s">
        <v>11</v>
      </c>
      <c r="E9" s="40" t="s">
        <v>16</v>
      </c>
      <c r="F9" s="40" t="s">
        <v>17</v>
      </c>
      <c r="G9" s="40" t="s">
        <v>350</v>
      </c>
      <c r="H9" s="40" t="s">
        <v>319</v>
      </c>
      <c r="I9" s="40" t="s">
        <v>18</v>
      </c>
      <c r="J9" s="40"/>
      <c r="K9" s="40" t="s">
        <v>13</v>
      </c>
      <c r="L9" s="44" t="s">
        <v>11</v>
      </c>
      <c r="M9" s="40" t="s">
        <v>19</v>
      </c>
      <c r="N9" s="40"/>
      <c r="O9" s="40" t="s">
        <v>13</v>
      </c>
      <c r="P9" s="40"/>
      <c r="Q9" s="44" t="s">
        <v>11</v>
      </c>
    </row>
    <row r="10" spans="1:17" s="1" customFormat="1" ht="10" x14ac:dyDescent="0.2">
      <c r="A10" s="33" t="s">
        <v>10</v>
      </c>
      <c r="B10" s="44"/>
      <c r="C10" s="44"/>
      <c r="D10" s="44"/>
      <c r="E10" s="40" t="s">
        <v>11</v>
      </c>
      <c r="F10" s="40" t="s">
        <v>11</v>
      </c>
      <c r="G10" s="40" t="s">
        <v>11</v>
      </c>
      <c r="H10" s="40" t="s">
        <v>11</v>
      </c>
      <c r="I10" s="40" t="s">
        <v>11</v>
      </c>
      <c r="J10" s="34" t="s">
        <v>341</v>
      </c>
      <c r="K10" s="40" t="s">
        <v>11</v>
      </c>
      <c r="L10" s="44"/>
      <c r="M10" s="40" t="s">
        <v>11</v>
      </c>
      <c r="N10" s="34" t="s">
        <v>341</v>
      </c>
      <c r="O10" s="40" t="s">
        <v>11</v>
      </c>
      <c r="P10" s="34" t="s">
        <v>341</v>
      </c>
      <c r="Q10" s="44"/>
    </row>
    <row r="11" spans="1:17" s="1" customFormat="1" ht="10.5" x14ac:dyDescent="0.2">
      <c r="A11" s="4" t="s">
        <v>20</v>
      </c>
      <c r="B11" s="5"/>
      <c r="C11" s="5"/>
      <c r="D11" s="5"/>
      <c r="E11" s="5"/>
      <c r="F11" s="5"/>
      <c r="G11" s="5"/>
      <c r="H11" s="5"/>
      <c r="I11" s="5"/>
      <c r="J11" s="35"/>
      <c r="K11" s="5"/>
      <c r="L11" s="5"/>
      <c r="M11" s="5"/>
      <c r="N11" s="35"/>
      <c r="O11" s="5"/>
      <c r="P11" s="35"/>
      <c r="Q11" s="5"/>
    </row>
    <row r="12" spans="1:17" s="1" customFormat="1" ht="10.5" x14ac:dyDescent="0.25">
      <c r="A12" s="6" t="s">
        <v>21</v>
      </c>
      <c r="B12" s="5"/>
      <c r="C12" s="5"/>
      <c r="D12" s="5"/>
      <c r="E12" s="5"/>
      <c r="F12" s="5"/>
      <c r="G12" s="5"/>
      <c r="H12" s="5"/>
      <c r="I12" s="5"/>
      <c r="J12" s="35"/>
      <c r="K12" s="5"/>
      <c r="L12" s="5"/>
      <c r="M12" s="5"/>
      <c r="N12" s="35"/>
      <c r="O12" s="5"/>
      <c r="P12" s="35"/>
      <c r="Q12" s="5"/>
    </row>
    <row r="13" spans="1:17" s="1" customFormat="1" ht="10.5" x14ac:dyDescent="0.25">
      <c r="A13" s="7" t="s">
        <v>22</v>
      </c>
      <c r="B13" s="5"/>
      <c r="C13" s="5"/>
      <c r="D13" s="5"/>
      <c r="E13" s="5"/>
      <c r="F13" s="5"/>
      <c r="G13" s="5"/>
      <c r="H13" s="5"/>
      <c r="I13" s="5"/>
      <c r="J13" s="35"/>
      <c r="K13" s="5">
        <f t="shared" ref="K13:K76" si="0">SUM(D13:J13)</f>
        <v>0</v>
      </c>
      <c r="L13" s="5"/>
      <c r="M13" s="5"/>
      <c r="N13" s="35"/>
      <c r="O13" s="5">
        <f t="shared" ref="O13:O76" si="1">SUM(L13:N13)</f>
        <v>0</v>
      </c>
      <c r="P13" s="35"/>
      <c r="Q13" s="5">
        <f t="shared" ref="Q13:Q76" si="2">SUM(B13,K13,O13,P13)+C13</f>
        <v>0</v>
      </c>
    </row>
    <row r="14" spans="1:17" s="1" customFormat="1" ht="10.5" x14ac:dyDescent="0.25">
      <c r="A14" s="8" t="s">
        <v>23</v>
      </c>
      <c r="B14" s="5"/>
      <c r="C14" s="5"/>
      <c r="D14" s="5"/>
      <c r="E14" s="5"/>
      <c r="F14" s="5"/>
      <c r="G14" s="5"/>
      <c r="H14" s="5"/>
      <c r="I14" s="5"/>
      <c r="J14" s="35"/>
      <c r="K14" s="5">
        <f t="shared" si="0"/>
        <v>0</v>
      </c>
      <c r="L14" s="5"/>
      <c r="M14" s="5"/>
      <c r="N14" s="35"/>
      <c r="O14" s="5">
        <f t="shared" si="1"/>
        <v>0</v>
      </c>
      <c r="P14" s="35"/>
      <c r="Q14" s="5">
        <f t="shared" si="2"/>
        <v>0</v>
      </c>
    </row>
    <row r="15" spans="1:17" s="1" customFormat="1" ht="10" x14ac:dyDescent="0.2">
      <c r="A15" s="9" t="s">
        <v>24</v>
      </c>
      <c r="B15" s="10">
        <v>0</v>
      </c>
      <c r="C15" s="10">
        <v>0</v>
      </c>
      <c r="D15" s="10">
        <v>-3776.6729516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36"/>
      <c r="K15" s="10">
        <f t="shared" si="0"/>
        <v>-3776.6729516</v>
      </c>
      <c r="L15" s="10">
        <v>0</v>
      </c>
      <c r="M15" s="10">
        <v>0</v>
      </c>
      <c r="N15" s="36"/>
      <c r="O15" s="10">
        <f t="shared" si="1"/>
        <v>0</v>
      </c>
      <c r="P15" s="36"/>
      <c r="Q15" s="10">
        <f t="shared" si="2"/>
        <v>-3776.6729516</v>
      </c>
    </row>
    <row r="16" spans="1:17" s="1" customFormat="1" ht="10" x14ac:dyDescent="0.2">
      <c r="A16" s="9" t="s">
        <v>25</v>
      </c>
      <c r="B16" s="10">
        <v>0</v>
      </c>
      <c r="C16" s="10">
        <v>0</v>
      </c>
      <c r="D16" s="10">
        <v>-5373.9594974000001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36"/>
      <c r="K16" s="10">
        <f t="shared" si="0"/>
        <v>-5373.9594974000001</v>
      </c>
      <c r="L16" s="10">
        <v>0</v>
      </c>
      <c r="M16" s="10">
        <v>0</v>
      </c>
      <c r="N16" s="36"/>
      <c r="O16" s="10">
        <f t="shared" si="1"/>
        <v>0</v>
      </c>
      <c r="P16" s="36"/>
      <c r="Q16" s="10">
        <f t="shared" si="2"/>
        <v>-5373.9594974000001</v>
      </c>
    </row>
    <row r="17" spans="1:17" s="1" customFormat="1" ht="10" x14ac:dyDescent="0.2">
      <c r="A17" s="9" t="s">
        <v>26</v>
      </c>
      <c r="B17" s="10">
        <v>0</v>
      </c>
      <c r="C17" s="10">
        <v>0</v>
      </c>
      <c r="D17" s="10">
        <v>589.1892474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36"/>
      <c r="K17" s="10">
        <f t="shared" si="0"/>
        <v>589.1892474</v>
      </c>
      <c r="L17" s="10">
        <v>0</v>
      </c>
      <c r="M17" s="10">
        <v>0</v>
      </c>
      <c r="N17" s="36"/>
      <c r="O17" s="10">
        <f t="shared" si="1"/>
        <v>0</v>
      </c>
      <c r="P17" s="36"/>
      <c r="Q17" s="10">
        <f t="shared" si="2"/>
        <v>589.1892474</v>
      </c>
    </row>
    <row r="18" spans="1:17" s="1" customFormat="1" ht="10" x14ac:dyDescent="0.2">
      <c r="A18" s="9" t="s">
        <v>27</v>
      </c>
      <c r="B18" s="10">
        <v>0</v>
      </c>
      <c r="C18" s="10">
        <v>0</v>
      </c>
      <c r="D18" s="10">
        <v>-289276.81305679999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36"/>
      <c r="K18" s="10">
        <f t="shared" si="0"/>
        <v>-289276.81305679999</v>
      </c>
      <c r="L18" s="10">
        <v>0</v>
      </c>
      <c r="M18" s="10">
        <v>0</v>
      </c>
      <c r="N18" s="36"/>
      <c r="O18" s="10">
        <f t="shared" si="1"/>
        <v>0</v>
      </c>
      <c r="P18" s="36"/>
      <c r="Q18" s="10">
        <f t="shared" si="2"/>
        <v>-289276.81305679999</v>
      </c>
    </row>
    <row r="19" spans="1:17" s="1" customFormat="1" ht="10" x14ac:dyDescent="0.2">
      <c r="A19" s="9" t="s">
        <v>351</v>
      </c>
      <c r="B19" s="10">
        <v>0</v>
      </c>
      <c r="C19" s="10">
        <v>0</v>
      </c>
      <c r="D19" s="10">
        <v>3963.7150000000001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36"/>
      <c r="K19" s="10">
        <f t="shared" si="0"/>
        <v>3963.7150000000001</v>
      </c>
      <c r="L19" s="10">
        <v>0</v>
      </c>
      <c r="M19" s="10">
        <v>0</v>
      </c>
      <c r="N19" s="36"/>
      <c r="O19" s="10">
        <f t="shared" si="1"/>
        <v>0</v>
      </c>
      <c r="P19" s="36"/>
      <c r="Q19" s="10">
        <f t="shared" si="2"/>
        <v>3963.7150000000001</v>
      </c>
    </row>
    <row r="20" spans="1:17" s="1" customFormat="1" ht="10" x14ac:dyDescent="0.2">
      <c r="A20" s="9" t="s">
        <v>28</v>
      </c>
      <c r="B20" s="10">
        <v>0</v>
      </c>
      <c r="C20" s="10">
        <v>0</v>
      </c>
      <c r="D20" s="10">
        <v>0</v>
      </c>
      <c r="E20" s="10">
        <v>-11414.4686341</v>
      </c>
      <c r="F20" s="10">
        <v>0</v>
      </c>
      <c r="G20" s="10">
        <v>0</v>
      </c>
      <c r="H20" s="10">
        <v>0</v>
      </c>
      <c r="I20" s="10">
        <v>0</v>
      </c>
      <c r="J20" s="36"/>
      <c r="K20" s="10">
        <f t="shared" si="0"/>
        <v>-11414.4686341</v>
      </c>
      <c r="L20" s="10">
        <v>0</v>
      </c>
      <c r="M20" s="10">
        <v>0</v>
      </c>
      <c r="N20" s="36"/>
      <c r="O20" s="10">
        <f t="shared" si="1"/>
        <v>0</v>
      </c>
      <c r="P20" s="36"/>
      <c r="Q20" s="10">
        <f t="shared" si="2"/>
        <v>-11414.4686341</v>
      </c>
    </row>
    <row r="21" spans="1:17" s="1" customFormat="1" ht="10" x14ac:dyDescent="0.2">
      <c r="A21" s="9" t="s">
        <v>29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31642.259197227439</v>
      </c>
      <c r="J21" s="36"/>
      <c r="K21" s="10">
        <f t="shared" si="0"/>
        <v>31642.259197227439</v>
      </c>
      <c r="L21" s="10">
        <v>0</v>
      </c>
      <c r="M21" s="10">
        <v>0</v>
      </c>
      <c r="N21" s="36"/>
      <c r="O21" s="10">
        <f t="shared" si="1"/>
        <v>0</v>
      </c>
      <c r="P21" s="36"/>
      <c r="Q21" s="10">
        <f t="shared" si="2"/>
        <v>31642.259197227439</v>
      </c>
    </row>
    <row r="22" spans="1:17" s="1" customFormat="1" ht="10" x14ac:dyDescent="0.2">
      <c r="A22" s="9" t="s">
        <v>30</v>
      </c>
      <c r="B22" s="10">
        <v>942.16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36"/>
      <c r="K22" s="10">
        <f t="shared" si="0"/>
        <v>0</v>
      </c>
      <c r="L22" s="10">
        <v>0</v>
      </c>
      <c r="M22" s="10">
        <v>0</v>
      </c>
      <c r="N22" s="36"/>
      <c r="O22" s="10">
        <f t="shared" si="1"/>
        <v>0</v>
      </c>
      <c r="P22" s="36"/>
      <c r="Q22" s="10">
        <f t="shared" si="2"/>
        <v>942.16</v>
      </c>
    </row>
    <row r="23" spans="1:17" s="1" customFormat="1" ht="10" x14ac:dyDescent="0.2">
      <c r="A23" s="9" t="s">
        <v>352</v>
      </c>
      <c r="B23" s="10">
        <v>-7435.22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36"/>
      <c r="K23" s="10">
        <f t="shared" si="0"/>
        <v>0</v>
      </c>
      <c r="L23" s="10">
        <v>0</v>
      </c>
      <c r="M23" s="10">
        <v>0</v>
      </c>
      <c r="N23" s="36"/>
      <c r="O23" s="10">
        <f t="shared" si="1"/>
        <v>0</v>
      </c>
      <c r="P23" s="36"/>
      <c r="Q23" s="10">
        <f t="shared" si="2"/>
        <v>-7435.22</v>
      </c>
    </row>
    <row r="24" spans="1:17" s="1" customFormat="1" ht="10" x14ac:dyDescent="0.2">
      <c r="A24" s="9" t="s">
        <v>353</v>
      </c>
      <c r="B24" s="10">
        <v>1480181.31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36"/>
      <c r="K24" s="10">
        <f t="shared" si="0"/>
        <v>0</v>
      </c>
      <c r="L24" s="10">
        <v>0</v>
      </c>
      <c r="M24" s="10">
        <v>0</v>
      </c>
      <c r="N24" s="36"/>
      <c r="O24" s="10">
        <f t="shared" si="1"/>
        <v>0</v>
      </c>
      <c r="P24" s="36"/>
      <c r="Q24" s="10">
        <f t="shared" si="2"/>
        <v>1480181.31</v>
      </c>
    </row>
    <row r="25" spans="1:17" s="1" customFormat="1" ht="10" x14ac:dyDescent="0.2">
      <c r="A25" s="9" t="s">
        <v>31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1025.5036697</v>
      </c>
      <c r="I25" s="10">
        <v>0</v>
      </c>
      <c r="J25" s="36"/>
      <c r="K25" s="10">
        <f t="shared" si="0"/>
        <v>1025.5036697</v>
      </c>
      <c r="L25" s="10">
        <v>0</v>
      </c>
      <c r="M25" s="10">
        <v>0</v>
      </c>
      <c r="N25" s="36"/>
      <c r="O25" s="10">
        <f t="shared" si="1"/>
        <v>0</v>
      </c>
      <c r="P25" s="36"/>
      <c r="Q25" s="10">
        <f t="shared" si="2"/>
        <v>1025.5036697</v>
      </c>
    </row>
    <row r="26" spans="1:17" s="1" customFormat="1" ht="10" x14ac:dyDescent="0.2">
      <c r="A26" s="9" t="s">
        <v>32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0.15854860000000001</v>
      </c>
      <c r="I26" s="10">
        <v>0</v>
      </c>
      <c r="J26" s="36"/>
      <c r="K26" s="10">
        <f t="shared" si="0"/>
        <v>0.15854860000000001</v>
      </c>
      <c r="L26" s="10">
        <v>0</v>
      </c>
      <c r="M26" s="10">
        <v>0</v>
      </c>
      <c r="N26" s="36"/>
      <c r="O26" s="10">
        <f t="shared" si="1"/>
        <v>0</v>
      </c>
      <c r="P26" s="36"/>
      <c r="Q26" s="10">
        <f t="shared" si="2"/>
        <v>0.15854860000000001</v>
      </c>
    </row>
    <row r="27" spans="1:17" s="1" customFormat="1" ht="10" x14ac:dyDescent="0.2">
      <c r="A27" s="9" t="s">
        <v>33</v>
      </c>
      <c r="B27" s="10">
        <v>0</v>
      </c>
      <c r="C27" s="10">
        <v>0</v>
      </c>
      <c r="D27" s="10">
        <v>0</v>
      </c>
      <c r="E27" s="10">
        <v>0</v>
      </c>
      <c r="F27" s="10">
        <v>4163.6461202700311</v>
      </c>
      <c r="G27" s="10">
        <v>0</v>
      </c>
      <c r="H27" s="10">
        <v>0</v>
      </c>
      <c r="I27" s="10">
        <v>0</v>
      </c>
      <c r="J27" s="36"/>
      <c r="K27" s="10">
        <f t="shared" si="0"/>
        <v>4163.6461202700311</v>
      </c>
      <c r="L27" s="10">
        <v>0</v>
      </c>
      <c r="M27" s="10">
        <v>0</v>
      </c>
      <c r="N27" s="36"/>
      <c r="O27" s="10">
        <f t="shared" si="1"/>
        <v>0</v>
      </c>
      <c r="P27" s="36"/>
      <c r="Q27" s="10">
        <f t="shared" si="2"/>
        <v>4163.6461202700311</v>
      </c>
    </row>
    <row r="28" spans="1:17" s="1" customFormat="1" ht="10" x14ac:dyDescent="0.2">
      <c r="A28" s="9" t="s">
        <v>34</v>
      </c>
      <c r="B28" s="10">
        <v>0</v>
      </c>
      <c r="C28" s="10">
        <v>0</v>
      </c>
      <c r="D28" s="10">
        <v>0</v>
      </c>
      <c r="E28" s="10">
        <v>0</v>
      </c>
      <c r="F28" s="10">
        <v>791.35898611140613</v>
      </c>
      <c r="G28" s="10">
        <v>0</v>
      </c>
      <c r="H28" s="10">
        <v>0</v>
      </c>
      <c r="I28" s="10">
        <v>0</v>
      </c>
      <c r="J28" s="36"/>
      <c r="K28" s="10">
        <f t="shared" si="0"/>
        <v>791.35898611140613</v>
      </c>
      <c r="L28" s="10">
        <v>0</v>
      </c>
      <c r="M28" s="10">
        <v>0</v>
      </c>
      <c r="N28" s="36"/>
      <c r="O28" s="10">
        <f t="shared" si="1"/>
        <v>0</v>
      </c>
      <c r="P28" s="36"/>
      <c r="Q28" s="10">
        <f t="shared" si="2"/>
        <v>791.35898611140613</v>
      </c>
    </row>
    <row r="29" spans="1:17" s="1" customFormat="1" ht="10" x14ac:dyDescent="0.2">
      <c r="A29" s="9" t="s">
        <v>354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809.06137688872445</v>
      </c>
      <c r="H29" s="10">
        <v>0</v>
      </c>
      <c r="I29" s="10">
        <v>0</v>
      </c>
      <c r="J29" s="36"/>
      <c r="K29" s="10">
        <f t="shared" si="0"/>
        <v>809.06137688872445</v>
      </c>
      <c r="L29" s="10">
        <v>0</v>
      </c>
      <c r="M29" s="10">
        <v>0</v>
      </c>
      <c r="N29" s="36"/>
      <c r="O29" s="10">
        <f t="shared" si="1"/>
        <v>0</v>
      </c>
      <c r="P29" s="36"/>
      <c r="Q29" s="10">
        <f t="shared" si="2"/>
        <v>809.06137688872445</v>
      </c>
    </row>
    <row r="30" spans="1:17" s="1" customFormat="1" ht="10" x14ac:dyDescent="0.2">
      <c r="A30" s="9" t="s">
        <v>355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16841.689885512009</v>
      </c>
      <c r="H30" s="10">
        <v>0</v>
      </c>
      <c r="I30" s="10">
        <v>0</v>
      </c>
      <c r="J30" s="36"/>
      <c r="K30" s="10">
        <f t="shared" si="0"/>
        <v>16841.689885512009</v>
      </c>
      <c r="L30" s="10">
        <v>0</v>
      </c>
      <c r="M30" s="10">
        <v>0</v>
      </c>
      <c r="N30" s="36"/>
      <c r="O30" s="10">
        <f t="shared" si="1"/>
        <v>0</v>
      </c>
      <c r="P30" s="36"/>
      <c r="Q30" s="10">
        <f t="shared" si="2"/>
        <v>16841.689885512009</v>
      </c>
    </row>
    <row r="31" spans="1:17" s="1" customFormat="1" ht="10" x14ac:dyDescent="0.2">
      <c r="A31" s="9" t="s">
        <v>356</v>
      </c>
      <c r="B31" s="10">
        <v>0</v>
      </c>
      <c r="C31" s="10">
        <v>0</v>
      </c>
      <c r="D31" s="10">
        <v>0</v>
      </c>
      <c r="E31" s="10">
        <v>0</v>
      </c>
      <c r="F31" s="10">
        <v>-530.64604655702044</v>
      </c>
      <c r="G31" s="10">
        <v>0</v>
      </c>
      <c r="H31" s="10">
        <v>0</v>
      </c>
      <c r="I31" s="10">
        <v>0</v>
      </c>
      <c r="J31" s="36"/>
      <c r="K31" s="10">
        <f t="shared" si="0"/>
        <v>-530.64604655702044</v>
      </c>
      <c r="L31" s="10">
        <v>0</v>
      </c>
      <c r="M31" s="10">
        <v>0</v>
      </c>
      <c r="N31" s="36"/>
      <c r="O31" s="10">
        <f t="shared" si="1"/>
        <v>0</v>
      </c>
      <c r="P31" s="36"/>
      <c r="Q31" s="10">
        <f t="shared" si="2"/>
        <v>-530.64604655702044</v>
      </c>
    </row>
    <row r="32" spans="1:17" s="1" customFormat="1" ht="10.5" x14ac:dyDescent="0.25">
      <c r="A32" s="11" t="s">
        <v>35</v>
      </c>
      <c r="B32" s="12">
        <f t="shared" ref="B32:Q32" si="3">SUM(B15:B31)</f>
        <v>1473688.25</v>
      </c>
      <c r="C32" s="12">
        <f t="shared" si="3"/>
        <v>0</v>
      </c>
      <c r="D32" s="12">
        <f t="shared" si="3"/>
        <v>-293874.54125839996</v>
      </c>
      <c r="E32" s="12">
        <f t="shared" si="3"/>
        <v>-11414.4686341</v>
      </c>
      <c r="F32" s="12">
        <f t="shared" si="3"/>
        <v>4424.3590598244164</v>
      </c>
      <c r="G32" s="12">
        <f t="shared" si="3"/>
        <v>17650.751262400732</v>
      </c>
      <c r="H32" s="12">
        <f t="shared" si="3"/>
        <v>1025.6622182999999</v>
      </c>
      <c r="I32" s="12">
        <f t="shared" si="3"/>
        <v>31642.259197227439</v>
      </c>
      <c r="J32" s="37">
        <f t="shared" si="3"/>
        <v>0</v>
      </c>
      <c r="K32" s="12">
        <f t="shared" si="0"/>
        <v>-250545.9781547474</v>
      </c>
      <c r="L32" s="12">
        <f t="shared" si="3"/>
        <v>0</v>
      </c>
      <c r="M32" s="12">
        <f t="shared" si="3"/>
        <v>0</v>
      </c>
      <c r="N32" s="37">
        <f t="shared" si="3"/>
        <v>0</v>
      </c>
      <c r="O32" s="12">
        <f t="shared" si="1"/>
        <v>0</v>
      </c>
      <c r="P32" s="37">
        <f t="shared" si="3"/>
        <v>0</v>
      </c>
      <c r="Q32" s="12">
        <f t="shared" si="2"/>
        <v>1223142.2718452527</v>
      </c>
    </row>
    <row r="33" spans="1:17" s="1" customFormat="1" ht="10.5" x14ac:dyDescent="0.25">
      <c r="A33" s="13" t="s">
        <v>36</v>
      </c>
      <c r="B33" s="12">
        <f t="shared" ref="B33:Q33" si="4">SUM(B32)</f>
        <v>1473688.25</v>
      </c>
      <c r="C33" s="12">
        <f t="shared" si="4"/>
        <v>0</v>
      </c>
      <c r="D33" s="12">
        <f t="shared" si="4"/>
        <v>-293874.54125839996</v>
      </c>
      <c r="E33" s="12">
        <f t="shared" si="4"/>
        <v>-11414.4686341</v>
      </c>
      <c r="F33" s="12">
        <f t="shared" si="4"/>
        <v>4424.3590598244164</v>
      </c>
      <c r="G33" s="12">
        <f t="shared" si="4"/>
        <v>17650.751262400732</v>
      </c>
      <c r="H33" s="12">
        <f t="shared" si="4"/>
        <v>1025.6622182999999</v>
      </c>
      <c r="I33" s="12">
        <f t="shared" si="4"/>
        <v>31642.259197227439</v>
      </c>
      <c r="J33" s="37">
        <f t="shared" si="4"/>
        <v>0</v>
      </c>
      <c r="K33" s="12">
        <f t="shared" si="0"/>
        <v>-250545.9781547474</v>
      </c>
      <c r="L33" s="12">
        <f t="shared" si="4"/>
        <v>0</v>
      </c>
      <c r="M33" s="12">
        <f t="shared" si="4"/>
        <v>0</v>
      </c>
      <c r="N33" s="37">
        <f t="shared" si="4"/>
        <v>0</v>
      </c>
      <c r="O33" s="12">
        <f t="shared" si="1"/>
        <v>0</v>
      </c>
      <c r="P33" s="37">
        <f t="shared" si="4"/>
        <v>0</v>
      </c>
      <c r="Q33" s="12">
        <f t="shared" si="2"/>
        <v>1223142.2718452527</v>
      </c>
    </row>
    <row r="34" spans="1:17" s="1" customFormat="1" ht="10.5" x14ac:dyDescent="0.25">
      <c r="A34" s="7" t="s">
        <v>37</v>
      </c>
      <c r="B34" s="5"/>
      <c r="C34" s="5"/>
      <c r="D34" s="5"/>
      <c r="E34" s="5"/>
      <c r="F34" s="5"/>
      <c r="G34" s="5"/>
      <c r="H34" s="5"/>
      <c r="I34" s="5"/>
      <c r="J34" s="35"/>
      <c r="K34" s="5">
        <f t="shared" si="0"/>
        <v>0</v>
      </c>
      <c r="L34" s="5"/>
      <c r="M34" s="5"/>
      <c r="N34" s="35"/>
      <c r="O34" s="5">
        <f t="shared" si="1"/>
        <v>0</v>
      </c>
      <c r="P34" s="35"/>
      <c r="Q34" s="5">
        <f t="shared" si="2"/>
        <v>0</v>
      </c>
    </row>
    <row r="35" spans="1:17" s="1" customFormat="1" ht="10.5" x14ac:dyDescent="0.25">
      <c r="A35" s="8" t="s">
        <v>38</v>
      </c>
      <c r="B35" s="5"/>
      <c r="C35" s="5"/>
      <c r="D35" s="5"/>
      <c r="E35" s="5"/>
      <c r="F35" s="5"/>
      <c r="G35" s="5"/>
      <c r="H35" s="5"/>
      <c r="I35" s="5"/>
      <c r="J35" s="35"/>
      <c r="K35" s="5">
        <f t="shared" si="0"/>
        <v>0</v>
      </c>
      <c r="L35" s="5"/>
      <c r="M35" s="5"/>
      <c r="N35" s="35"/>
      <c r="O35" s="5">
        <f t="shared" si="1"/>
        <v>0</v>
      </c>
      <c r="P35" s="35"/>
      <c r="Q35" s="5">
        <f t="shared" si="2"/>
        <v>0</v>
      </c>
    </row>
    <row r="36" spans="1:17" s="1" customFormat="1" ht="10" x14ac:dyDescent="0.2">
      <c r="A36" s="9" t="s">
        <v>39</v>
      </c>
      <c r="B36" s="10">
        <v>500</v>
      </c>
      <c r="C36" s="10">
        <v>3861.25346863</v>
      </c>
      <c r="D36" s="10">
        <v>1894138.4825426999</v>
      </c>
      <c r="E36" s="10">
        <v>0</v>
      </c>
      <c r="F36" s="10">
        <v>132500.92826619383</v>
      </c>
      <c r="G36" s="10">
        <v>0</v>
      </c>
      <c r="H36" s="10">
        <v>0</v>
      </c>
      <c r="I36" s="10">
        <v>0</v>
      </c>
      <c r="J36" s="36"/>
      <c r="K36" s="10">
        <f t="shared" si="0"/>
        <v>2026639.4108088939</v>
      </c>
      <c r="L36" s="10">
        <v>0</v>
      </c>
      <c r="M36" s="10">
        <v>0</v>
      </c>
      <c r="N36" s="36"/>
      <c r="O36" s="10">
        <f t="shared" si="1"/>
        <v>0</v>
      </c>
      <c r="P36" s="36"/>
      <c r="Q36" s="10">
        <f t="shared" si="2"/>
        <v>2031000.6642775238</v>
      </c>
    </row>
    <row r="37" spans="1:17" s="1" customFormat="1" ht="10" x14ac:dyDescent="0.2">
      <c r="A37" s="9" t="s">
        <v>40</v>
      </c>
      <c r="B37" s="10">
        <v>-124833.9</v>
      </c>
      <c r="C37" s="10">
        <v>-19876.27359529</v>
      </c>
      <c r="D37" s="10">
        <v>-30851.1113816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36"/>
      <c r="K37" s="10">
        <f t="shared" si="0"/>
        <v>-30851.1113816</v>
      </c>
      <c r="L37" s="10">
        <v>0</v>
      </c>
      <c r="M37" s="10">
        <v>0</v>
      </c>
      <c r="N37" s="36"/>
      <c r="O37" s="10">
        <f t="shared" si="1"/>
        <v>0</v>
      </c>
      <c r="P37" s="36"/>
      <c r="Q37" s="10">
        <f t="shared" si="2"/>
        <v>-175561.28497688999</v>
      </c>
    </row>
    <row r="38" spans="1:17" s="1" customFormat="1" ht="10" x14ac:dyDescent="0.2">
      <c r="A38" s="9" t="s">
        <v>326</v>
      </c>
      <c r="B38" s="10">
        <v>0</v>
      </c>
      <c r="C38" s="10">
        <v>0</v>
      </c>
      <c r="D38" s="10">
        <v>-6853.8294800000003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36"/>
      <c r="K38" s="10">
        <f t="shared" si="0"/>
        <v>-6853.8294800000003</v>
      </c>
      <c r="L38" s="10">
        <v>0</v>
      </c>
      <c r="M38" s="10">
        <v>0</v>
      </c>
      <c r="N38" s="36"/>
      <c r="O38" s="10">
        <f t="shared" si="1"/>
        <v>0</v>
      </c>
      <c r="P38" s="36"/>
      <c r="Q38" s="10">
        <f t="shared" si="2"/>
        <v>-6853.8294800000003</v>
      </c>
    </row>
    <row r="39" spans="1:17" s="1" customFormat="1" ht="10.5" x14ac:dyDescent="0.25">
      <c r="A39" s="11" t="s">
        <v>41</v>
      </c>
      <c r="B39" s="12">
        <f t="shared" ref="B39:Q39" si="5">SUM(B36:B38)</f>
        <v>-124333.9</v>
      </c>
      <c r="C39" s="12">
        <f t="shared" si="5"/>
        <v>-16015.02012666</v>
      </c>
      <c r="D39" s="12">
        <f t="shared" si="5"/>
        <v>1856433.5416810999</v>
      </c>
      <c r="E39" s="12">
        <f t="shared" si="5"/>
        <v>0</v>
      </c>
      <c r="F39" s="12">
        <f t="shared" si="5"/>
        <v>132500.92826619383</v>
      </c>
      <c r="G39" s="12">
        <f t="shared" si="5"/>
        <v>0</v>
      </c>
      <c r="H39" s="12">
        <f t="shared" si="5"/>
        <v>0</v>
      </c>
      <c r="I39" s="12">
        <f t="shared" si="5"/>
        <v>0</v>
      </c>
      <c r="J39" s="37">
        <f t="shared" si="5"/>
        <v>0</v>
      </c>
      <c r="K39" s="12">
        <f t="shared" si="0"/>
        <v>1988934.4699472939</v>
      </c>
      <c r="L39" s="12">
        <f t="shared" si="5"/>
        <v>0</v>
      </c>
      <c r="M39" s="12">
        <f t="shared" si="5"/>
        <v>0</v>
      </c>
      <c r="N39" s="37">
        <f t="shared" si="5"/>
        <v>0</v>
      </c>
      <c r="O39" s="12">
        <f t="shared" si="1"/>
        <v>0</v>
      </c>
      <c r="P39" s="37">
        <f t="shared" si="5"/>
        <v>0</v>
      </c>
      <c r="Q39" s="12">
        <f t="shared" si="2"/>
        <v>1848585.5498206341</v>
      </c>
    </row>
    <row r="40" spans="1:17" s="1" customFormat="1" ht="10.5" x14ac:dyDescent="0.25">
      <c r="A40" s="13" t="s">
        <v>42</v>
      </c>
      <c r="B40" s="12">
        <f t="shared" ref="B40:Q40" si="6">SUM(B39)</f>
        <v>-124333.9</v>
      </c>
      <c r="C40" s="12">
        <f t="shared" si="6"/>
        <v>-16015.02012666</v>
      </c>
      <c r="D40" s="12">
        <f t="shared" si="6"/>
        <v>1856433.5416810999</v>
      </c>
      <c r="E40" s="12">
        <f t="shared" si="6"/>
        <v>0</v>
      </c>
      <c r="F40" s="12">
        <f t="shared" si="6"/>
        <v>132500.92826619383</v>
      </c>
      <c r="G40" s="12">
        <f t="shared" si="6"/>
        <v>0</v>
      </c>
      <c r="H40" s="12">
        <f t="shared" si="6"/>
        <v>0</v>
      </c>
      <c r="I40" s="12">
        <f t="shared" si="6"/>
        <v>0</v>
      </c>
      <c r="J40" s="37">
        <f t="shared" si="6"/>
        <v>0</v>
      </c>
      <c r="K40" s="12">
        <f t="shared" si="0"/>
        <v>1988934.4699472939</v>
      </c>
      <c r="L40" s="12">
        <f t="shared" si="6"/>
        <v>0</v>
      </c>
      <c r="M40" s="12">
        <f t="shared" si="6"/>
        <v>0</v>
      </c>
      <c r="N40" s="37">
        <f t="shared" si="6"/>
        <v>0</v>
      </c>
      <c r="O40" s="12">
        <f t="shared" si="1"/>
        <v>0</v>
      </c>
      <c r="P40" s="37">
        <f t="shared" si="6"/>
        <v>0</v>
      </c>
      <c r="Q40" s="12">
        <f t="shared" si="2"/>
        <v>1848585.5498206341</v>
      </c>
    </row>
    <row r="41" spans="1:17" s="1" customFormat="1" ht="10.5" x14ac:dyDescent="0.25">
      <c r="A41" s="7" t="s">
        <v>43</v>
      </c>
      <c r="B41" s="5"/>
      <c r="C41" s="5"/>
      <c r="D41" s="5"/>
      <c r="E41" s="5"/>
      <c r="F41" s="5"/>
      <c r="G41" s="5"/>
      <c r="H41" s="5"/>
      <c r="I41" s="5"/>
      <c r="J41" s="35"/>
      <c r="K41" s="5">
        <f t="shared" si="0"/>
        <v>0</v>
      </c>
      <c r="L41" s="5"/>
      <c r="M41" s="5"/>
      <c r="N41" s="35"/>
      <c r="O41" s="5">
        <f t="shared" si="1"/>
        <v>0</v>
      </c>
      <c r="P41" s="35"/>
      <c r="Q41" s="5">
        <f t="shared" si="2"/>
        <v>0</v>
      </c>
    </row>
    <row r="42" spans="1:17" s="1" customFormat="1" ht="10.5" x14ac:dyDescent="0.25">
      <c r="A42" s="8" t="s">
        <v>44</v>
      </c>
      <c r="B42" s="5"/>
      <c r="C42" s="5"/>
      <c r="D42" s="5"/>
      <c r="E42" s="5"/>
      <c r="F42" s="5"/>
      <c r="G42" s="5"/>
      <c r="H42" s="5"/>
      <c r="I42" s="5"/>
      <c r="J42" s="35"/>
      <c r="K42" s="5">
        <f t="shared" si="0"/>
        <v>0</v>
      </c>
      <c r="L42" s="5"/>
      <c r="M42" s="5"/>
      <c r="N42" s="35"/>
      <c r="O42" s="5">
        <f t="shared" si="1"/>
        <v>0</v>
      </c>
      <c r="P42" s="35"/>
      <c r="Q42" s="5">
        <f t="shared" si="2"/>
        <v>0</v>
      </c>
    </row>
    <row r="43" spans="1:17" s="1" customFormat="1" ht="10.5" x14ac:dyDescent="0.25">
      <c r="A43" s="14" t="s">
        <v>45</v>
      </c>
      <c r="B43" s="5"/>
      <c r="C43" s="5"/>
      <c r="D43" s="5"/>
      <c r="E43" s="5"/>
      <c r="F43" s="5"/>
      <c r="G43" s="5"/>
      <c r="H43" s="5"/>
      <c r="I43" s="5"/>
      <c r="J43" s="35"/>
      <c r="K43" s="5">
        <f t="shared" si="0"/>
        <v>0</v>
      </c>
      <c r="L43" s="5"/>
      <c r="M43" s="5"/>
      <c r="N43" s="35"/>
      <c r="O43" s="5">
        <f t="shared" si="1"/>
        <v>0</v>
      </c>
      <c r="P43" s="35"/>
      <c r="Q43" s="5">
        <f t="shared" si="2"/>
        <v>0</v>
      </c>
    </row>
    <row r="44" spans="1:17" s="1" customFormat="1" ht="10" x14ac:dyDescent="0.2">
      <c r="A44" s="15" t="s">
        <v>45</v>
      </c>
      <c r="B44" s="10">
        <v>0</v>
      </c>
      <c r="C44" s="10">
        <v>563.33932371000003</v>
      </c>
      <c r="D44" s="10">
        <v>169207.99225149999</v>
      </c>
      <c r="E44" s="10">
        <v>0</v>
      </c>
      <c r="F44" s="10">
        <v>21349.13074701008</v>
      </c>
      <c r="G44" s="10">
        <v>0</v>
      </c>
      <c r="H44" s="10">
        <v>0</v>
      </c>
      <c r="I44" s="10">
        <v>34203.91012329168</v>
      </c>
      <c r="J44" s="36"/>
      <c r="K44" s="10">
        <f t="shared" si="0"/>
        <v>224761.03312180177</v>
      </c>
      <c r="L44" s="10">
        <v>0</v>
      </c>
      <c r="M44" s="10">
        <v>0</v>
      </c>
      <c r="N44" s="36"/>
      <c r="O44" s="10">
        <f t="shared" si="1"/>
        <v>0</v>
      </c>
      <c r="P44" s="36"/>
      <c r="Q44" s="10">
        <f t="shared" si="2"/>
        <v>225324.37244551178</v>
      </c>
    </row>
    <row r="45" spans="1:17" s="1" customFormat="1" ht="10" x14ac:dyDescent="0.2">
      <c r="A45" s="15" t="s">
        <v>357</v>
      </c>
      <c r="B45" s="10">
        <v>0</v>
      </c>
      <c r="C45" s="10">
        <v>0</v>
      </c>
      <c r="D45" s="10">
        <v>0</v>
      </c>
      <c r="E45" s="10">
        <v>0</v>
      </c>
      <c r="F45" s="10">
        <v>0</v>
      </c>
      <c r="G45" s="10">
        <v>382.53904064199997</v>
      </c>
      <c r="H45" s="10">
        <v>0</v>
      </c>
      <c r="I45" s="10">
        <v>0</v>
      </c>
      <c r="J45" s="36"/>
      <c r="K45" s="10">
        <f t="shared" si="0"/>
        <v>382.53904064199997</v>
      </c>
      <c r="L45" s="10">
        <v>0</v>
      </c>
      <c r="M45" s="10">
        <v>0</v>
      </c>
      <c r="N45" s="36"/>
      <c r="O45" s="10">
        <f t="shared" si="1"/>
        <v>0</v>
      </c>
      <c r="P45" s="36"/>
      <c r="Q45" s="10">
        <f t="shared" si="2"/>
        <v>382.53904064199997</v>
      </c>
    </row>
    <row r="46" spans="1:17" s="1" customFormat="1" ht="10" x14ac:dyDescent="0.2">
      <c r="A46" s="15" t="s">
        <v>358</v>
      </c>
      <c r="B46" s="10">
        <v>0</v>
      </c>
      <c r="C46" s="10">
        <v>0</v>
      </c>
      <c r="D46" s="10">
        <v>0</v>
      </c>
      <c r="E46" s="10">
        <v>0</v>
      </c>
      <c r="F46" s="10">
        <v>0</v>
      </c>
      <c r="G46" s="10">
        <v>156.49324389899999</v>
      </c>
      <c r="H46" s="10">
        <v>0</v>
      </c>
      <c r="I46" s="10">
        <v>0</v>
      </c>
      <c r="J46" s="36"/>
      <c r="K46" s="10">
        <f t="shared" si="0"/>
        <v>156.49324389899999</v>
      </c>
      <c r="L46" s="10">
        <v>0</v>
      </c>
      <c r="M46" s="10">
        <v>0</v>
      </c>
      <c r="N46" s="36"/>
      <c r="O46" s="10">
        <f t="shared" si="1"/>
        <v>0</v>
      </c>
      <c r="P46" s="36"/>
      <c r="Q46" s="10">
        <f t="shared" si="2"/>
        <v>156.49324389899999</v>
      </c>
    </row>
    <row r="47" spans="1:17" s="1" customFormat="1" ht="10" x14ac:dyDescent="0.2">
      <c r="A47" s="15" t="s">
        <v>359</v>
      </c>
      <c r="B47" s="10">
        <v>0</v>
      </c>
      <c r="C47" s="10">
        <v>0</v>
      </c>
      <c r="D47" s="10">
        <v>0</v>
      </c>
      <c r="E47" s="10">
        <v>0</v>
      </c>
      <c r="F47" s="10">
        <v>0</v>
      </c>
      <c r="G47" s="10">
        <v>339.06869511449997</v>
      </c>
      <c r="H47" s="10">
        <v>0</v>
      </c>
      <c r="I47" s="10">
        <v>0</v>
      </c>
      <c r="J47" s="36"/>
      <c r="K47" s="10">
        <f t="shared" si="0"/>
        <v>339.06869511449997</v>
      </c>
      <c r="L47" s="10">
        <v>0</v>
      </c>
      <c r="M47" s="10">
        <v>0</v>
      </c>
      <c r="N47" s="36"/>
      <c r="O47" s="10">
        <f t="shared" si="1"/>
        <v>0</v>
      </c>
      <c r="P47" s="36"/>
      <c r="Q47" s="10">
        <f t="shared" si="2"/>
        <v>339.06869511449997</v>
      </c>
    </row>
    <row r="48" spans="1:17" s="1" customFormat="1" ht="10.5" x14ac:dyDescent="0.25">
      <c r="A48" s="16" t="s">
        <v>360</v>
      </c>
      <c r="B48" s="12">
        <f t="shared" ref="B48:Q48" si="7">SUM(B44:B47)</f>
        <v>0</v>
      </c>
      <c r="C48" s="12">
        <f t="shared" si="7"/>
        <v>563.33932371000003</v>
      </c>
      <c r="D48" s="12">
        <f t="shared" si="7"/>
        <v>169207.99225149999</v>
      </c>
      <c r="E48" s="12">
        <f t="shared" si="7"/>
        <v>0</v>
      </c>
      <c r="F48" s="12">
        <f t="shared" si="7"/>
        <v>21349.13074701008</v>
      </c>
      <c r="G48" s="12">
        <f t="shared" si="7"/>
        <v>878.10097965549994</v>
      </c>
      <c r="H48" s="12">
        <f t="shared" si="7"/>
        <v>0</v>
      </c>
      <c r="I48" s="12">
        <f t="shared" si="7"/>
        <v>34203.91012329168</v>
      </c>
      <c r="J48" s="37">
        <f t="shared" si="7"/>
        <v>0</v>
      </c>
      <c r="K48" s="12">
        <f t="shared" si="0"/>
        <v>225639.13410145725</v>
      </c>
      <c r="L48" s="12">
        <f t="shared" si="7"/>
        <v>0</v>
      </c>
      <c r="M48" s="12">
        <f t="shared" si="7"/>
        <v>0</v>
      </c>
      <c r="N48" s="37">
        <f t="shared" si="7"/>
        <v>0</v>
      </c>
      <c r="O48" s="12">
        <f t="shared" si="1"/>
        <v>0</v>
      </c>
      <c r="P48" s="37">
        <f t="shared" si="7"/>
        <v>0</v>
      </c>
      <c r="Q48" s="12">
        <f t="shared" si="2"/>
        <v>226202.47342516726</v>
      </c>
    </row>
    <row r="49" spans="1:17" s="1" customFormat="1" ht="10.5" x14ac:dyDescent="0.25">
      <c r="A49" s="11" t="s">
        <v>46</v>
      </c>
      <c r="B49" s="12">
        <f t="shared" ref="B49:Q49" si="8">SUM(B48)</f>
        <v>0</v>
      </c>
      <c r="C49" s="12">
        <f t="shared" si="8"/>
        <v>563.33932371000003</v>
      </c>
      <c r="D49" s="12">
        <f t="shared" si="8"/>
        <v>169207.99225149999</v>
      </c>
      <c r="E49" s="12">
        <f t="shared" si="8"/>
        <v>0</v>
      </c>
      <c r="F49" s="12">
        <f t="shared" si="8"/>
        <v>21349.13074701008</v>
      </c>
      <c r="G49" s="12">
        <f t="shared" si="8"/>
        <v>878.10097965549994</v>
      </c>
      <c r="H49" s="12">
        <f t="shared" si="8"/>
        <v>0</v>
      </c>
      <c r="I49" s="12">
        <f t="shared" si="8"/>
        <v>34203.91012329168</v>
      </c>
      <c r="J49" s="37">
        <f t="shared" si="8"/>
        <v>0</v>
      </c>
      <c r="K49" s="12">
        <f t="shared" si="0"/>
        <v>225639.13410145725</v>
      </c>
      <c r="L49" s="12">
        <f t="shared" si="8"/>
        <v>0</v>
      </c>
      <c r="M49" s="12">
        <f t="shared" si="8"/>
        <v>0</v>
      </c>
      <c r="N49" s="37">
        <f t="shared" si="8"/>
        <v>0</v>
      </c>
      <c r="O49" s="12">
        <f t="shared" si="1"/>
        <v>0</v>
      </c>
      <c r="P49" s="37">
        <f t="shared" si="8"/>
        <v>0</v>
      </c>
      <c r="Q49" s="12">
        <f t="shared" si="2"/>
        <v>226202.47342516726</v>
      </c>
    </row>
    <row r="50" spans="1:17" s="1" customFormat="1" ht="10.5" x14ac:dyDescent="0.25">
      <c r="A50" s="8" t="s">
        <v>361</v>
      </c>
      <c r="B50" s="5"/>
      <c r="C50" s="5"/>
      <c r="D50" s="5"/>
      <c r="E50" s="5"/>
      <c r="F50" s="5"/>
      <c r="G50" s="5"/>
      <c r="H50" s="5"/>
      <c r="I50" s="5"/>
      <c r="J50" s="35"/>
      <c r="K50" s="5">
        <f t="shared" si="0"/>
        <v>0</v>
      </c>
      <c r="L50" s="5"/>
      <c r="M50" s="5"/>
      <c r="N50" s="35"/>
      <c r="O50" s="5">
        <f t="shared" si="1"/>
        <v>0</v>
      </c>
      <c r="P50" s="35"/>
      <c r="Q50" s="5">
        <f t="shared" si="2"/>
        <v>0</v>
      </c>
    </row>
    <row r="51" spans="1:17" s="1" customFormat="1" ht="10" x14ac:dyDescent="0.2">
      <c r="A51" s="9" t="s">
        <v>362</v>
      </c>
      <c r="B51" s="10">
        <v>0</v>
      </c>
      <c r="C51" s="10">
        <v>0</v>
      </c>
      <c r="D51" s="10">
        <v>0</v>
      </c>
      <c r="E51" s="10">
        <v>0</v>
      </c>
      <c r="F51" s="10">
        <v>0</v>
      </c>
      <c r="G51" s="10">
        <v>3477.6276422000001</v>
      </c>
      <c r="H51" s="10">
        <v>0</v>
      </c>
      <c r="I51" s="10">
        <v>0</v>
      </c>
      <c r="J51" s="36"/>
      <c r="K51" s="10">
        <f t="shared" si="0"/>
        <v>3477.6276422000001</v>
      </c>
      <c r="L51" s="10">
        <v>0</v>
      </c>
      <c r="M51" s="10">
        <v>0</v>
      </c>
      <c r="N51" s="36"/>
      <c r="O51" s="10">
        <f t="shared" si="1"/>
        <v>0</v>
      </c>
      <c r="P51" s="36"/>
      <c r="Q51" s="10">
        <f t="shared" si="2"/>
        <v>3477.6276422000001</v>
      </c>
    </row>
    <row r="52" spans="1:17" s="1" customFormat="1" ht="10.5" x14ac:dyDescent="0.25">
      <c r="A52" s="11" t="s">
        <v>363</v>
      </c>
      <c r="B52" s="12">
        <f t="shared" ref="B52:Q52" si="9">SUM(B51)</f>
        <v>0</v>
      </c>
      <c r="C52" s="12">
        <f t="shared" si="9"/>
        <v>0</v>
      </c>
      <c r="D52" s="12">
        <f t="shared" si="9"/>
        <v>0</v>
      </c>
      <c r="E52" s="12">
        <f t="shared" si="9"/>
        <v>0</v>
      </c>
      <c r="F52" s="12">
        <f t="shared" si="9"/>
        <v>0</v>
      </c>
      <c r="G52" s="12">
        <f t="shared" si="9"/>
        <v>3477.6276422000001</v>
      </c>
      <c r="H52" s="12">
        <f t="shared" si="9"/>
        <v>0</v>
      </c>
      <c r="I52" s="12">
        <f t="shared" si="9"/>
        <v>0</v>
      </c>
      <c r="J52" s="37">
        <f t="shared" si="9"/>
        <v>0</v>
      </c>
      <c r="K52" s="12">
        <f t="shared" si="0"/>
        <v>3477.6276422000001</v>
      </c>
      <c r="L52" s="12">
        <f t="shared" si="9"/>
        <v>0</v>
      </c>
      <c r="M52" s="12">
        <f t="shared" si="9"/>
        <v>0</v>
      </c>
      <c r="N52" s="37">
        <f t="shared" si="9"/>
        <v>0</v>
      </c>
      <c r="O52" s="12">
        <f t="shared" si="1"/>
        <v>0</v>
      </c>
      <c r="P52" s="37">
        <f t="shared" si="9"/>
        <v>0</v>
      </c>
      <c r="Q52" s="12">
        <f t="shared" si="2"/>
        <v>3477.6276422000001</v>
      </c>
    </row>
    <row r="53" spans="1:17" s="1" customFormat="1" ht="10.5" x14ac:dyDescent="0.25">
      <c r="A53" s="8" t="s">
        <v>47</v>
      </c>
      <c r="B53" s="5"/>
      <c r="C53" s="5"/>
      <c r="D53" s="5"/>
      <c r="E53" s="5"/>
      <c r="F53" s="5"/>
      <c r="G53" s="5"/>
      <c r="H53" s="5"/>
      <c r="I53" s="5"/>
      <c r="J53" s="35"/>
      <c r="K53" s="5">
        <f t="shared" si="0"/>
        <v>0</v>
      </c>
      <c r="L53" s="5"/>
      <c r="M53" s="5"/>
      <c r="N53" s="35"/>
      <c r="O53" s="5">
        <f t="shared" si="1"/>
        <v>0</v>
      </c>
      <c r="P53" s="35"/>
      <c r="Q53" s="5">
        <f t="shared" si="2"/>
        <v>0</v>
      </c>
    </row>
    <row r="54" spans="1:17" s="1" customFormat="1" ht="10" x14ac:dyDescent="0.2">
      <c r="A54" s="9" t="s">
        <v>48</v>
      </c>
      <c r="B54" s="10">
        <v>0</v>
      </c>
      <c r="C54" s="10">
        <v>0</v>
      </c>
      <c r="D54" s="10">
        <v>0</v>
      </c>
      <c r="E54" s="10">
        <v>1950.827274</v>
      </c>
      <c r="F54" s="10">
        <v>0</v>
      </c>
      <c r="G54" s="10">
        <v>0</v>
      </c>
      <c r="H54" s="10">
        <v>0</v>
      </c>
      <c r="I54" s="10">
        <v>0</v>
      </c>
      <c r="J54" s="36">
        <v>-1950.827274</v>
      </c>
      <c r="K54" s="10">
        <f t="shared" si="0"/>
        <v>0</v>
      </c>
      <c r="L54" s="10">
        <v>0</v>
      </c>
      <c r="M54" s="10">
        <v>0</v>
      </c>
      <c r="N54" s="36">
        <v>0</v>
      </c>
      <c r="O54" s="10">
        <f t="shared" si="1"/>
        <v>0</v>
      </c>
      <c r="P54" s="36">
        <v>0</v>
      </c>
      <c r="Q54" s="10">
        <f t="shared" si="2"/>
        <v>0</v>
      </c>
    </row>
    <row r="55" spans="1:17" s="1" customFormat="1" ht="10" x14ac:dyDescent="0.2">
      <c r="A55" s="9" t="s">
        <v>49</v>
      </c>
      <c r="B55" s="10">
        <v>765246.2</v>
      </c>
      <c r="C55" s="10">
        <v>130.26767839999999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36">
        <v>0</v>
      </c>
      <c r="K55" s="10">
        <f t="shared" si="0"/>
        <v>0</v>
      </c>
      <c r="L55" s="10">
        <v>0</v>
      </c>
      <c r="M55" s="10">
        <v>0</v>
      </c>
      <c r="N55" s="36">
        <v>0</v>
      </c>
      <c r="O55" s="10">
        <f t="shared" si="1"/>
        <v>0</v>
      </c>
      <c r="P55" s="36">
        <v>-765376.46767839999</v>
      </c>
      <c r="Q55" s="10">
        <f t="shared" si="2"/>
        <v>-3.5953462429461069E-11</v>
      </c>
    </row>
    <row r="56" spans="1:17" s="1" customFormat="1" ht="10" x14ac:dyDescent="0.2">
      <c r="A56" s="9" t="s">
        <v>50</v>
      </c>
      <c r="B56" s="10">
        <v>1149050.52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36">
        <v>0</v>
      </c>
      <c r="K56" s="10">
        <f t="shared" si="0"/>
        <v>0</v>
      </c>
      <c r="L56" s="10">
        <v>119.23050000000001</v>
      </c>
      <c r="M56" s="10">
        <v>0</v>
      </c>
      <c r="N56" s="36">
        <v>-119.23050000000001</v>
      </c>
      <c r="O56" s="10">
        <f t="shared" si="1"/>
        <v>0</v>
      </c>
      <c r="P56" s="36">
        <v>-1149050.52</v>
      </c>
      <c r="Q56" s="10">
        <f t="shared" si="2"/>
        <v>0</v>
      </c>
    </row>
    <row r="57" spans="1:17" s="1" customFormat="1" ht="10" x14ac:dyDescent="0.2">
      <c r="A57" s="9" t="s">
        <v>51</v>
      </c>
      <c r="B57" s="10">
        <v>0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36">
        <v>0</v>
      </c>
      <c r="K57" s="10">
        <f t="shared" si="0"/>
        <v>0</v>
      </c>
      <c r="L57" s="10">
        <v>119.23050000000001</v>
      </c>
      <c r="M57" s="10">
        <v>0</v>
      </c>
      <c r="N57" s="36">
        <v>-119.23050000000001</v>
      </c>
      <c r="O57" s="10">
        <f t="shared" si="1"/>
        <v>0</v>
      </c>
      <c r="P57" s="36">
        <v>0</v>
      </c>
      <c r="Q57" s="10">
        <f t="shared" si="2"/>
        <v>0</v>
      </c>
    </row>
    <row r="58" spans="1:17" s="1" customFormat="1" ht="10" x14ac:dyDescent="0.2">
      <c r="A58" s="9" t="s">
        <v>52</v>
      </c>
      <c r="B58" s="10">
        <v>0</v>
      </c>
      <c r="C58" s="10">
        <v>0</v>
      </c>
      <c r="D58" s="10">
        <v>0</v>
      </c>
      <c r="E58" s="10">
        <v>0</v>
      </c>
      <c r="F58" s="10">
        <v>-16773.17616239284</v>
      </c>
      <c r="G58" s="10">
        <v>0</v>
      </c>
      <c r="H58" s="10">
        <v>0</v>
      </c>
      <c r="I58" s="10">
        <v>0</v>
      </c>
      <c r="J58" s="36">
        <v>16773.17616239284</v>
      </c>
      <c r="K58" s="10">
        <f t="shared" si="0"/>
        <v>0</v>
      </c>
      <c r="L58" s="10">
        <v>0</v>
      </c>
      <c r="M58" s="10">
        <v>0</v>
      </c>
      <c r="N58" s="36">
        <v>0</v>
      </c>
      <c r="O58" s="10">
        <f t="shared" si="1"/>
        <v>0</v>
      </c>
      <c r="P58" s="36">
        <v>0</v>
      </c>
      <c r="Q58" s="10">
        <f t="shared" si="2"/>
        <v>0</v>
      </c>
    </row>
    <row r="59" spans="1:17" s="1" customFormat="1" ht="10" x14ac:dyDescent="0.2">
      <c r="A59" s="9" t="s">
        <v>53</v>
      </c>
      <c r="B59" s="10">
        <v>0</v>
      </c>
      <c r="C59" s="10">
        <v>0</v>
      </c>
      <c r="D59" s="10">
        <v>1011.1550214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36">
        <v>-1011.1550214</v>
      </c>
      <c r="K59" s="10">
        <f t="shared" si="0"/>
        <v>0</v>
      </c>
      <c r="L59" s="10">
        <v>0</v>
      </c>
      <c r="M59" s="10">
        <v>0</v>
      </c>
      <c r="N59" s="36">
        <v>0</v>
      </c>
      <c r="O59" s="10">
        <f t="shared" si="1"/>
        <v>0</v>
      </c>
      <c r="P59" s="36">
        <v>0</v>
      </c>
      <c r="Q59" s="10">
        <f t="shared" si="2"/>
        <v>0</v>
      </c>
    </row>
    <row r="60" spans="1:17" s="1" customFormat="1" ht="10" x14ac:dyDescent="0.2">
      <c r="A60" s="9" t="s">
        <v>54</v>
      </c>
      <c r="B60" s="10">
        <v>920375.62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36">
        <v>0</v>
      </c>
      <c r="K60" s="10">
        <f t="shared" si="0"/>
        <v>0</v>
      </c>
      <c r="L60" s="10">
        <v>0</v>
      </c>
      <c r="M60" s="10">
        <v>0</v>
      </c>
      <c r="N60" s="36">
        <v>0</v>
      </c>
      <c r="O60" s="10">
        <f t="shared" si="1"/>
        <v>0</v>
      </c>
      <c r="P60" s="36">
        <v>-920375.62</v>
      </c>
      <c r="Q60" s="10">
        <f t="shared" si="2"/>
        <v>0</v>
      </c>
    </row>
    <row r="61" spans="1:17" s="1" customFormat="1" ht="10" x14ac:dyDescent="0.2">
      <c r="A61" s="9" t="s">
        <v>327</v>
      </c>
      <c r="B61" s="10">
        <v>-8250.84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36">
        <v>0</v>
      </c>
      <c r="K61" s="10">
        <f t="shared" si="0"/>
        <v>0</v>
      </c>
      <c r="L61" s="10">
        <v>0</v>
      </c>
      <c r="M61" s="10">
        <v>0</v>
      </c>
      <c r="N61" s="36">
        <v>0</v>
      </c>
      <c r="O61" s="10">
        <f t="shared" si="1"/>
        <v>0</v>
      </c>
      <c r="P61" s="36">
        <v>8250.84</v>
      </c>
      <c r="Q61" s="10">
        <f t="shared" si="2"/>
        <v>0</v>
      </c>
    </row>
    <row r="62" spans="1:17" s="1" customFormat="1" ht="10" x14ac:dyDescent="0.2">
      <c r="A62" s="9" t="s">
        <v>328</v>
      </c>
      <c r="B62" s="10">
        <v>0</v>
      </c>
      <c r="C62" s="10">
        <v>0</v>
      </c>
      <c r="D62" s="10">
        <v>2.26498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36">
        <v>-2.26498</v>
      </c>
      <c r="K62" s="10">
        <f t="shared" si="0"/>
        <v>0</v>
      </c>
      <c r="L62" s="10">
        <v>0</v>
      </c>
      <c r="M62" s="10">
        <v>0</v>
      </c>
      <c r="N62" s="36">
        <v>0</v>
      </c>
      <c r="O62" s="10">
        <f t="shared" si="1"/>
        <v>0</v>
      </c>
      <c r="P62" s="36">
        <v>0</v>
      </c>
      <c r="Q62" s="10">
        <f t="shared" si="2"/>
        <v>0</v>
      </c>
    </row>
    <row r="63" spans="1:17" s="1" customFormat="1" ht="10" x14ac:dyDescent="0.2">
      <c r="A63" s="9" t="s">
        <v>364</v>
      </c>
      <c r="B63" s="10">
        <v>24500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36">
        <v>0</v>
      </c>
      <c r="K63" s="10">
        <f t="shared" si="0"/>
        <v>0</v>
      </c>
      <c r="L63" s="10">
        <v>0</v>
      </c>
      <c r="M63" s="10">
        <v>0</v>
      </c>
      <c r="N63" s="36">
        <v>0</v>
      </c>
      <c r="O63" s="10">
        <f t="shared" si="1"/>
        <v>0</v>
      </c>
      <c r="P63" s="36">
        <v>-24500</v>
      </c>
      <c r="Q63" s="10">
        <f t="shared" si="2"/>
        <v>0</v>
      </c>
    </row>
    <row r="64" spans="1:17" s="1" customFormat="1" ht="10.5" x14ac:dyDescent="0.25">
      <c r="A64" s="11" t="s">
        <v>55</v>
      </c>
      <c r="B64" s="12">
        <f t="shared" ref="B64:Q64" si="10">SUM(B54:B63)</f>
        <v>2850921.5</v>
      </c>
      <c r="C64" s="12">
        <f t="shared" si="10"/>
        <v>130.26767839999999</v>
      </c>
      <c r="D64" s="12">
        <f t="shared" si="10"/>
        <v>1013.4200014</v>
      </c>
      <c r="E64" s="12">
        <f t="shared" si="10"/>
        <v>1950.827274</v>
      </c>
      <c r="F64" s="12">
        <f t="shared" si="10"/>
        <v>-16773.17616239284</v>
      </c>
      <c r="G64" s="12">
        <f t="shared" si="10"/>
        <v>0</v>
      </c>
      <c r="H64" s="12">
        <f t="shared" si="10"/>
        <v>0</v>
      </c>
      <c r="I64" s="12">
        <f t="shared" si="10"/>
        <v>0</v>
      </c>
      <c r="J64" s="37">
        <f t="shared" si="10"/>
        <v>13808.92888699284</v>
      </c>
      <c r="K64" s="12">
        <f t="shared" si="0"/>
        <v>0</v>
      </c>
      <c r="L64" s="12">
        <f t="shared" si="10"/>
        <v>238.46100000000001</v>
      </c>
      <c r="M64" s="12">
        <f t="shared" si="10"/>
        <v>0</v>
      </c>
      <c r="N64" s="37">
        <f t="shared" si="10"/>
        <v>-238.46100000000001</v>
      </c>
      <c r="O64" s="12">
        <f t="shared" si="1"/>
        <v>0</v>
      </c>
      <c r="P64" s="37">
        <f t="shared" si="10"/>
        <v>-2851051.7676784</v>
      </c>
      <c r="Q64" s="12">
        <f t="shared" si="2"/>
        <v>-3.5953462429461069E-11</v>
      </c>
    </row>
    <row r="65" spans="1:17" s="1" customFormat="1" ht="10.5" x14ac:dyDescent="0.25">
      <c r="A65" s="8" t="s">
        <v>56</v>
      </c>
      <c r="B65" s="5"/>
      <c r="C65" s="5"/>
      <c r="D65" s="5"/>
      <c r="E65" s="5"/>
      <c r="F65" s="5"/>
      <c r="G65" s="5"/>
      <c r="H65" s="5"/>
      <c r="I65" s="5"/>
      <c r="J65" s="35"/>
      <c r="K65" s="5">
        <f t="shared" si="0"/>
        <v>0</v>
      </c>
      <c r="L65" s="5"/>
      <c r="M65" s="5"/>
      <c r="N65" s="35"/>
      <c r="O65" s="5">
        <f t="shared" si="1"/>
        <v>0</v>
      </c>
      <c r="P65" s="35"/>
      <c r="Q65" s="5">
        <f t="shared" si="2"/>
        <v>0</v>
      </c>
    </row>
    <row r="66" spans="1:17" s="1" customFormat="1" ht="10" x14ac:dyDescent="0.2">
      <c r="A66" s="9" t="s">
        <v>57</v>
      </c>
      <c r="B66" s="10">
        <v>0</v>
      </c>
      <c r="C66" s="10">
        <v>0</v>
      </c>
      <c r="D66" s="10">
        <v>739173.39177500003</v>
      </c>
      <c r="E66" s="10">
        <v>0</v>
      </c>
      <c r="F66" s="10">
        <v>236037.17965202176</v>
      </c>
      <c r="G66" s="10">
        <v>0</v>
      </c>
      <c r="H66" s="10">
        <v>-6400.9240792000001</v>
      </c>
      <c r="I66" s="10">
        <v>0</v>
      </c>
      <c r="J66" s="36"/>
      <c r="K66" s="10">
        <f t="shared" si="0"/>
        <v>968809.64734782174</v>
      </c>
      <c r="L66" s="10">
        <v>0</v>
      </c>
      <c r="M66" s="10">
        <v>0</v>
      </c>
      <c r="N66" s="36"/>
      <c r="O66" s="10">
        <f t="shared" si="1"/>
        <v>0</v>
      </c>
      <c r="P66" s="36"/>
      <c r="Q66" s="10">
        <f t="shared" si="2"/>
        <v>968809.64734782174</v>
      </c>
    </row>
    <row r="67" spans="1:17" s="1" customFormat="1" ht="10" x14ac:dyDescent="0.2">
      <c r="A67" s="9" t="s">
        <v>365</v>
      </c>
      <c r="B67" s="10">
        <v>0</v>
      </c>
      <c r="C67" s="10">
        <v>0</v>
      </c>
      <c r="D67" s="10">
        <v>93523.198580800003</v>
      </c>
      <c r="E67" s="10">
        <v>0</v>
      </c>
      <c r="F67" s="10">
        <v>81332.563575826905</v>
      </c>
      <c r="G67" s="10">
        <v>103339.43550772499</v>
      </c>
      <c r="H67" s="10">
        <v>0</v>
      </c>
      <c r="I67" s="10">
        <v>0</v>
      </c>
      <c r="J67" s="36"/>
      <c r="K67" s="10">
        <f t="shared" si="0"/>
        <v>278195.1976643519</v>
      </c>
      <c r="L67" s="10">
        <v>0</v>
      </c>
      <c r="M67" s="10">
        <v>0</v>
      </c>
      <c r="N67" s="36"/>
      <c r="O67" s="10">
        <f t="shared" si="1"/>
        <v>0</v>
      </c>
      <c r="P67" s="36"/>
      <c r="Q67" s="10">
        <f t="shared" si="2"/>
        <v>278195.1976643519</v>
      </c>
    </row>
    <row r="68" spans="1:17" s="1" customFormat="1" ht="10" x14ac:dyDescent="0.2">
      <c r="A68" s="9" t="s">
        <v>3</v>
      </c>
      <c r="B68" s="10">
        <v>0</v>
      </c>
      <c r="C68" s="10">
        <v>0</v>
      </c>
      <c r="D68" s="10">
        <v>1280004.5234320001</v>
      </c>
      <c r="E68" s="10">
        <v>0</v>
      </c>
      <c r="F68" s="10">
        <v>33191.20889861761</v>
      </c>
      <c r="G68" s="10">
        <v>40334.568682528261</v>
      </c>
      <c r="H68" s="10">
        <v>-10829.265751499999</v>
      </c>
      <c r="I68" s="10">
        <v>0</v>
      </c>
      <c r="J68" s="36">
        <f xml:space="preserve"> - InternalSales!C6 - InternalSales!D6</f>
        <v>-15446.877983054075</v>
      </c>
      <c r="K68" s="10">
        <f t="shared" si="0"/>
        <v>1327254.157278592</v>
      </c>
      <c r="L68" s="10">
        <v>0</v>
      </c>
      <c r="M68" s="10">
        <v>0</v>
      </c>
      <c r="N68" s="36"/>
      <c r="O68" s="10">
        <f t="shared" si="1"/>
        <v>0</v>
      </c>
      <c r="P68" s="36">
        <f xml:space="preserve"> - InternalSales!B6</f>
        <v>-36015.825999999994</v>
      </c>
      <c r="Q68" s="10">
        <f t="shared" si="2"/>
        <v>1291238.3312785921</v>
      </c>
    </row>
    <row r="69" spans="1:17" s="1" customFormat="1" ht="10" x14ac:dyDescent="0.2">
      <c r="A69" s="9" t="s">
        <v>58</v>
      </c>
      <c r="B69" s="10">
        <v>0</v>
      </c>
      <c r="C69" s="10">
        <v>0</v>
      </c>
      <c r="D69" s="10">
        <v>612514.05673960003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36"/>
      <c r="K69" s="10">
        <f t="shared" si="0"/>
        <v>612514.05673960003</v>
      </c>
      <c r="L69" s="10">
        <v>0</v>
      </c>
      <c r="M69" s="10">
        <v>0</v>
      </c>
      <c r="N69" s="36"/>
      <c r="O69" s="10">
        <f t="shared" si="1"/>
        <v>0</v>
      </c>
      <c r="P69" s="36"/>
      <c r="Q69" s="10">
        <f t="shared" si="2"/>
        <v>612514.05673960003</v>
      </c>
    </row>
    <row r="70" spans="1:17" s="1" customFormat="1" ht="10" x14ac:dyDescent="0.2">
      <c r="A70" s="9" t="s">
        <v>59</v>
      </c>
      <c r="B70" s="10">
        <v>0</v>
      </c>
      <c r="C70" s="10">
        <v>0</v>
      </c>
      <c r="D70" s="10">
        <v>245662.30155229999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36"/>
      <c r="K70" s="10">
        <f t="shared" si="0"/>
        <v>245662.30155229999</v>
      </c>
      <c r="L70" s="10">
        <v>0</v>
      </c>
      <c r="M70" s="10">
        <v>0</v>
      </c>
      <c r="N70" s="36"/>
      <c r="O70" s="10">
        <f t="shared" si="1"/>
        <v>0</v>
      </c>
      <c r="P70" s="36"/>
      <c r="Q70" s="10">
        <f t="shared" si="2"/>
        <v>245662.30155229999</v>
      </c>
    </row>
    <row r="71" spans="1:17" s="1" customFormat="1" ht="10" x14ac:dyDescent="0.2">
      <c r="A71" s="9" t="s">
        <v>60</v>
      </c>
      <c r="B71" s="10">
        <v>0</v>
      </c>
      <c r="C71" s="10">
        <v>0</v>
      </c>
      <c r="D71" s="10">
        <v>64944.530308300004</v>
      </c>
      <c r="E71" s="10">
        <v>0</v>
      </c>
      <c r="F71" s="10">
        <v>3292.3983762054499</v>
      </c>
      <c r="G71" s="10">
        <v>0</v>
      </c>
      <c r="H71" s="10">
        <v>0</v>
      </c>
      <c r="I71" s="10">
        <v>0</v>
      </c>
      <c r="J71" s="36"/>
      <c r="K71" s="10">
        <f t="shared" si="0"/>
        <v>68236.928684505459</v>
      </c>
      <c r="L71" s="10">
        <v>0</v>
      </c>
      <c r="M71" s="10">
        <v>0</v>
      </c>
      <c r="N71" s="36"/>
      <c r="O71" s="10">
        <f t="shared" si="1"/>
        <v>0</v>
      </c>
      <c r="P71" s="36"/>
      <c r="Q71" s="10">
        <f t="shared" si="2"/>
        <v>68236.928684505459</v>
      </c>
    </row>
    <row r="72" spans="1:17" s="1" customFormat="1" ht="10" x14ac:dyDescent="0.2">
      <c r="A72" s="9" t="s">
        <v>329</v>
      </c>
      <c r="B72" s="10">
        <v>0</v>
      </c>
      <c r="C72" s="10">
        <v>0</v>
      </c>
      <c r="D72" s="10">
        <v>-43946.274449999997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36"/>
      <c r="K72" s="10">
        <f t="shared" si="0"/>
        <v>-43946.274449999997</v>
      </c>
      <c r="L72" s="10">
        <v>0</v>
      </c>
      <c r="M72" s="10">
        <v>0</v>
      </c>
      <c r="N72" s="36"/>
      <c r="O72" s="10">
        <f t="shared" si="1"/>
        <v>0</v>
      </c>
      <c r="P72" s="36"/>
      <c r="Q72" s="10">
        <f t="shared" si="2"/>
        <v>-43946.274449999997</v>
      </c>
    </row>
    <row r="73" spans="1:17" s="1" customFormat="1" ht="10" x14ac:dyDescent="0.2">
      <c r="A73" s="9" t="s">
        <v>428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1004.16498168525</v>
      </c>
      <c r="H73" s="10">
        <v>0</v>
      </c>
      <c r="I73" s="10">
        <v>0</v>
      </c>
      <c r="J73" s="36"/>
      <c r="K73" s="10">
        <f t="shared" si="0"/>
        <v>1004.16498168525</v>
      </c>
      <c r="L73" s="10">
        <v>0</v>
      </c>
      <c r="M73" s="10">
        <v>0</v>
      </c>
      <c r="N73" s="36"/>
      <c r="O73" s="10">
        <f t="shared" si="1"/>
        <v>0</v>
      </c>
      <c r="P73" s="36"/>
      <c r="Q73" s="10">
        <f t="shared" si="2"/>
        <v>1004.16498168525</v>
      </c>
    </row>
    <row r="74" spans="1:17" s="1" customFormat="1" ht="10.5" x14ac:dyDescent="0.25">
      <c r="A74" s="11" t="s">
        <v>61</v>
      </c>
      <c r="B74" s="12">
        <f t="shared" ref="B74:Q74" si="11">SUM(B66:B73)</f>
        <v>0</v>
      </c>
      <c r="C74" s="12">
        <f t="shared" si="11"/>
        <v>0</v>
      </c>
      <c r="D74" s="12">
        <f t="shared" si="11"/>
        <v>2991875.7279380001</v>
      </c>
      <c r="E74" s="12">
        <f t="shared" si="11"/>
        <v>0</v>
      </c>
      <c r="F74" s="12">
        <f t="shared" si="11"/>
        <v>353853.35050267173</v>
      </c>
      <c r="G74" s="12">
        <f t="shared" si="11"/>
        <v>144678.16917193853</v>
      </c>
      <c r="H74" s="12">
        <f t="shared" si="11"/>
        <v>-17230.189830700001</v>
      </c>
      <c r="I74" s="12">
        <f t="shared" si="11"/>
        <v>0</v>
      </c>
      <c r="J74" s="37">
        <f t="shared" si="11"/>
        <v>-15446.877983054075</v>
      </c>
      <c r="K74" s="12">
        <f t="shared" si="0"/>
        <v>3457730.1797988564</v>
      </c>
      <c r="L74" s="12">
        <f t="shared" si="11"/>
        <v>0</v>
      </c>
      <c r="M74" s="12">
        <f t="shared" si="11"/>
        <v>0</v>
      </c>
      <c r="N74" s="37">
        <f t="shared" si="11"/>
        <v>0</v>
      </c>
      <c r="O74" s="12">
        <f t="shared" si="1"/>
        <v>0</v>
      </c>
      <c r="P74" s="37">
        <f t="shared" si="11"/>
        <v>-36015.825999999994</v>
      </c>
      <c r="Q74" s="12">
        <f t="shared" si="2"/>
        <v>3421714.3537988565</v>
      </c>
    </row>
    <row r="75" spans="1:17" s="1" customFormat="1" ht="10" x14ac:dyDescent="0.2">
      <c r="A75" s="17" t="s">
        <v>62</v>
      </c>
      <c r="B75" s="10">
        <v>0</v>
      </c>
      <c r="C75" s="10">
        <v>0</v>
      </c>
      <c r="D75" s="10">
        <v>28748.938144</v>
      </c>
      <c r="E75" s="10">
        <v>1308.2977476000001</v>
      </c>
      <c r="F75" s="10">
        <v>0</v>
      </c>
      <c r="G75" s="10">
        <v>0</v>
      </c>
      <c r="H75" s="10">
        <v>50.792176499999997</v>
      </c>
      <c r="I75" s="10">
        <v>0</v>
      </c>
      <c r="J75" s="36"/>
      <c r="K75" s="10">
        <f t="shared" si="0"/>
        <v>30108.0280681</v>
      </c>
      <c r="L75" s="10">
        <v>0</v>
      </c>
      <c r="M75" s="10">
        <v>0</v>
      </c>
      <c r="N75" s="36"/>
      <c r="O75" s="10">
        <f t="shared" si="1"/>
        <v>0</v>
      </c>
      <c r="P75" s="36"/>
      <c r="Q75" s="10">
        <f t="shared" si="2"/>
        <v>30108.0280681</v>
      </c>
    </row>
    <row r="76" spans="1:17" s="1" customFormat="1" ht="10" x14ac:dyDescent="0.2">
      <c r="A76" s="17" t="s">
        <v>63</v>
      </c>
      <c r="B76" s="10">
        <v>0</v>
      </c>
      <c r="C76" s="10">
        <v>0</v>
      </c>
      <c r="D76" s="10">
        <v>0</v>
      </c>
      <c r="E76" s="10">
        <v>0</v>
      </c>
      <c r="F76" s="10">
        <v>25169.467199333023</v>
      </c>
      <c r="G76" s="10">
        <v>0</v>
      </c>
      <c r="H76" s="10">
        <v>0</v>
      </c>
      <c r="I76" s="10">
        <v>0</v>
      </c>
      <c r="J76" s="36"/>
      <c r="K76" s="10">
        <f t="shared" si="0"/>
        <v>25169.467199333023</v>
      </c>
      <c r="L76" s="10">
        <v>0</v>
      </c>
      <c r="M76" s="10">
        <v>0</v>
      </c>
      <c r="N76" s="36"/>
      <c r="O76" s="10">
        <f t="shared" si="1"/>
        <v>0</v>
      </c>
      <c r="P76" s="36"/>
      <c r="Q76" s="10">
        <f t="shared" si="2"/>
        <v>25169.467199333023</v>
      </c>
    </row>
    <row r="77" spans="1:17" s="1" customFormat="1" ht="10" x14ac:dyDescent="0.2">
      <c r="A77" s="17" t="s">
        <v>64</v>
      </c>
      <c r="B77" s="10">
        <v>0</v>
      </c>
      <c r="C77" s="10">
        <v>0</v>
      </c>
      <c r="D77" s="10">
        <v>-93671.645369999998</v>
      </c>
      <c r="E77" s="10">
        <v>0</v>
      </c>
      <c r="F77" s="10">
        <v>-81174.746253000107</v>
      </c>
      <c r="G77" s="10">
        <v>0</v>
      </c>
      <c r="H77" s="10">
        <v>0</v>
      </c>
      <c r="I77" s="10">
        <v>0</v>
      </c>
      <c r="J77" s="36"/>
      <c r="K77" s="10">
        <f t="shared" ref="K77:K140" si="12">SUM(D77:J77)</f>
        <v>-174846.39162300009</v>
      </c>
      <c r="L77" s="10">
        <v>0</v>
      </c>
      <c r="M77" s="10">
        <v>0</v>
      </c>
      <c r="N77" s="36"/>
      <c r="O77" s="10">
        <f t="shared" ref="O77:O140" si="13">SUM(L77:N77)</f>
        <v>0</v>
      </c>
      <c r="P77" s="36"/>
      <c r="Q77" s="10">
        <f t="shared" ref="Q77:Q140" si="14">SUM(B77,K77,O77,P77)+C77</f>
        <v>-174846.39162300009</v>
      </c>
    </row>
    <row r="78" spans="1:17" s="1" customFormat="1" ht="10.5" x14ac:dyDescent="0.25">
      <c r="A78" s="13" t="s">
        <v>65</v>
      </c>
      <c r="B78" s="12">
        <f t="shared" ref="B78:Q78" si="15">SUM(B49,B52,B64,B74:B77)</f>
        <v>2850921.5</v>
      </c>
      <c r="C78" s="12">
        <f t="shared" si="15"/>
        <v>693.60700211000005</v>
      </c>
      <c r="D78" s="12">
        <f t="shared" si="15"/>
        <v>3097174.4329649</v>
      </c>
      <c r="E78" s="12">
        <f t="shared" si="15"/>
        <v>3259.1250215999999</v>
      </c>
      <c r="F78" s="12">
        <f t="shared" si="15"/>
        <v>302424.02603362186</v>
      </c>
      <c r="G78" s="12">
        <f t="shared" si="15"/>
        <v>149033.89779379402</v>
      </c>
      <c r="H78" s="12">
        <f t="shared" si="15"/>
        <v>-17179.397654200002</v>
      </c>
      <c r="I78" s="12">
        <f t="shared" si="15"/>
        <v>34203.91012329168</v>
      </c>
      <c r="J78" s="37">
        <f t="shared" si="15"/>
        <v>-1637.9490960612347</v>
      </c>
      <c r="K78" s="12">
        <f t="shared" si="12"/>
        <v>3567278.0451869466</v>
      </c>
      <c r="L78" s="12">
        <f t="shared" si="15"/>
        <v>238.46100000000001</v>
      </c>
      <c r="M78" s="12">
        <f t="shared" si="15"/>
        <v>0</v>
      </c>
      <c r="N78" s="37">
        <f t="shared" si="15"/>
        <v>-238.46100000000001</v>
      </c>
      <c r="O78" s="12">
        <f t="shared" si="13"/>
        <v>0</v>
      </c>
      <c r="P78" s="37">
        <f t="shared" si="15"/>
        <v>-2887067.5936783999</v>
      </c>
      <c r="Q78" s="12">
        <f t="shared" si="14"/>
        <v>3531825.5585106565</v>
      </c>
    </row>
    <row r="79" spans="1:17" s="1" customFormat="1" ht="10.5" x14ac:dyDescent="0.25">
      <c r="A79" s="18" t="s">
        <v>66</v>
      </c>
      <c r="B79" s="19">
        <f t="shared" ref="B79:Q79" si="16">B33+B40+0+B78</f>
        <v>4200275.8499999996</v>
      </c>
      <c r="C79" s="19">
        <f t="shared" si="16"/>
        <v>-15321.413124549999</v>
      </c>
      <c r="D79" s="19">
        <f t="shared" si="16"/>
        <v>4659733.4333875999</v>
      </c>
      <c r="E79" s="19">
        <f t="shared" si="16"/>
        <v>-8155.3436124999998</v>
      </c>
      <c r="F79" s="19">
        <f t="shared" si="16"/>
        <v>439349.31335964007</v>
      </c>
      <c r="G79" s="19">
        <f t="shared" si="16"/>
        <v>166684.64905619476</v>
      </c>
      <c r="H79" s="19">
        <f t="shared" si="16"/>
        <v>-16153.735435900002</v>
      </c>
      <c r="I79" s="19">
        <f t="shared" si="16"/>
        <v>65846.169320519111</v>
      </c>
      <c r="J79" s="38">
        <f t="shared" si="16"/>
        <v>-1637.9490960612347</v>
      </c>
      <c r="K79" s="19">
        <f t="shared" si="12"/>
        <v>5305666.5369794928</v>
      </c>
      <c r="L79" s="19">
        <f t="shared" si="16"/>
        <v>238.46100000000001</v>
      </c>
      <c r="M79" s="19">
        <f t="shared" si="16"/>
        <v>0</v>
      </c>
      <c r="N79" s="38">
        <f t="shared" si="16"/>
        <v>-238.46100000000001</v>
      </c>
      <c r="O79" s="19">
        <f t="shared" si="13"/>
        <v>0</v>
      </c>
      <c r="P79" s="38">
        <f t="shared" si="16"/>
        <v>-2887067.5936783999</v>
      </c>
      <c r="Q79" s="19">
        <f t="shared" si="14"/>
        <v>6603553.3801765423</v>
      </c>
    </row>
    <row r="80" spans="1:17" s="1" customFormat="1" ht="10.5" x14ac:dyDescent="0.25">
      <c r="A80" s="6" t="s">
        <v>67</v>
      </c>
      <c r="B80" s="5"/>
      <c r="C80" s="5"/>
      <c r="D80" s="5"/>
      <c r="E80" s="5"/>
      <c r="F80" s="5"/>
      <c r="G80" s="5"/>
      <c r="H80" s="5"/>
      <c r="I80" s="5"/>
      <c r="J80" s="35"/>
      <c r="K80" s="5">
        <f t="shared" si="12"/>
        <v>0</v>
      </c>
      <c r="L80" s="5"/>
      <c r="M80" s="5"/>
      <c r="N80" s="35"/>
      <c r="O80" s="5">
        <f t="shared" si="13"/>
        <v>0</v>
      </c>
      <c r="P80" s="35"/>
      <c r="Q80" s="5">
        <f t="shared" si="14"/>
        <v>0</v>
      </c>
    </row>
    <row r="81" spans="1:17" s="1" customFormat="1" ht="10.5" x14ac:dyDescent="0.25">
      <c r="A81" s="7" t="s">
        <v>68</v>
      </c>
      <c r="B81" s="5"/>
      <c r="C81" s="5"/>
      <c r="D81" s="5"/>
      <c r="E81" s="5"/>
      <c r="F81" s="5"/>
      <c r="G81" s="5"/>
      <c r="H81" s="5"/>
      <c r="I81" s="5"/>
      <c r="J81" s="35"/>
      <c r="K81" s="5">
        <f t="shared" si="12"/>
        <v>0</v>
      </c>
      <c r="L81" s="5"/>
      <c r="M81" s="5"/>
      <c r="N81" s="35"/>
      <c r="O81" s="5">
        <f t="shared" si="13"/>
        <v>0</v>
      </c>
      <c r="P81" s="35"/>
      <c r="Q81" s="5">
        <f t="shared" si="14"/>
        <v>0</v>
      </c>
    </row>
    <row r="82" spans="1:17" s="1" customFormat="1" ht="10" x14ac:dyDescent="0.2">
      <c r="A82" s="17" t="s">
        <v>69</v>
      </c>
      <c r="B82" s="10">
        <v>0</v>
      </c>
      <c r="C82" s="10">
        <v>3858.8186913999998</v>
      </c>
      <c r="D82" s="10">
        <v>13105.480052299999</v>
      </c>
      <c r="E82" s="10">
        <v>0</v>
      </c>
      <c r="F82" s="10">
        <v>0</v>
      </c>
      <c r="G82" s="10">
        <v>0</v>
      </c>
      <c r="H82" s="10">
        <v>0</v>
      </c>
      <c r="I82" s="10">
        <v>430.19557194446082</v>
      </c>
      <c r="J82" s="36"/>
      <c r="K82" s="10">
        <f t="shared" si="12"/>
        <v>13535.675624244461</v>
      </c>
      <c r="L82" s="10">
        <v>0</v>
      </c>
      <c r="M82" s="10">
        <v>0</v>
      </c>
      <c r="N82" s="36"/>
      <c r="O82" s="10">
        <f t="shared" si="13"/>
        <v>0</v>
      </c>
      <c r="P82" s="36"/>
      <c r="Q82" s="10">
        <f t="shared" si="14"/>
        <v>17394.494315644461</v>
      </c>
    </row>
    <row r="83" spans="1:17" s="1" customFormat="1" ht="10" x14ac:dyDescent="0.2">
      <c r="A83" s="17" t="s">
        <v>70</v>
      </c>
      <c r="B83" s="10">
        <v>0</v>
      </c>
      <c r="C83" s="10">
        <v>-2748.3112485500001</v>
      </c>
      <c r="D83" s="10">
        <v>-2032.5251026000001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36"/>
      <c r="K83" s="10">
        <f t="shared" si="12"/>
        <v>-2032.5251026000001</v>
      </c>
      <c r="L83" s="10">
        <v>0</v>
      </c>
      <c r="M83" s="10">
        <v>0</v>
      </c>
      <c r="N83" s="36"/>
      <c r="O83" s="10">
        <f t="shared" si="13"/>
        <v>0</v>
      </c>
      <c r="P83" s="36"/>
      <c r="Q83" s="10">
        <f t="shared" si="14"/>
        <v>-4780.8363511500002</v>
      </c>
    </row>
    <row r="84" spans="1:17" s="1" customFormat="1" ht="10.5" x14ac:dyDescent="0.25">
      <c r="A84" s="13" t="s">
        <v>71</v>
      </c>
      <c r="B84" s="12">
        <f t="shared" ref="B84:Q84" si="17">SUM(B82:B83)</f>
        <v>0</v>
      </c>
      <c r="C84" s="12">
        <f t="shared" si="17"/>
        <v>1110.5074428499997</v>
      </c>
      <c r="D84" s="12">
        <f t="shared" si="17"/>
        <v>11072.954949699999</v>
      </c>
      <c r="E84" s="12">
        <f t="shared" si="17"/>
        <v>0</v>
      </c>
      <c r="F84" s="12">
        <f t="shared" si="17"/>
        <v>0</v>
      </c>
      <c r="G84" s="12">
        <f t="shared" si="17"/>
        <v>0</v>
      </c>
      <c r="H84" s="12">
        <f t="shared" si="17"/>
        <v>0</v>
      </c>
      <c r="I84" s="12">
        <f t="shared" si="17"/>
        <v>430.19557194446082</v>
      </c>
      <c r="J84" s="37">
        <f t="shared" si="17"/>
        <v>0</v>
      </c>
      <c r="K84" s="12">
        <f t="shared" si="12"/>
        <v>11503.15052164446</v>
      </c>
      <c r="L84" s="12">
        <f t="shared" si="17"/>
        <v>0</v>
      </c>
      <c r="M84" s="12">
        <f t="shared" si="17"/>
        <v>0</v>
      </c>
      <c r="N84" s="37">
        <f t="shared" si="17"/>
        <v>0</v>
      </c>
      <c r="O84" s="12">
        <f t="shared" si="13"/>
        <v>0</v>
      </c>
      <c r="P84" s="37">
        <f t="shared" si="17"/>
        <v>0</v>
      </c>
      <c r="Q84" s="12">
        <f t="shared" si="14"/>
        <v>12613.65796449446</v>
      </c>
    </row>
    <row r="85" spans="1:17" s="1" customFormat="1" ht="10.5" x14ac:dyDescent="0.25">
      <c r="A85" s="7" t="s">
        <v>72</v>
      </c>
      <c r="B85" s="5"/>
      <c r="C85" s="5"/>
      <c r="D85" s="5"/>
      <c r="E85" s="5"/>
      <c r="F85" s="5"/>
      <c r="G85" s="5"/>
      <c r="H85" s="5"/>
      <c r="I85" s="5"/>
      <c r="J85" s="35"/>
      <c r="K85" s="5">
        <f t="shared" si="12"/>
        <v>0</v>
      </c>
      <c r="L85" s="5"/>
      <c r="M85" s="5"/>
      <c r="N85" s="35"/>
      <c r="O85" s="5">
        <f t="shared" si="13"/>
        <v>0</v>
      </c>
      <c r="P85" s="35"/>
      <c r="Q85" s="5">
        <f t="shared" si="14"/>
        <v>0</v>
      </c>
    </row>
    <row r="86" spans="1:17" s="1" customFormat="1" ht="10" x14ac:dyDescent="0.2">
      <c r="A86" s="17" t="s">
        <v>73</v>
      </c>
      <c r="B86" s="10">
        <v>0</v>
      </c>
      <c r="C86" s="10">
        <v>0</v>
      </c>
      <c r="D86" s="10">
        <v>18112.003169200001</v>
      </c>
      <c r="E86" s="10">
        <v>0</v>
      </c>
      <c r="F86" s="10">
        <v>0</v>
      </c>
      <c r="G86" s="10">
        <v>1251.6242706350965</v>
      </c>
      <c r="H86" s="10">
        <v>0</v>
      </c>
      <c r="I86" s="10">
        <v>8382.609678814697</v>
      </c>
      <c r="J86" s="36"/>
      <c r="K86" s="10">
        <f t="shared" si="12"/>
        <v>27746.237118649795</v>
      </c>
      <c r="L86" s="10">
        <v>0</v>
      </c>
      <c r="M86" s="10">
        <v>0</v>
      </c>
      <c r="N86" s="36"/>
      <c r="O86" s="10">
        <f t="shared" si="13"/>
        <v>0</v>
      </c>
      <c r="P86" s="36"/>
      <c r="Q86" s="10">
        <f t="shared" si="14"/>
        <v>27746.237118649795</v>
      </c>
    </row>
    <row r="87" spans="1:17" s="1" customFormat="1" ht="10" x14ac:dyDescent="0.2">
      <c r="A87" s="17" t="s">
        <v>330</v>
      </c>
      <c r="B87" s="10">
        <v>0</v>
      </c>
      <c r="C87" s="10">
        <v>0</v>
      </c>
      <c r="D87" s="10">
        <v>-1655.9155530999999</v>
      </c>
      <c r="E87" s="10">
        <v>0</v>
      </c>
      <c r="F87" s="10">
        <v>0</v>
      </c>
      <c r="G87" s="10">
        <v>-1251.6242706350965</v>
      </c>
      <c r="H87" s="10">
        <v>0</v>
      </c>
      <c r="I87" s="10">
        <v>0</v>
      </c>
      <c r="J87" s="36"/>
      <c r="K87" s="10">
        <f t="shared" si="12"/>
        <v>-2907.5398237350964</v>
      </c>
      <c r="L87" s="10">
        <v>0</v>
      </c>
      <c r="M87" s="10">
        <v>0</v>
      </c>
      <c r="N87" s="36"/>
      <c r="O87" s="10">
        <f t="shared" si="13"/>
        <v>0</v>
      </c>
      <c r="P87" s="36"/>
      <c r="Q87" s="10">
        <f t="shared" si="14"/>
        <v>-2907.5398237350964</v>
      </c>
    </row>
    <row r="88" spans="1:17" s="1" customFormat="1" ht="10.5" x14ac:dyDescent="0.25">
      <c r="A88" s="13" t="s">
        <v>74</v>
      </c>
      <c r="B88" s="12">
        <f t="shared" ref="B88:Q88" si="18">SUM(B86:B87)</f>
        <v>0</v>
      </c>
      <c r="C88" s="12">
        <f t="shared" si="18"/>
        <v>0</v>
      </c>
      <c r="D88" s="12">
        <f t="shared" si="18"/>
        <v>16456.087616100001</v>
      </c>
      <c r="E88" s="12">
        <f t="shared" si="18"/>
        <v>0</v>
      </c>
      <c r="F88" s="12">
        <f t="shared" si="18"/>
        <v>0</v>
      </c>
      <c r="G88" s="12">
        <f t="shared" si="18"/>
        <v>0</v>
      </c>
      <c r="H88" s="12">
        <f t="shared" si="18"/>
        <v>0</v>
      </c>
      <c r="I88" s="12">
        <f t="shared" si="18"/>
        <v>8382.609678814697</v>
      </c>
      <c r="J88" s="37">
        <f t="shared" si="18"/>
        <v>0</v>
      </c>
      <c r="K88" s="12">
        <f t="shared" si="12"/>
        <v>24838.697294914698</v>
      </c>
      <c r="L88" s="12">
        <f t="shared" si="18"/>
        <v>0</v>
      </c>
      <c r="M88" s="12">
        <f t="shared" si="18"/>
        <v>0</v>
      </c>
      <c r="N88" s="37">
        <f t="shared" si="18"/>
        <v>0</v>
      </c>
      <c r="O88" s="12">
        <f t="shared" si="13"/>
        <v>0</v>
      </c>
      <c r="P88" s="37">
        <f t="shared" si="18"/>
        <v>0</v>
      </c>
      <c r="Q88" s="12">
        <f t="shared" si="14"/>
        <v>24838.697294914698</v>
      </c>
    </row>
    <row r="89" spans="1:17" s="1" customFormat="1" ht="10.5" x14ac:dyDescent="0.25">
      <c r="A89" s="7" t="s">
        <v>75</v>
      </c>
      <c r="B89" s="5"/>
      <c r="C89" s="5"/>
      <c r="D89" s="5"/>
      <c r="E89" s="5"/>
      <c r="F89" s="5"/>
      <c r="G89" s="5"/>
      <c r="H89" s="5"/>
      <c r="I89" s="5"/>
      <c r="J89" s="35"/>
      <c r="K89" s="5">
        <f t="shared" si="12"/>
        <v>0</v>
      </c>
      <c r="L89" s="5"/>
      <c r="M89" s="5"/>
      <c r="N89" s="35"/>
      <c r="O89" s="5">
        <f t="shared" si="13"/>
        <v>0</v>
      </c>
      <c r="P89" s="35"/>
      <c r="Q89" s="5">
        <f t="shared" si="14"/>
        <v>0</v>
      </c>
    </row>
    <row r="90" spans="1:17" s="1" customFormat="1" ht="10" x14ac:dyDescent="0.2">
      <c r="A90" s="17" t="s">
        <v>76</v>
      </c>
      <c r="B90" s="10">
        <v>0</v>
      </c>
      <c r="C90" s="10">
        <v>10459.739755869999</v>
      </c>
      <c r="D90" s="10">
        <v>-823.45612879999999</v>
      </c>
      <c r="E90" s="10">
        <v>0</v>
      </c>
      <c r="F90" s="10">
        <v>1760.5437844097501</v>
      </c>
      <c r="G90" s="10">
        <v>0</v>
      </c>
      <c r="H90" s="10">
        <v>0</v>
      </c>
      <c r="I90" s="10">
        <v>6107.95259344033</v>
      </c>
      <c r="J90" s="36"/>
      <c r="K90" s="10">
        <f t="shared" si="12"/>
        <v>7045.0402490500801</v>
      </c>
      <c r="L90" s="10">
        <v>0</v>
      </c>
      <c r="M90" s="10">
        <v>0</v>
      </c>
      <c r="N90" s="36"/>
      <c r="O90" s="10">
        <f t="shared" si="13"/>
        <v>0</v>
      </c>
      <c r="P90" s="36"/>
      <c r="Q90" s="10">
        <f t="shared" si="14"/>
        <v>17504.780004920081</v>
      </c>
    </row>
    <row r="91" spans="1:17" s="1" customFormat="1" ht="10" x14ac:dyDescent="0.2">
      <c r="A91" s="17" t="s">
        <v>331</v>
      </c>
      <c r="B91" s="10">
        <v>0</v>
      </c>
      <c r="C91" s="10">
        <v>0</v>
      </c>
      <c r="D91" s="10">
        <v>-1750.7729155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36"/>
      <c r="K91" s="10">
        <f t="shared" si="12"/>
        <v>-1750.7729155</v>
      </c>
      <c r="L91" s="10">
        <v>0</v>
      </c>
      <c r="M91" s="10">
        <v>0</v>
      </c>
      <c r="N91" s="36"/>
      <c r="O91" s="10">
        <f t="shared" si="13"/>
        <v>0</v>
      </c>
      <c r="P91" s="36"/>
      <c r="Q91" s="10">
        <f t="shared" si="14"/>
        <v>-1750.7729155</v>
      </c>
    </row>
    <row r="92" spans="1:17" s="1" customFormat="1" ht="10.5" x14ac:dyDescent="0.25">
      <c r="A92" s="13" t="s">
        <v>77</v>
      </c>
      <c r="B92" s="12">
        <f t="shared" ref="B92:Q92" si="19">SUM(B90:B91)</f>
        <v>0</v>
      </c>
      <c r="C92" s="12">
        <f t="shared" si="19"/>
        <v>10459.739755869999</v>
      </c>
      <c r="D92" s="12">
        <f t="shared" si="19"/>
        <v>-2574.2290443000002</v>
      </c>
      <c r="E92" s="12">
        <f t="shared" si="19"/>
        <v>0</v>
      </c>
      <c r="F92" s="12">
        <f t="shared" si="19"/>
        <v>1760.5437844097501</v>
      </c>
      <c r="G92" s="12">
        <f t="shared" si="19"/>
        <v>0</v>
      </c>
      <c r="H92" s="12">
        <f t="shared" si="19"/>
        <v>0</v>
      </c>
      <c r="I92" s="12">
        <f t="shared" si="19"/>
        <v>6107.95259344033</v>
      </c>
      <c r="J92" s="37">
        <f t="shared" si="19"/>
        <v>0</v>
      </c>
      <c r="K92" s="12">
        <f t="shared" si="12"/>
        <v>5294.2673335500804</v>
      </c>
      <c r="L92" s="12">
        <f t="shared" si="19"/>
        <v>0</v>
      </c>
      <c r="M92" s="12">
        <f t="shared" si="19"/>
        <v>0</v>
      </c>
      <c r="N92" s="37">
        <f t="shared" si="19"/>
        <v>0</v>
      </c>
      <c r="O92" s="12">
        <f t="shared" si="13"/>
        <v>0</v>
      </c>
      <c r="P92" s="37">
        <f t="shared" si="19"/>
        <v>0</v>
      </c>
      <c r="Q92" s="12">
        <f t="shared" si="14"/>
        <v>15754.00708942008</v>
      </c>
    </row>
    <row r="93" spans="1:17" s="1" customFormat="1" ht="10.5" x14ac:dyDescent="0.25">
      <c r="A93" s="7" t="s">
        <v>78</v>
      </c>
      <c r="B93" s="5"/>
      <c r="C93" s="5"/>
      <c r="D93" s="5"/>
      <c r="E93" s="5"/>
      <c r="F93" s="5"/>
      <c r="G93" s="5"/>
      <c r="H93" s="5"/>
      <c r="I93" s="5"/>
      <c r="J93" s="35"/>
      <c r="K93" s="5">
        <f t="shared" si="12"/>
        <v>0</v>
      </c>
      <c r="L93" s="5"/>
      <c r="M93" s="5"/>
      <c r="N93" s="35"/>
      <c r="O93" s="5">
        <f t="shared" si="13"/>
        <v>0</v>
      </c>
      <c r="P93" s="35"/>
      <c r="Q93" s="5">
        <f t="shared" si="14"/>
        <v>0</v>
      </c>
    </row>
    <row r="94" spans="1:17" s="1" customFormat="1" ht="10" x14ac:dyDescent="0.2">
      <c r="A94" s="17" t="s">
        <v>79</v>
      </c>
      <c r="B94" s="10">
        <v>0</v>
      </c>
      <c r="C94" s="10">
        <v>2855.83240454</v>
      </c>
      <c r="D94" s="10">
        <v>0</v>
      </c>
      <c r="E94" s="10">
        <v>0</v>
      </c>
      <c r="F94" s="10">
        <v>14372.665637382182</v>
      </c>
      <c r="G94" s="10">
        <v>0</v>
      </c>
      <c r="H94" s="10">
        <v>0</v>
      </c>
      <c r="I94" s="10">
        <v>0</v>
      </c>
      <c r="J94" s="36"/>
      <c r="K94" s="10">
        <f t="shared" si="12"/>
        <v>14372.665637382182</v>
      </c>
      <c r="L94" s="10">
        <v>0</v>
      </c>
      <c r="M94" s="10">
        <v>0</v>
      </c>
      <c r="N94" s="36"/>
      <c r="O94" s="10">
        <f t="shared" si="13"/>
        <v>0</v>
      </c>
      <c r="P94" s="36"/>
      <c r="Q94" s="10">
        <f t="shared" si="14"/>
        <v>17228.498041922183</v>
      </c>
    </row>
    <row r="95" spans="1:17" s="1" customFormat="1" ht="10" x14ac:dyDescent="0.2">
      <c r="A95" s="17" t="s">
        <v>80</v>
      </c>
      <c r="B95" s="10">
        <v>0</v>
      </c>
      <c r="C95" s="10">
        <v>-571.16622285000005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10">
        <v>0</v>
      </c>
      <c r="J95" s="36"/>
      <c r="K95" s="10">
        <f t="shared" si="12"/>
        <v>0</v>
      </c>
      <c r="L95" s="10">
        <v>0</v>
      </c>
      <c r="M95" s="10">
        <v>0</v>
      </c>
      <c r="N95" s="36"/>
      <c r="O95" s="10">
        <f t="shared" si="13"/>
        <v>0</v>
      </c>
      <c r="P95" s="36"/>
      <c r="Q95" s="10">
        <f t="shared" si="14"/>
        <v>-571.16622285000005</v>
      </c>
    </row>
    <row r="96" spans="1:17" s="1" customFormat="1" ht="10.5" x14ac:dyDescent="0.25">
      <c r="A96" s="13" t="s">
        <v>81</v>
      </c>
      <c r="B96" s="12">
        <f t="shared" ref="B96:Q96" si="20">SUM(B94:B95)</f>
        <v>0</v>
      </c>
      <c r="C96" s="12">
        <f t="shared" si="20"/>
        <v>2284.66618169</v>
      </c>
      <c r="D96" s="12">
        <f t="shared" si="20"/>
        <v>0</v>
      </c>
      <c r="E96" s="12">
        <f t="shared" si="20"/>
        <v>0</v>
      </c>
      <c r="F96" s="12">
        <f t="shared" si="20"/>
        <v>14372.665637382182</v>
      </c>
      <c r="G96" s="12">
        <f t="shared" si="20"/>
        <v>0</v>
      </c>
      <c r="H96" s="12">
        <f t="shared" si="20"/>
        <v>0</v>
      </c>
      <c r="I96" s="12">
        <f t="shared" si="20"/>
        <v>0</v>
      </c>
      <c r="J96" s="37">
        <f t="shared" si="20"/>
        <v>0</v>
      </c>
      <c r="K96" s="12">
        <f t="shared" si="12"/>
        <v>14372.665637382182</v>
      </c>
      <c r="L96" s="12">
        <f t="shared" si="20"/>
        <v>0</v>
      </c>
      <c r="M96" s="12">
        <f t="shared" si="20"/>
        <v>0</v>
      </c>
      <c r="N96" s="37">
        <f t="shared" si="20"/>
        <v>0</v>
      </c>
      <c r="O96" s="12">
        <f t="shared" si="13"/>
        <v>0</v>
      </c>
      <c r="P96" s="37">
        <f t="shared" si="20"/>
        <v>0</v>
      </c>
      <c r="Q96" s="12">
        <f t="shared" si="14"/>
        <v>16657.331819072184</v>
      </c>
    </row>
    <row r="97" spans="1:17" s="1" customFormat="1" ht="10.5" x14ac:dyDescent="0.25">
      <c r="A97" s="7" t="s">
        <v>82</v>
      </c>
      <c r="B97" s="5"/>
      <c r="C97" s="5"/>
      <c r="D97" s="5"/>
      <c r="E97" s="5"/>
      <c r="F97" s="5"/>
      <c r="G97" s="5"/>
      <c r="H97" s="5"/>
      <c r="I97" s="5"/>
      <c r="J97" s="35"/>
      <c r="K97" s="5">
        <f t="shared" si="12"/>
        <v>0</v>
      </c>
      <c r="L97" s="5"/>
      <c r="M97" s="5"/>
      <c r="N97" s="35"/>
      <c r="O97" s="5">
        <f t="shared" si="13"/>
        <v>0</v>
      </c>
      <c r="P97" s="35"/>
      <c r="Q97" s="5">
        <f t="shared" si="14"/>
        <v>0</v>
      </c>
    </row>
    <row r="98" spans="1:17" s="1" customFormat="1" ht="10" x14ac:dyDescent="0.2">
      <c r="A98" s="17" t="s">
        <v>83</v>
      </c>
      <c r="B98" s="10">
        <v>0</v>
      </c>
      <c r="C98" s="10">
        <v>0</v>
      </c>
      <c r="D98" s="10">
        <v>28416.892076</v>
      </c>
      <c r="E98" s="10">
        <v>0</v>
      </c>
      <c r="F98" s="10">
        <v>0</v>
      </c>
      <c r="G98" s="10">
        <v>0</v>
      </c>
      <c r="H98" s="10">
        <v>0</v>
      </c>
      <c r="I98" s="10">
        <v>0</v>
      </c>
      <c r="J98" s="36"/>
      <c r="K98" s="10">
        <f t="shared" si="12"/>
        <v>28416.892076</v>
      </c>
      <c r="L98" s="10">
        <v>0</v>
      </c>
      <c r="M98" s="10">
        <v>0</v>
      </c>
      <c r="N98" s="36"/>
      <c r="O98" s="10">
        <f t="shared" si="13"/>
        <v>0</v>
      </c>
      <c r="P98" s="36"/>
      <c r="Q98" s="10">
        <f t="shared" si="14"/>
        <v>28416.892076</v>
      </c>
    </row>
    <row r="99" spans="1:17" s="1" customFormat="1" ht="10" x14ac:dyDescent="0.2">
      <c r="A99" s="17" t="s">
        <v>332</v>
      </c>
      <c r="B99" s="10">
        <v>0</v>
      </c>
      <c r="C99" s="10">
        <v>0</v>
      </c>
      <c r="D99" s="10">
        <v>-5210.9715366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36"/>
      <c r="K99" s="10">
        <f t="shared" si="12"/>
        <v>-5210.9715366</v>
      </c>
      <c r="L99" s="10">
        <v>0</v>
      </c>
      <c r="M99" s="10">
        <v>0</v>
      </c>
      <c r="N99" s="36"/>
      <c r="O99" s="10">
        <f t="shared" si="13"/>
        <v>0</v>
      </c>
      <c r="P99" s="36"/>
      <c r="Q99" s="10">
        <f t="shared" si="14"/>
        <v>-5210.9715366</v>
      </c>
    </row>
    <row r="100" spans="1:17" s="1" customFormat="1" ht="10.5" x14ac:dyDescent="0.25">
      <c r="A100" s="13" t="s">
        <v>84</v>
      </c>
      <c r="B100" s="12">
        <f t="shared" ref="B100:Q100" si="21">SUM(B98:B99)</f>
        <v>0</v>
      </c>
      <c r="C100" s="12">
        <f t="shared" si="21"/>
        <v>0</v>
      </c>
      <c r="D100" s="12">
        <f t="shared" si="21"/>
        <v>23205.920539400002</v>
      </c>
      <c r="E100" s="12">
        <f t="shared" si="21"/>
        <v>0</v>
      </c>
      <c r="F100" s="12">
        <f t="shared" si="21"/>
        <v>0</v>
      </c>
      <c r="G100" s="12">
        <f t="shared" si="21"/>
        <v>0</v>
      </c>
      <c r="H100" s="12">
        <f t="shared" si="21"/>
        <v>0</v>
      </c>
      <c r="I100" s="12">
        <f t="shared" si="21"/>
        <v>0</v>
      </c>
      <c r="J100" s="37">
        <f t="shared" si="21"/>
        <v>0</v>
      </c>
      <c r="K100" s="12">
        <f t="shared" si="12"/>
        <v>23205.920539400002</v>
      </c>
      <c r="L100" s="12">
        <f t="shared" si="21"/>
        <v>0</v>
      </c>
      <c r="M100" s="12">
        <f t="shared" si="21"/>
        <v>0</v>
      </c>
      <c r="N100" s="37">
        <f t="shared" si="21"/>
        <v>0</v>
      </c>
      <c r="O100" s="12">
        <f t="shared" si="13"/>
        <v>0</v>
      </c>
      <c r="P100" s="37">
        <f t="shared" si="21"/>
        <v>0</v>
      </c>
      <c r="Q100" s="12">
        <f t="shared" si="14"/>
        <v>23205.920539400002</v>
      </c>
    </row>
    <row r="101" spans="1:17" s="1" customFormat="1" ht="10.5" x14ac:dyDescent="0.25">
      <c r="A101" s="13" t="s">
        <v>309</v>
      </c>
      <c r="B101" s="12"/>
      <c r="C101" s="12"/>
      <c r="D101" s="12"/>
      <c r="E101" s="12"/>
      <c r="F101" s="12"/>
      <c r="G101" s="12"/>
      <c r="H101" s="12"/>
      <c r="I101" s="12"/>
      <c r="J101" s="37"/>
      <c r="K101" s="12">
        <f t="shared" si="12"/>
        <v>0</v>
      </c>
      <c r="L101" s="12"/>
      <c r="M101" s="12"/>
      <c r="N101" s="37"/>
      <c r="O101" s="12">
        <f t="shared" si="13"/>
        <v>0</v>
      </c>
      <c r="P101" s="37"/>
      <c r="Q101" s="12">
        <f>Goodwill!B4</f>
        <v>0</v>
      </c>
    </row>
    <row r="102" spans="1:17" s="1" customFormat="1" ht="10.5" x14ac:dyDescent="0.25">
      <c r="A102" s="20" t="s">
        <v>85</v>
      </c>
      <c r="B102" s="12">
        <f t="shared" ref="B102:Q102" si="22">SUM(B84,B88,B92,B96,B100)+ B101</f>
        <v>0</v>
      </c>
      <c r="C102" s="12">
        <f t="shared" si="22"/>
        <v>13854.913380409998</v>
      </c>
      <c r="D102" s="12">
        <f t="shared" si="22"/>
        <v>48160.734060900002</v>
      </c>
      <c r="E102" s="12">
        <f t="shared" si="22"/>
        <v>0</v>
      </c>
      <c r="F102" s="12">
        <f t="shared" si="22"/>
        <v>16133.209421791933</v>
      </c>
      <c r="G102" s="12">
        <f t="shared" si="22"/>
        <v>0</v>
      </c>
      <c r="H102" s="12">
        <f t="shared" si="22"/>
        <v>0</v>
      </c>
      <c r="I102" s="12">
        <f t="shared" si="22"/>
        <v>14920.757844199488</v>
      </c>
      <c r="J102" s="37">
        <f t="shared" si="22"/>
        <v>0</v>
      </c>
      <c r="K102" s="12">
        <f t="shared" si="12"/>
        <v>79214.701326891416</v>
      </c>
      <c r="L102" s="12">
        <f t="shared" si="22"/>
        <v>0</v>
      </c>
      <c r="M102" s="12">
        <f t="shared" si="22"/>
        <v>0</v>
      </c>
      <c r="N102" s="37">
        <f t="shared" si="22"/>
        <v>0</v>
      </c>
      <c r="O102" s="12">
        <f t="shared" si="13"/>
        <v>0</v>
      </c>
      <c r="P102" s="37">
        <f t="shared" si="22"/>
        <v>0</v>
      </c>
      <c r="Q102" s="12">
        <f t="shared" si="14"/>
        <v>93069.614707301414</v>
      </c>
    </row>
    <row r="103" spans="1:17" s="1" customFormat="1" ht="10.5" x14ac:dyDescent="0.2">
      <c r="A103" s="21" t="s">
        <v>86</v>
      </c>
      <c r="B103" s="19">
        <f t="shared" ref="B103:Q103" si="23">B79+B102+0</f>
        <v>4200275.8499999996</v>
      </c>
      <c r="C103" s="19">
        <f t="shared" si="23"/>
        <v>-1466.499744140001</v>
      </c>
      <c r="D103" s="19">
        <f t="shared" si="23"/>
        <v>4707894.1674485002</v>
      </c>
      <c r="E103" s="19">
        <f t="shared" si="23"/>
        <v>-8155.3436124999998</v>
      </c>
      <c r="F103" s="19">
        <f t="shared" si="23"/>
        <v>455482.52278143202</v>
      </c>
      <c r="G103" s="19">
        <f t="shared" si="23"/>
        <v>166684.64905619476</v>
      </c>
      <c r="H103" s="19">
        <f t="shared" si="23"/>
        <v>-16153.735435900002</v>
      </c>
      <c r="I103" s="19">
        <f t="shared" si="23"/>
        <v>80766.927164718596</v>
      </c>
      <c r="J103" s="38">
        <f t="shared" si="23"/>
        <v>-1637.9490960612347</v>
      </c>
      <c r="K103" s="19">
        <f t="shared" si="12"/>
        <v>5384881.2383063836</v>
      </c>
      <c r="L103" s="19">
        <f t="shared" si="23"/>
        <v>238.46100000000001</v>
      </c>
      <c r="M103" s="19">
        <f t="shared" si="23"/>
        <v>0</v>
      </c>
      <c r="N103" s="38">
        <f t="shared" si="23"/>
        <v>-238.46100000000001</v>
      </c>
      <c r="O103" s="19">
        <f t="shared" si="13"/>
        <v>0</v>
      </c>
      <c r="P103" s="38">
        <f t="shared" si="23"/>
        <v>-2887067.5936783999</v>
      </c>
      <c r="Q103" s="19">
        <f t="shared" si="14"/>
        <v>6696622.9948838428</v>
      </c>
    </row>
    <row r="104" spans="1:17" s="1" customFormat="1" ht="10.5" x14ac:dyDescent="0.2">
      <c r="A104" s="4" t="s">
        <v>87</v>
      </c>
      <c r="B104" s="5"/>
      <c r="C104" s="5"/>
      <c r="D104" s="5"/>
      <c r="E104" s="5"/>
      <c r="F104" s="5"/>
      <c r="G104" s="5"/>
      <c r="H104" s="5"/>
      <c r="I104" s="5"/>
      <c r="J104" s="35"/>
      <c r="K104" s="5">
        <f t="shared" si="12"/>
        <v>0</v>
      </c>
      <c r="L104" s="5"/>
      <c r="M104" s="5"/>
      <c r="N104" s="35"/>
      <c r="O104" s="5">
        <f t="shared" si="13"/>
        <v>0</v>
      </c>
      <c r="P104" s="35"/>
      <c r="Q104" s="5">
        <f t="shared" si="14"/>
        <v>0</v>
      </c>
    </row>
    <row r="105" spans="1:17" s="1" customFormat="1" ht="10.5" x14ac:dyDescent="0.25">
      <c r="A105" s="6" t="s">
        <v>88</v>
      </c>
      <c r="B105" s="5"/>
      <c r="C105" s="5"/>
      <c r="D105" s="5"/>
      <c r="E105" s="5"/>
      <c r="F105" s="5"/>
      <c r="G105" s="5"/>
      <c r="H105" s="5"/>
      <c r="I105" s="5"/>
      <c r="J105" s="35"/>
      <c r="K105" s="5">
        <f t="shared" si="12"/>
        <v>0</v>
      </c>
      <c r="L105" s="5"/>
      <c r="M105" s="5"/>
      <c r="N105" s="35"/>
      <c r="O105" s="5">
        <f t="shared" si="13"/>
        <v>0</v>
      </c>
      <c r="P105" s="35"/>
      <c r="Q105" s="5">
        <f t="shared" si="14"/>
        <v>0</v>
      </c>
    </row>
    <row r="106" spans="1:17" s="1" customFormat="1" ht="10.5" x14ac:dyDescent="0.25">
      <c r="A106" s="7" t="s">
        <v>89</v>
      </c>
      <c r="B106" s="5"/>
      <c r="C106" s="5"/>
      <c r="D106" s="5"/>
      <c r="E106" s="5"/>
      <c r="F106" s="5"/>
      <c r="G106" s="5"/>
      <c r="H106" s="5"/>
      <c r="I106" s="5"/>
      <c r="J106" s="35"/>
      <c r="K106" s="5">
        <f t="shared" si="12"/>
        <v>0</v>
      </c>
      <c r="L106" s="5"/>
      <c r="M106" s="5"/>
      <c r="N106" s="35"/>
      <c r="O106" s="5">
        <f t="shared" si="13"/>
        <v>0</v>
      </c>
      <c r="P106" s="35"/>
      <c r="Q106" s="5">
        <f t="shared" si="14"/>
        <v>0</v>
      </c>
    </row>
    <row r="107" spans="1:17" s="1" customFormat="1" ht="10.5" x14ac:dyDescent="0.25">
      <c r="A107" s="8" t="s">
        <v>90</v>
      </c>
      <c r="B107" s="5"/>
      <c r="C107" s="5"/>
      <c r="D107" s="5"/>
      <c r="E107" s="5"/>
      <c r="F107" s="5"/>
      <c r="G107" s="5"/>
      <c r="H107" s="5"/>
      <c r="I107" s="5"/>
      <c r="J107" s="35"/>
      <c r="K107" s="5">
        <f t="shared" si="12"/>
        <v>0</v>
      </c>
      <c r="L107" s="5"/>
      <c r="M107" s="5"/>
      <c r="N107" s="35"/>
      <c r="O107" s="5">
        <f t="shared" si="13"/>
        <v>0</v>
      </c>
      <c r="P107" s="35"/>
      <c r="Q107" s="5">
        <f t="shared" si="14"/>
        <v>0</v>
      </c>
    </row>
    <row r="108" spans="1:17" s="1" customFormat="1" ht="10.5" x14ac:dyDescent="0.25">
      <c r="A108" s="14" t="s">
        <v>91</v>
      </c>
      <c r="B108" s="5"/>
      <c r="C108" s="5"/>
      <c r="D108" s="5"/>
      <c r="E108" s="5"/>
      <c r="F108" s="5"/>
      <c r="G108" s="5"/>
      <c r="H108" s="5"/>
      <c r="I108" s="5"/>
      <c r="J108" s="35"/>
      <c r="K108" s="5">
        <f t="shared" si="12"/>
        <v>0</v>
      </c>
      <c r="L108" s="5"/>
      <c r="M108" s="5"/>
      <c r="N108" s="35"/>
      <c r="O108" s="5">
        <f t="shared" si="13"/>
        <v>0</v>
      </c>
      <c r="P108" s="35"/>
      <c r="Q108" s="5">
        <f t="shared" si="14"/>
        <v>0</v>
      </c>
    </row>
    <row r="109" spans="1:17" s="1" customFormat="1" ht="10" x14ac:dyDescent="0.2">
      <c r="A109" s="15" t="s">
        <v>91</v>
      </c>
      <c r="B109" s="10">
        <v>-21516.6</v>
      </c>
      <c r="C109" s="10">
        <v>-3602.7038681399999</v>
      </c>
      <c r="D109" s="10">
        <v>1507985.5190870001</v>
      </c>
      <c r="E109" s="10">
        <v>579.74428079999996</v>
      </c>
      <c r="F109" s="10">
        <v>51026.773410254165</v>
      </c>
      <c r="G109" s="10">
        <v>4595.0415680534934</v>
      </c>
      <c r="H109" s="10">
        <v>13399.904802499999</v>
      </c>
      <c r="I109" s="10">
        <v>44409.847777949137</v>
      </c>
      <c r="J109" s="36"/>
      <c r="K109" s="10">
        <f t="shared" si="12"/>
        <v>1621996.8309265568</v>
      </c>
      <c r="L109" s="10">
        <v>0</v>
      </c>
      <c r="M109" s="10">
        <v>0</v>
      </c>
      <c r="N109" s="36"/>
      <c r="O109" s="10">
        <f t="shared" si="13"/>
        <v>0</v>
      </c>
      <c r="P109" s="36"/>
      <c r="Q109" s="10">
        <f t="shared" si="14"/>
        <v>1596877.5270584167</v>
      </c>
    </row>
    <row r="110" spans="1:17" s="1" customFormat="1" ht="10" x14ac:dyDescent="0.2">
      <c r="A110" s="15" t="s">
        <v>92</v>
      </c>
      <c r="B110" s="10">
        <v>0</v>
      </c>
      <c r="C110" s="10">
        <v>0</v>
      </c>
      <c r="D110" s="10">
        <v>-4492.0442347999997</v>
      </c>
      <c r="E110" s="10">
        <v>0</v>
      </c>
      <c r="F110" s="10">
        <v>-1108.0681079715748</v>
      </c>
      <c r="G110" s="10">
        <v>0</v>
      </c>
      <c r="H110" s="10">
        <v>0</v>
      </c>
      <c r="I110" s="10">
        <v>0</v>
      </c>
      <c r="J110" s="36"/>
      <c r="K110" s="10">
        <f t="shared" si="12"/>
        <v>-5600.1123427715747</v>
      </c>
      <c r="L110" s="10">
        <v>0</v>
      </c>
      <c r="M110" s="10">
        <v>0</v>
      </c>
      <c r="N110" s="36"/>
      <c r="O110" s="10">
        <f t="shared" si="13"/>
        <v>0</v>
      </c>
      <c r="P110" s="36"/>
      <c r="Q110" s="10">
        <f t="shared" si="14"/>
        <v>-5600.1123427715747</v>
      </c>
    </row>
    <row r="111" spans="1:17" s="1" customFormat="1" ht="10.5" x14ac:dyDescent="0.25">
      <c r="A111" s="16" t="s">
        <v>93</v>
      </c>
      <c r="B111" s="12">
        <f t="shared" ref="B111:Q111" si="24">SUM(B109:B110)</f>
        <v>-21516.6</v>
      </c>
      <c r="C111" s="12">
        <f t="shared" si="24"/>
        <v>-3602.7038681399999</v>
      </c>
      <c r="D111" s="12">
        <f t="shared" si="24"/>
        <v>1503493.4748522001</v>
      </c>
      <c r="E111" s="12">
        <f t="shared" si="24"/>
        <v>579.74428079999996</v>
      </c>
      <c r="F111" s="12">
        <f t="shared" si="24"/>
        <v>49918.705302282593</v>
      </c>
      <c r="G111" s="12">
        <f t="shared" si="24"/>
        <v>4595.0415680534934</v>
      </c>
      <c r="H111" s="12">
        <f t="shared" si="24"/>
        <v>13399.904802499999</v>
      </c>
      <c r="I111" s="12">
        <f t="shared" si="24"/>
        <v>44409.847777949137</v>
      </c>
      <c r="J111" s="37">
        <f t="shared" si="24"/>
        <v>0</v>
      </c>
      <c r="K111" s="12">
        <f t="shared" si="12"/>
        <v>1616396.7185837855</v>
      </c>
      <c r="L111" s="12">
        <f t="shared" si="24"/>
        <v>0</v>
      </c>
      <c r="M111" s="12">
        <f t="shared" si="24"/>
        <v>0</v>
      </c>
      <c r="N111" s="37">
        <f t="shared" si="24"/>
        <v>0</v>
      </c>
      <c r="O111" s="12">
        <f t="shared" si="13"/>
        <v>0</v>
      </c>
      <c r="P111" s="37">
        <f t="shared" si="24"/>
        <v>0</v>
      </c>
      <c r="Q111" s="12">
        <f t="shared" si="14"/>
        <v>1591277.4147156454</v>
      </c>
    </row>
    <row r="112" spans="1:17" s="1" customFormat="1" ht="10" x14ac:dyDescent="0.2">
      <c r="A112" s="9" t="s">
        <v>94</v>
      </c>
      <c r="B112" s="10">
        <v>0</v>
      </c>
      <c r="C112" s="10">
        <v>0</v>
      </c>
      <c r="D112" s="10">
        <v>1914.8480666999999</v>
      </c>
      <c r="E112" s="10">
        <v>0</v>
      </c>
      <c r="F112" s="10">
        <v>0</v>
      </c>
      <c r="G112" s="10">
        <v>7547.5126600048707</v>
      </c>
      <c r="H112" s="10">
        <v>0</v>
      </c>
      <c r="I112" s="10">
        <v>0</v>
      </c>
      <c r="J112" s="36"/>
      <c r="K112" s="10">
        <f t="shared" si="12"/>
        <v>9462.3607267048701</v>
      </c>
      <c r="L112" s="10">
        <v>0</v>
      </c>
      <c r="M112" s="10">
        <v>0</v>
      </c>
      <c r="N112" s="36"/>
      <c r="O112" s="10">
        <f t="shared" si="13"/>
        <v>0</v>
      </c>
      <c r="P112" s="36"/>
      <c r="Q112" s="10">
        <f t="shared" si="14"/>
        <v>9462.3607267048701</v>
      </c>
    </row>
    <row r="113" spans="1:17" s="1" customFormat="1" ht="10.5" x14ac:dyDescent="0.25">
      <c r="A113" s="11" t="s">
        <v>95</v>
      </c>
      <c r="B113" s="12">
        <f t="shared" ref="B113:Q113" si="25">SUM(B111:B112)</f>
        <v>-21516.6</v>
      </c>
      <c r="C113" s="12">
        <f t="shared" si="25"/>
        <v>-3602.7038681399999</v>
      </c>
      <c r="D113" s="12">
        <f t="shared" si="25"/>
        <v>1505408.3229189001</v>
      </c>
      <c r="E113" s="12">
        <f t="shared" si="25"/>
        <v>579.74428079999996</v>
      </c>
      <c r="F113" s="12">
        <f t="shared" si="25"/>
        <v>49918.705302282593</v>
      </c>
      <c r="G113" s="12">
        <f t="shared" si="25"/>
        <v>12142.554228058365</v>
      </c>
      <c r="H113" s="12">
        <f t="shared" si="25"/>
        <v>13399.904802499999</v>
      </c>
      <c r="I113" s="12">
        <f t="shared" si="25"/>
        <v>44409.847777949137</v>
      </c>
      <c r="J113" s="37">
        <f t="shared" si="25"/>
        <v>0</v>
      </c>
      <c r="K113" s="12">
        <f t="shared" si="12"/>
        <v>1625859.0793104903</v>
      </c>
      <c r="L113" s="12">
        <f t="shared" si="25"/>
        <v>0</v>
      </c>
      <c r="M113" s="12">
        <f t="shared" si="25"/>
        <v>0</v>
      </c>
      <c r="N113" s="37">
        <f t="shared" si="25"/>
        <v>0</v>
      </c>
      <c r="O113" s="12">
        <f t="shared" si="13"/>
        <v>0</v>
      </c>
      <c r="P113" s="37">
        <f t="shared" si="25"/>
        <v>0</v>
      </c>
      <c r="Q113" s="12">
        <f t="shared" si="14"/>
        <v>1600739.7754423502</v>
      </c>
    </row>
    <row r="114" spans="1:17" s="1" customFormat="1" ht="10.5" x14ac:dyDescent="0.25">
      <c r="A114" s="8" t="s">
        <v>96</v>
      </c>
      <c r="B114" s="5"/>
      <c r="C114" s="5"/>
      <c r="D114" s="5"/>
      <c r="E114" s="5"/>
      <c r="F114" s="5"/>
      <c r="G114" s="5"/>
      <c r="H114" s="5"/>
      <c r="I114" s="5"/>
      <c r="J114" s="35"/>
      <c r="K114" s="5">
        <f t="shared" si="12"/>
        <v>0</v>
      </c>
      <c r="L114" s="5"/>
      <c r="M114" s="5"/>
      <c r="N114" s="35"/>
      <c r="O114" s="5">
        <f t="shared" si="13"/>
        <v>0</v>
      </c>
      <c r="P114" s="35"/>
      <c r="Q114" s="5">
        <f t="shared" si="14"/>
        <v>0</v>
      </c>
    </row>
    <row r="115" spans="1:17" s="1" customFormat="1" ht="10" x14ac:dyDescent="0.2">
      <c r="A115" s="9" t="s">
        <v>97</v>
      </c>
      <c r="B115" s="10">
        <v>5272.75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0</v>
      </c>
      <c r="I115" s="10">
        <v>0</v>
      </c>
      <c r="J115" s="36">
        <v>0</v>
      </c>
      <c r="K115" s="10">
        <f t="shared" si="12"/>
        <v>0</v>
      </c>
      <c r="L115" s="10">
        <v>0</v>
      </c>
      <c r="M115" s="10">
        <v>0</v>
      </c>
      <c r="N115" s="36">
        <v>0</v>
      </c>
      <c r="O115" s="10">
        <f t="shared" si="13"/>
        <v>0</v>
      </c>
      <c r="P115" s="36">
        <v>-5272.75</v>
      </c>
      <c r="Q115" s="10">
        <f t="shared" si="14"/>
        <v>0</v>
      </c>
    </row>
    <row r="116" spans="1:17" s="1" customFormat="1" ht="10.5" x14ac:dyDescent="0.25">
      <c r="A116" s="11" t="s">
        <v>98</v>
      </c>
      <c r="B116" s="12">
        <f t="shared" ref="B116:Q116" si="26">SUM(B115)</f>
        <v>5272.75</v>
      </c>
      <c r="C116" s="12">
        <f t="shared" si="26"/>
        <v>0</v>
      </c>
      <c r="D116" s="12">
        <f t="shared" si="26"/>
        <v>0</v>
      </c>
      <c r="E116" s="12">
        <f t="shared" si="26"/>
        <v>0</v>
      </c>
      <c r="F116" s="12">
        <f t="shared" si="26"/>
        <v>0</v>
      </c>
      <c r="G116" s="12">
        <f t="shared" si="26"/>
        <v>0</v>
      </c>
      <c r="H116" s="12">
        <f t="shared" si="26"/>
        <v>0</v>
      </c>
      <c r="I116" s="12">
        <f t="shared" si="26"/>
        <v>0</v>
      </c>
      <c r="J116" s="37">
        <f t="shared" si="26"/>
        <v>0</v>
      </c>
      <c r="K116" s="12">
        <f t="shared" si="12"/>
        <v>0</v>
      </c>
      <c r="L116" s="12">
        <f t="shared" si="26"/>
        <v>0</v>
      </c>
      <c r="M116" s="12">
        <f t="shared" si="26"/>
        <v>0</v>
      </c>
      <c r="N116" s="37">
        <f t="shared" si="26"/>
        <v>0</v>
      </c>
      <c r="O116" s="12">
        <f t="shared" si="13"/>
        <v>0</v>
      </c>
      <c r="P116" s="37">
        <f t="shared" si="26"/>
        <v>-5272.75</v>
      </c>
      <c r="Q116" s="12">
        <f t="shared" si="14"/>
        <v>0</v>
      </c>
    </row>
    <row r="117" spans="1:17" s="1" customFormat="1" ht="10.5" x14ac:dyDescent="0.25">
      <c r="A117" s="13" t="s">
        <v>99</v>
      </c>
      <c r="B117" s="12">
        <f t="shared" ref="B117:Q117" si="27">SUM(B113,B116)</f>
        <v>-16243.849999999999</v>
      </c>
      <c r="C117" s="12">
        <f t="shared" si="27"/>
        <v>-3602.7038681399999</v>
      </c>
      <c r="D117" s="12">
        <f t="shared" si="27"/>
        <v>1505408.3229189001</v>
      </c>
      <c r="E117" s="12">
        <f t="shared" si="27"/>
        <v>579.74428079999996</v>
      </c>
      <c r="F117" s="12">
        <f t="shared" si="27"/>
        <v>49918.705302282593</v>
      </c>
      <c r="G117" s="12">
        <f t="shared" si="27"/>
        <v>12142.554228058365</v>
      </c>
      <c r="H117" s="12">
        <f t="shared" si="27"/>
        <v>13399.904802499999</v>
      </c>
      <c r="I117" s="12">
        <f t="shared" si="27"/>
        <v>44409.847777949137</v>
      </c>
      <c r="J117" s="37">
        <f t="shared" si="27"/>
        <v>0</v>
      </c>
      <c r="K117" s="12">
        <f t="shared" si="12"/>
        <v>1625859.0793104903</v>
      </c>
      <c r="L117" s="12">
        <f t="shared" si="27"/>
        <v>0</v>
      </c>
      <c r="M117" s="12">
        <f t="shared" si="27"/>
        <v>0</v>
      </c>
      <c r="N117" s="37">
        <f t="shared" si="27"/>
        <v>0</v>
      </c>
      <c r="O117" s="12">
        <f t="shared" si="13"/>
        <v>0</v>
      </c>
      <c r="P117" s="37">
        <f t="shared" si="27"/>
        <v>-5272.75</v>
      </c>
      <c r="Q117" s="12">
        <f t="shared" si="14"/>
        <v>1600739.7754423502</v>
      </c>
    </row>
    <row r="118" spans="1:17" s="1" customFormat="1" ht="10.5" x14ac:dyDescent="0.25">
      <c r="A118" s="7" t="s">
        <v>100</v>
      </c>
      <c r="B118" s="5"/>
      <c r="C118" s="5"/>
      <c r="D118" s="5"/>
      <c r="E118" s="5"/>
      <c r="F118" s="5"/>
      <c r="G118" s="5"/>
      <c r="H118" s="5"/>
      <c r="I118" s="5"/>
      <c r="J118" s="35"/>
      <c r="K118" s="5">
        <f t="shared" si="12"/>
        <v>0</v>
      </c>
      <c r="L118" s="5"/>
      <c r="M118" s="5"/>
      <c r="N118" s="35"/>
      <c r="O118" s="5">
        <f t="shared" si="13"/>
        <v>0</v>
      </c>
      <c r="P118" s="35"/>
      <c r="Q118" s="5">
        <f t="shared" si="14"/>
        <v>0</v>
      </c>
    </row>
    <row r="119" spans="1:17" s="1" customFormat="1" ht="10.5" x14ac:dyDescent="0.25">
      <c r="A119" s="8" t="s">
        <v>101</v>
      </c>
      <c r="B119" s="5"/>
      <c r="C119" s="5"/>
      <c r="D119" s="5"/>
      <c r="E119" s="5"/>
      <c r="F119" s="5"/>
      <c r="G119" s="5"/>
      <c r="H119" s="5"/>
      <c r="I119" s="5"/>
      <c r="J119" s="35"/>
      <c r="K119" s="5">
        <f t="shared" si="12"/>
        <v>0</v>
      </c>
      <c r="L119" s="5"/>
      <c r="M119" s="5"/>
      <c r="N119" s="35"/>
      <c r="O119" s="5">
        <f t="shared" si="13"/>
        <v>0</v>
      </c>
      <c r="P119" s="35"/>
      <c r="Q119" s="5">
        <f t="shared" si="14"/>
        <v>0</v>
      </c>
    </row>
    <row r="120" spans="1:17" s="1" customFormat="1" ht="10" x14ac:dyDescent="0.2">
      <c r="A120" s="9" t="s">
        <v>102</v>
      </c>
      <c r="B120" s="10">
        <v>0</v>
      </c>
      <c r="C120" s="10">
        <v>0</v>
      </c>
      <c r="D120" s="10">
        <v>-580.37847520000003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36"/>
      <c r="K120" s="10">
        <f t="shared" si="12"/>
        <v>-580.37847520000003</v>
      </c>
      <c r="L120" s="10">
        <v>0</v>
      </c>
      <c r="M120" s="10">
        <v>0</v>
      </c>
      <c r="N120" s="36"/>
      <c r="O120" s="10">
        <f t="shared" si="13"/>
        <v>0</v>
      </c>
      <c r="P120" s="36"/>
      <c r="Q120" s="10">
        <f t="shared" si="14"/>
        <v>-580.37847520000003</v>
      </c>
    </row>
    <row r="121" spans="1:17" s="1" customFormat="1" ht="10" x14ac:dyDescent="0.2">
      <c r="A121" s="9" t="s">
        <v>103</v>
      </c>
      <c r="B121" s="10">
        <v>0</v>
      </c>
      <c r="C121" s="10">
        <v>0</v>
      </c>
      <c r="D121" s="10">
        <v>506.25700469999998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36"/>
      <c r="K121" s="10">
        <f t="shared" si="12"/>
        <v>506.25700469999998</v>
      </c>
      <c r="L121" s="10">
        <v>0</v>
      </c>
      <c r="M121" s="10">
        <v>0</v>
      </c>
      <c r="N121" s="36"/>
      <c r="O121" s="10">
        <f t="shared" si="13"/>
        <v>0</v>
      </c>
      <c r="P121" s="36"/>
      <c r="Q121" s="10">
        <f t="shared" si="14"/>
        <v>506.25700469999998</v>
      </c>
    </row>
    <row r="122" spans="1:17" s="1" customFormat="1" ht="10" x14ac:dyDescent="0.2">
      <c r="A122" s="9" t="s">
        <v>315</v>
      </c>
      <c r="B122" s="10">
        <v>0</v>
      </c>
      <c r="C122" s="10">
        <v>0</v>
      </c>
      <c r="D122" s="10">
        <v>46.126317700000001</v>
      </c>
      <c r="E122" s="10">
        <v>0</v>
      </c>
      <c r="F122" s="10">
        <v>0</v>
      </c>
      <c r="G122" s="10">
        <v>0</v>
      </c>
      <c r="H122" s="10">
        <v>0</v>
      </c>
      <c r="I122" s="10">
        <v>0</v>
      </c>
      <c r="J122" s="36"/>
      <c r="K122" s="10">
        <f t="shared" si="12"/>
        <v>46.126317700000001</v>
      </c>
      <c r="L122" s="10">
        <v>0</v>
      </c>
      <c r="M122" s="10">
        <v>0</v>
      </c>
      <c r="N122" s="36"/>
      <c r="O122" s="10">
        <f t="shared" si="13"/>
        <v>0</v>
      </c>
      <c r="P122" s="36"/>
      <c r="Q122" s="10">
        <f t="shared" si="14"/>
        <v>46.126317700000001</v>
      </c>
    </row>
    <row r="123" spans="1:17" s="1" customFormat="1" ht="10" x14ac:dyDescent="0.2">
      <c r="A123" s="9" t="s">
        <v>316</v>
      </c>
      <c r="B123" s="10">
        <v>0</v>
      </c>
      <c r="C123" s="10">
        <v>0</v>
      </c>
      <c r="D123" s="10">
        <v>3086.5222207000002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36"/>
      <c r="K123" s="10">
        <f t="shared" si="12"/>
        <v>3086.5222207000002</v>
      </c>
      <c r="L123" s="10">
        <v>0</v>
      </c>
      <c r="M123" s="10">
        <v>0</v>
      </c>
      <c r="N123" s="36"/>
      <c r="O123" s="10">
        <f t="shared" si="13"/>
        <v>0</v>
      </c>
      <c r="P123" s="36"/>
      <c r="Q123" s="10">
        <f t="shared" si="14"/>
        <v>3086.5222207000002</v>
      </c>
    </row>
    <row r="124" spans="1:17" s="1" customFormat="1" ht="10" x14ac:dyDescent="0.2">
      <c r="A124" s="9" t="s">
        <v>104</v>
      </c>
      <c r="B124" s="10">
        <v>0</v>
      </c>
      <c r="C124" s="10">
        <v>0</v>
      </c>
      <c r="D124" s="10">
        <v>0</v>
      </c>
      <c r="E124" s="10">
        <v>-512.28185150000002</v>
      </c>
      <c r="F124" s="10">
        <v>0</v>
      </c>
      <c r="G124" s="10">
        <v>0</v>
      </c>
      <c r="H124" s="10">
        <v>0</v>
      </c>
      <c r="I124" s="10">
        <v>0</v>
      </c>
      <c r="J124" s="36"/>
      <c r="K124" s="10">
        <f t="shared" si="12"/>
        <v>-512.28185150000002</v>
      </c>
      <c r="L124" s="10">
        <v>0</v>
      </c>
      <c r="M124" s="10">
        <v>0</v>
      </c>
      <c r="N124" s="36"/>
      <c r="O124" s="10">
        <f t="shared" si="13"/>
        <v>0</v>
      </c>
      <c r="P124" s="36"/>
      <c r="Q124" s="10">
        <f t="shared" si="14"/>
        <v>-512.28185150000002</v>
      </c>
    </row>
    <row r="125" spans="1:17" s="1" customFormat="1" ht="10" x14ac:dyDescent="0.2">
      <c r="A125" s="9" t="s">
        <v>105</v>
      </c>
      <c r="B125" s="10">
        <v>0</v>
      </c>
      <c r="C125" s="10">
        <v>0</v>
      </c>
      <c r="D125" s="10">
        <v>0</v>
      </c>
      <c r="E125" s="10">
        <v>435.89540099999999</v>
      </c>
      <c r="F125" s="10">
        <v>0</v>
      </c>
      <c r="G125" s="10">
        <v>0</v>
      </c>
      <c r="H125" s="10">
        <v>0</v>
      </c>
      <c r="I125" s="10">
        <v>0</v>
      </c>
      <c r="J125" s="36"/>
      <c r="K125" s="10">
        <f t="shared" si="12"/>
        <v>435.89540099999999</v>
      </c>
      <c r="L125" s="10">
        <v>0</v>
      </c>
      <c r="M125" s="10">
        <v>0</v>
      </c>
      <c r="N125" s="36"/>
      <c r="O125" s="10">
        <f t="shared" si="13"/>
        <v>0</v>
      </c>
      <c r="P125" s="36"/>
      <c r="Q125" s="10">
        <f t="shared" si="14"/>
        <v>435.89540099999999</v>
      </c>
    </row>
    <row r="126" spans="1:17" s="1" customFormat="1" ht="10" x14ac:dyDescent="0.2">
      <c r="A126" s="9" t="s">
        <v>106</v>
      </c>
      <c r="B126" s="10">
        <v>0</v>
      </c>
      <c r="C126" s="10">
        <v>0</v>
      </c>
      <c r="D126" s="10">
        <v>0</v>
      </c>
      <c r="E126" s="10">
        <v>9.1731689999999997</v>
      </c>
      <c r="F126" s="10">
        <v>0</v>
      </c>
      <c r="G126" s="10">
        <v>0</v>
      </c>
      <c r="H126" s="10">
        <v>0</v>
      </c>
      <c r="I126" s="10">
        <v>0</v>
      </c>
      <c r="J126" s="36"/>
      <c r="K126" s="10">
        <f t="shared" si="12"/>
        <v>9.1731689999999997</v>
      </c>
      <c r="L126" s="10">
        <v>0</v>
      </c>
      <c r="M126" s="10">
        <v>0</v>
      </c>
      <c r="N126" s="36"/>
      <c r="O126" s="10">
        <f t="shared" si="13"/>
        <v>0</v>
      </c>
      <c r="P126" s="36"/>
      <c r="Q126" s="10">
        <f t="shared" si="14"/>
        <v>9.1731689999999997</v>
      </c>
    </row>
    <row r="127" spans="1:17" s="1" customFormat="1" ht="10" x14ac:dyDescent="0.2">
      <c r="A127" s="9" t="s">
        <v>107</v>
      </c>
      <c r="B127" s="10">
        <v>0</v>
      </c>
      <c r="C127" s="10">
        <v>0</v>
      </c>
      <c r="D127" s="10">
        <v>0</v>
      </c>
      <c r="E127" s="10">
        <v>-4257.5735052</v>
      </c>
      <c r="F127" s="10">
        <v>0</v>
      </c>
      <c r="G127" s="10">
        <v>0</v>
      </c>
      <c r="H127" s="10">
        <v>0</v>
      </c>
      <c r="I127" s="10">
        <v>0</v>
      </c>
      <c r="J127" s="36"/>
      <c r="K127" s="10">
        <f t="shared" si="12"/>
        <v>-4257.5735052</v>
      </c>
      <c r="L127" s="10">
        <v>0</v>
      </c>
      <c r="M127" s="10">
        <v>0</v>
      </c>
      <c r="N127" s="36"/>
      <c r="O127" s="10">
        <f t="shared" si="13"/>
        <v>0</v>
      </c>
      <c r="P127" s="36"/>
      <c r="Q127" s="10">
        <f t="shared" si="14"/>
        <v>-4257.5735052</v>
      </c>
    </row>
    <row r="128" spans="1:17" s="1" customFormat="1" ht="10" x14ac:dyDescent="0.2">
      <c r="A128" s="9" t="s">
        <v>108</v>
      </c>
      <c r="B128" s="10">
        <v>0</v>
      </c>
      <c r="C128" s="10">
        <v>0</v>
      </c>
      <c r="D128" s="10">
        <v>0</v>
      </c>
      <c r="E128" s="10">
        <v>1958.2450835</v>
      </c>
      <c r="F128" s="10">
        <v>0</v>
      </c>
      <c r="G128" s="10">
        <v>0</v>
      </c>
      <c r="H128" s="10">
        <v>0</v>
      </c>
      <c r="I128" s="10">
        <v>0</v>
      </c>
      <c r="J128" s="36"/>
      <c r="K128" s="10">
        <f t="shared" si="12"/>
        <v>1958.2450835</v>
      </c>
      <c r="L128" s="10">
        <v>0</v>
      </c>
      <c r="M128" s="10">
        <v>0</v>
      </c>
      <c r="N128" s="36"/>
      <c r="O128" s="10">
        <f t="shared" si="13"/>
        <v>0</v>
      </c>
      <c r="P128" s="36"/>
      <c r="Q128" s="10">
        <f t="shared" si="14"/>
        <v>1958.2450835</v>
      </c>
    </row>
    <row r="129" spans="1:17" s="1" customFormat="1" ht="10" x14ac:dyDescent="0.2">
      <c r="A129" s="9" t="s">
        <v>109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52494.026289624097</v>
      </c>
      <c r="J129" s="36"/>
      <c r="K129" s="10">
        <f t="shared" si="12"/>
        <v>52494.026289624097</v>
      </c>
      <c r="L129" s="10">
        <v>0</v>
      </c>
      <c r="M129" s="10">
        <v>0</v>
      </c>
      <c r="N129" s="36"/>
      <c r="O129" s="10">
        <f t="shared" si="13"/>
        <v>0</v>
      </c>
      <c r="P129" s="36"/>
      <c r="Q129" s="10">
        <f t="shared" si="14"/>
        <v>52494.026289624097</v>
      </c>
    </row>
    <row r="130" spans="1:17" s="1" customFormat="1" ht="10" x14ac:dyDescent="0.2">
      <c r="A130" s="9" t="s">
        <v>110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21165.09780379173</v>
      </c>
      <c r="J130" s="36"/>
      <c r="K130" s="10">
        <f t="shared" si="12"/>
        <v>21165.09780379173</v>
      </c>
      <c r="L130" s="10">
        <v>0</v>
      </c>
      <c r="M130" s="10">
        <v>0</v>
      </c>
      <c r="N130" s="36"/>
      <c r="O130" s="10">
        <f t="shared" si="13"/>
        <v>0</v>
      </c>
      <c r="P130" s="36"/>
      <c r="Q130" s="10">
        <f t="shared" si="14"/>
        <v>21165.09780379173</v>
      </c>
    </row>
    <row r="131" spans="1:17" s="1" customFormat="1" ht="10" x14ac:dyDescent="0.2">
      <c r="A131" s="9" t="s">
        <v>111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-2256.8056502155264</v>
      </c>
      <c r="J131" s="36"/>
      <c r="K131" s="10">
        <f t="shared" si="12"/>
        <v>-2256.8056502155264</v>
      </c>
      <c r="L131" s="10">
        <v>0</v>
      </c>
      <c r="M131" s="10">
        <v>0</v>
      </c>
      <c r="N131" s="36"/>
      <c r="O131" s="10">
        <f t="shared" si="13"/>
        <v>0</v>
      </c>
      <c r="P131" s="36"/>
      <c r="Q131" s="10">
        <f t="shared" si="14"/>
        <v>-2256.8056502155264</v>
      </c>
    </row>
    <row r="132" spans="1:17" s="1" customFormat="1" ht="10" x14ac:dyDescent="0.2">
      <c r="A132" s="9" t="s">
        <v>366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3372.8805783974526</v>
      </c>
      <c r="J132" s="36"/>
      <c r="K132" s="10">
        <f t="shared" si="12"/>
        <v>3372.8805783974526</v>
      </c>
      <c r="L132" s="10">
        <v>0</v>
      </c>
      <c r="M132" s="10">
        <v>0</v>
      </c>
      <c r="N132" s="36"/>
      <c r="O132" s="10">
        <f t="shared" si="13"/>
        <v>0</v>
      </c>
      <c r="P132" s="36"/>
      <c r="Q132" s="10">
        <f t="shared" si="14"/>
        <v>3372.8805783974526</v>
      </c>
    </row>
    <row r="133" spans="1:17" s="1" customFormat="1" ht="10" x14ac:dyDescent="0.2">
      <c r="A133" s="9" t="s">
        <v>320</v>
      </c>
      <c r="B133" s="10">
        <v>0</v>
      </c>
      <c r="C133" s="10">
        <v>0</v>
      </c>
      <c r="D133" s="10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3117.3769094816112</v>
      </c>
      <c r="J133" s="36"/>
      <c r="K133" s="10">
        <f t="shared" si="12"/>
        <v>3117.3769094816112</v>
      </c>
      <c r="L133" s="10">
        <v>0</v>
      </c>
      <c r="M133" s="10">
        <v>0</v>
      </c>
      <c r="N133" s="36"/>
      <c r="O133" s="10">
        <f t="shared" si="13"/>
        <v>0</v>
      </c>
      <c r="P133" s="36"/>
      <c r="Q133" s="10">
        <f t="shared" si="14"/>
        <v>3117.3769094816112</v>
      </c>
    </row>
    <row r="134" spans="1:17" s="1" customFormat="1" ht="10" x14ac:dyDescent="0.2">
      <c r="A134" s="9" t="s">
        <v>321</v>
      </c>
      <c r="B134" s="10">
        <v>0</v>
      </c>
      <c r="C134" s="10">
        <v>0</v>
      </c>
      <c r="D134" s="10">
        <v>0</v>
      </c>
      <c r="E134" s="10">
        <v>0</v>
      </c>
      <c r="F134" s="10">
        <v>0</v>
      </c>
      <c r="G134" s="10">
        <v>0</v>
      </c>
      <c r="H134" s="10">
        <v>0</v>
      </c>
      <c r="I134" s="10">
        <v>2729.7285921870352</v>
      </c>
      <c r="J134" s="36"/>
      <c r="K134" s="10">
        <f t="shared" si="12"/>
        <v>2729.7285921870352</v>
      </c>
      <c r="L134" s="10">
        <v>0</v>
      </c>
      <c r="M134" s="10">
        <v>0</v>
      </c>
      <c r="N134" s="36"/>
      <c r="O134" s="10">
        <f t="shared" si="13"/>
        <v>0</v>
      </c>
      <c r="P134" s="36"/>
      <c r="Q134" s="10">
        <f t="shared" si="14"/>
        <v>2729.7285921870352</v>
      </c>
    </row>
    <row r="135" spans="1:17" s="1" customFormat="1" ht="10" x14ac:dyDescent="0.2">
      <c r="A135" s="9" t="s">
        <v>322</v>
      </c>
      <c r="B135" s="10">
        <v>0</v>
      </c>
      <c r="C135" s="10">
        <v>0</v>
      </c>
      <c r="D135" s="10">
        <v>0</v>
      </c>
      <c r="E135" s="10">
        <v>0</v>
      </c>
      <c r="F135" s="10">
        <v>0</v>
      </c>
      <c r="G135" s="10">
        <v>0</v>
      </c>
      <c r="H135" s="10">
        <v>0</v>
      </c>
      <c r="I135" s="10">
        <v>40922.704005561318</v>
      </c>
      <c r="J135" s="36"/>
      <c r="K135" s="10">
        <f t="shared" si="12"/>
        <v>40922.704005561318</v>
      </c>
      <c r="L135" s="10">
        <v>0</v>
      </c>
      <c r="M135" s="10">
        <v>0</v>
      </c>
      <c r="N135" s="36"/>
      <c r="O135" s="10">
        <f t="shared" si="13"/>
        <v>0</v>
      </c>
      <c r="P135" s="36"/>
      <c r="Q135" s="10">
        <f t="shared" si="14"/>
        <v>40922.704005561318</v>
      </c>
    </row>
    <row r="136" spans="1:17" s="1" customFormat="1" ht="10" x14ac:dyDescent="0.2">
      <c r="A136" s="9" t="s">
        <v>112</v>
      </c>
      <c r="B136" s="10">
        <v>0</v>
      </c>
      <c r="C136" s="10">
        <v>-412.84376897999999</v>
      </c>
      <c r="D136" s="10">
        <v>0</v>
      </c>
      <c r="E136" s="10">
        <v>0</v>
      </c>
      <c r="F136" s="10">
        <v>0</v>
      </c>
      <c r="G136" s="10">
        <v>0</v>
      </c>
      <c r="H136" s="10">
        <v>0</v>
      </c>
      <c r="I136" s="10">
        <v>0</v>
      </c>
      <c r="J136" s="36"/>
      <c r="K136" s="10">
        <f t="shared" si="12"/>
        <v>0</v>
      </c>
      <c r="L136" s="10">
        <v>0</v>
      </c>
      <c r="M136" s="10">
        <v>0</v>
      </c>
      <c r="N136" s="36"/>
      <c r="O136" s="10">
        <f t="shared" si="13"/>
        <v>0</v>
      </c>
      <c r="P136" s="36"/>
      <c r="Q136" s="10">
        <f t="shared" si="14"/>
        <v>-412.84376897999999</v>
      </c>
    </row>
    <row r="137" spans="1:17" s="1" customFormat="1" ht="10" x14ac:dyDescent="0.2">
      <c r="A137" s="9" t="s">
        <v>113</v>
      </c>
      <c r="B137" s="10">
        <v>0</v>
      </c>
      <c r="C137" s="10">
        <v>-998.49994852999998</v>
      </c>
      <c r="D137" s="10">
        <v>0</v>
      </c>
      <c r="E137" s="10">
        <v>0</v>
      </c>
      <c r="F137" s="10">
        <v>0</v>
      </c>
      <c r="G137" s="10">
        <v>0</v>
      </c>
      <c r="H137" s="10">
        <v>0</v>
      </c>
      <c r="I137" s="10">
        <v>0</v>
      </c>
      <c r="J137" s="36"/>
      <c r="K137" s="10">
        <f t="shared" si="12"/>
        <v>0</v>
      </c>
      <c r="L137" s="10">
        <v>0</v>
      </c>
      <c r="M137" s="10">
        <v>0</v>
      </c>
      <c r="N137" s="36"/>
      <c r="O137" s="10">
        <f t="shared" si="13"/>
        <v>0</v>
      </c>
      <c r="P137" s="36"/>
      <c r="Q137" s="10">
        <f t="shared" si="14"/>
        <v>-998.49994852999998</v>
      </c>
    </row>
    <row r="138" spans="1:17" s="1" customFormat="1" ht="10.5" x14ac:dyDescent="0.25">
      <c r="A138" s="11" t="s">
        <v>114</v>
      </c>
      <c r="B138" s="12">
        <f t="shared" ref="B138:Q138" si="28">SUM(B120:B137)</f>
        <v>0</v>
      </c>
      <c r="C138" s="12">
        <f t="shared" si="28"/>
        <v>-1411.34371751</v>
      </c>
      <c r="D138" s="12">
        <f t="shared" si="28"/>
        <v>3058.5270679</v>
      </c>
      <c r="E138" s="12">
        <f t="shared" si="28"/>
        <v>-2366.5417032000005</v>
      </c>
      <c r="F138" s="12">
        <f t="shared" si="28"/>
        <v>0</v>
      </c>
      <c r="G138" s="12">
        <f t="shared" si="28"/>
        <v>0</v>
      </c>
      <c r="H138" s="12">
        <f t="shared" si="28"/>
        <v>0</v>
      </c>
      <c r="I138" s="12">
        <f t="shared" si="28"/>
        <v>121545.00852882772</v>
      </c>
      <c r="J138" s="37">
        <f t="shared" si="28"/>
        <v>0</v>
      </c>
      <c r="K138" s="12">
        <f t="shared" si="12"/>
        <v>122236.99389352772</v>
      </c>
      <c r="L138" s="12">
        <f t="shared" si="28"/>
        <v>0</v>
      </c>
      <c r="M138" s="12">
        <f t="shared" si="28"/>
        <v>0</v>
      </c>
      <c r="N138" s="37">
        <f t="shared" si="28"/>
        <v>0</v>
      </c>
      <c r="O138" s="12">
        <f t="shared" si="13"/>
        <v>0</v>
      </c>
      <c r="P138" s="37">
        <f t="shared" si="28"/>
        <v>0</v>
      </c>
      <c r="Q138" s="12">
        <f t="shared" si="14"/>
        <v>120825.65017601772</v>
      </c>
    </row>
    <row r="139" spans="1:17" s="1" customFormat="1" ht="10.5" x14ac:dyDescent="0.25">
      <c r="A139" s="13" t="s">
        <v>115</v>
      </c>
      <c r="B139" s="12">
        <f t="shared" ref="B139:Q139" si="29">SUM(B138)</f>
        <v>0</v>
      </c>
      <c r="C139" s="12">
        <f t="shared" si="29"/>
        <v>-1411.34371751</v>
      </c>
      <c r="D139" s="12">
        <f t="shared" si="29"/>
        <v>3058.5270679</v>
      </c>
      <c r="E139" s="12">
        <f t="shared" si="29"/>
        <v>-2366.5417032000005</v>
      </c>
      <c r="F139" s="12">
        <f t="shared" si="29"/>
        <v>0</v>
      </c>
      <c r="G139" s="12">
        <f t="shared" si="29"/>
        <v>0</v>
      </c>
      <c r="H139" s="12">
        <f t="shared" si="29"/>
        <v>0</v>
      </c>
      <c r="I139" s="12">
        <f t="shared" si="29"/>
        <v>121545.00852882772</v>
      </c>
      <c r="J139" s="37">
        <f t="shared" si="29"/>
        <v>0</v>
      </c>
      <c r="K139" s="12">
        <f t="shared" si="12"/>
        <v>122236.99389352772</v>
      </c>
      <c r="L139" s="12">
        <f t="shared" si="29"/>
        <v>0</v>
      </c>
      <c r="M139" s="12">
        <f t="shared" si="29"/>
        <v>0</v>
      </c>
      <c r="N139" s="37">
        <f t="shared" si="29"/>
        <v>0</v>
      </c>
      <c r="O139" s="12">
        <f t="shared" si="13"/>
        <v>0</v>
      </c>
      <c r="P139" s="37">
        <f t="shared" si="29"/>
        <v>0</v>
      </c>
      <c r="Q139" s="12">
        <f t="shared" si="14"/>
        <v>120825.65017601772</v>
      </c>
    </row>
    <row r="140" spans="1:17" s="1" customFormat="1" ht="10.5" x14ac:dyDescent="0.25">
      <c r="A140" s="7" t="s">
        <v>116</v>
      </c>
      <c r="B140" s="5"/>
      <c r="C140" s="5"/>
      <c r="D140" s="5"/>
      <c r="E140" s="5"/>
      <c r="F140" s="5"/>
      <c r="G140" s="5"/>
      <c r="H140" s="5"/>
      <c r="I140" s="5"/>
      <c r="J140" s="35"/>
      <c r="K140" s="5">
        <f t="shared" si="12"/>
        <v>0</v>
      </c>
      <c r="L140" s="5"/>
      <c r="M140" s="5"/>
      <c r="N140" s="35"/>
      <c r="O140" s="5">
        <f t="shared" si="13"/>
        <v>0</v>
      </c>
      <c r="P140" s="35"/>
      <c r="Q140" s="5">
        <f t="shared" si="14"/>
        <v>0</v>
      </c>
    </row>
    <row r="141" spans="1:17" s="1" customFormat="1" ht="10.5" x14ac:dyDescent="0.25">
      <c r="A141" s="8" t="s">
        <v>117</v>
      </c>
      <c r="B141" s="5"/>
      <c r="C141" s="5"/>
      <c r="D141" s="5"/>
      <c r="E141" s="5"/>
      <c r="F141" s="5"/>
      <c r="G141" s="5"/>
      <c r="H141" s="5"/>
      <c r="I141" s="5"/>
      <c r="J141" s="35"/>
      <c r="K141" s="5">
        <f t="shared" ref="K141:K204" si="30">SUM(D141:J141)</f>
        <v>0</v>
      </c>
      <c r="L141" s="5"/>
      <c r="M141" s="5"/>
      <c r="N141" s="35"/>
      <c r="O141" s="5">
        <f t="shared" ref="O141:O204" si="31">SUM(L141:N141)</f>
        <v>0</v>
      </c>
      <c r="P141" s="35"/>
      <c r="Q141" s="5">
        <f t="shared" ref="Q141:Q204" si="32">SUM(B141,K141,O141,P141)+C141</f>
        <v>0</v>
      </c>
    </row>
    <row r="142" spans="1:17" s="1" customFormat="1" ht="10" x14ac:dyDescent="0.2">
      <c r="A142" s="9" t="s">
        <v>118</v>
      </c>
      <c r="B142" s="10">
        <v>0</v>
      </c>
      <c r="C142" s="10">
        <v>0</v>
      </c>
      <c r="D142" s="10">
        <v>89.138287899999995</v>
      </c>
      <c r="E142" s="10">
        <v>0</v>
      </c>
      <c r="F142" s="10">
        <v>0</v>
      </c>
      <c r="G142" s="10">
        <v>0</v>
      </c>
      <c r="H142" s="10">
        <v>0</v>
      </c>
      <c r="I142" s="10">
        <v>0</v>
      </c>
      <c r="J142" s="36"/>
      <c r="K142" s="10">
        <f t="shared" si="30"/>
        <v>89.138287899999995</v>
      </c>
      <c r="L142" s="10">
        <v>0</v>
      </c>
      <c r="M142" s="10">
        <v>0</v>
      </c>
      <c r="N142" s="36"/>
      <c r="O142" s="10">
        <f t="shared" si="31"/>
        <v>0</v>
      </c>
      <c r="P142" s="36"/>
      <c r="Q142" s="10">
        <f t="shared" si="32"/>
        <v>89.138287899999995</v>
      </c>
    </row>
    <row r="143" spans="1:17" s="1" customFormat="1" ht="10" x14ac:dyDescent="0.2">
      <c r="A143" s="9" t="s">
        <v>367</v>
      </c>
      <c r="B143" s="10">
        <v>0</v>
      </c>
      <c r="C143" s="10">
        <v>0</v>
      </c>
      <c r="D143" s="10">
        <v>0</v>
      </c>
      <c r="E143" s="10">
        <v>0</v>
      </c>
      <c r="F143" s="10">
        <v>0</v>
      </c>
      <c r="G143" s="10">
        <v>424.30534862482199</v>
      </c>
      <c r="H143" s="10">
        <v>0</v>
      </c>
      <c r="I143" s="10">
        <v>0</v>
      </c>
      <c r="J143" s="36"/>
      <c r="K143" s="10">
        <f t="shared" si="30"/>
        <v>424.30534862482199</v>
      </c>
      <c r="L143" s="10">
        <v>0</v>
      </c>
      <c r="M143" s="10">
        <v>0</v>
      </c>
      <c r="N143" s="36"/>
      <c r="O143" s="10">
        <f t="shared" si="31"/>
        <v>0</v>
      </c>
      <c r="P143" s="36"/>
      <c r="Q143" s="10">
        <f t="shared" si="32"/>
        <v>424.30534862482199</v>
      </c>
    </row>
    <row r="144" spans="1:17" s="1" customFormat="1" ht="10" x14ac:dyDescent="0.2">
      <c r="A144" s="9" t="s">
        <v>119</v>
      </c>
      <c r="B144" s="10">
        <v>0</v>
      </c>
      <c r="C144" s="10">
        <v>0</v>
      </c>
      <c r="D144" s="10">
        <v>-232447.5701897</v>
      </c>
      <c r="E144" s="10">
        <v>0</v>
      </c>
      <c r="F144" s="10">
        <v>2216.8839933031259</v>
      </c>
      <c r="G144" s="10">
        <v>0</v>
      </c>
      <c r="H144" s="10">
        <v>0</v>
      </c>
      <c r="I144" s="10">
        <v>0</v>
      </c>
      <c r="J144" s="36"/>
      <c r="K144" s="10">
        <f t="shared" si="30"/>
        <v>-230230.68619639688</v>
      </c>
      <c r="L144" s="10">
        <v>0</v>
      </c>
      <c r="M144" s="10">
        <v>0</v>
      </c>
      <c r="N144" s="36"/>
      <c r="O144" s="10">
        <f t="shared" si="31"/>
        <v>0</v>
      </c>
      <c r="P144" s="36"/>
      <c r="Q144" s="10">
        <f t="shared" si="32"/>
        <v>-230230.68619639688</v>
      </c>
    </row>
    <row r="145" spans="1:17" s="1" customFormat="1" ht="10" x14ac:dyDescent="0.2">
      <c r="A145" s="9" t="s">
        <v>120</v>
      </c>
      <c r="B145" s="10">
        <v>0</v>
      </c>
      <c r="C145" s="10">
        <v>0</v>
      </c>
      <c r="D145" s="10">
        <v>36.307629400000003</v>
      </c>
      <c r="E145" s="10">
        <v>0</v>
      </c>
      <c r="F145" s="10">
        <v>3577.8024885877844</v>
      </c>
      <c r="G145" s="10">
        <v>0</v>
      </c>
      <c r="H145" s="10">
        <v>0</v>
      </c>
      <c r="I145" s="10">
        <v>0</v>
      </c>
      <c r="J145" s="36"/>
      <c r="K145" s="10">
        <f t="shared" si="30"/>
        <v>3614.1101179877846</v>
      </c>
      <c r="L145" s="10">
        <v>0</v>
      </c>
      <c r="M145" s="10">
        <v>0</v>
      </c>
      <c r="N145" s="36"/>
      <c r="O145" s="10">
        <f t="shared" si="31"/>
        <v>0</v>
      </c>
      <c r="P145" s="36"/>
      <c r="Q145" s="10">
        <f t="shared" si="32"/>
        <v>3614.1101179877846</v>
      </c>
    </row>
    <row r="146" spans="1:17" s="1" customFormat="1" ht="10" x14ac:dyDescent="0.2">
      <c r="A146" s="9" t="s">
        <v>121</v>
      </c>
      <c r="B146" s="10">
        <v>0</v>
      </c>
      <c r="C146" s="10">
        <v>0</v>
      </c>
      <c r="D146" s="10">
        <v>127722.7431454</v>
      </c>
      <c r="E146" s="10">
        <v>0</v>
      </c>
      <c r="F146" s="10">
        <v>79.300700029310093</v>
      </c>
      <c r="G146" s="10">
        <v>0</v>
      </c>
      <c r="H146" s="10">
        <v>0</v>
      </c>
      <c r="I146" s="10">
        <v>0</v>
      </c>
      <c r="J146" s="36"/>
      <c r="K146" s="10">
        <f t="shared" si="30"/>
        <v>127802.04384542932</v>
      </c>
      <c r="L146" s="10">
        <v>0</v>
      </c>
      <c r="M146" s="10">
        <v>0</v>
      </c>
      <c r="N146" s="36"/>
      <c r="O146" s="10">
        <f t="shared" si="31"/>
        <v>0</v>
      </c>
      <c r="P146" s="36"/>
      <c r="Q146" s="10">
        <f t="shared" si="32"/>
        <v>127802.04384542932</v>
      </c>
    </row>
    <row r="147" spans="1:17" s="1" customFormat="1" ht="10.5" x14ac:dyDescent="0.25">
      <c r="A147" s="14" t="s">
        <v>122</v>
      </c>
      <c r="B147" s="5"/>
      <c r="C147" s="5"/>
      <c r="D147" s="5"/>
      <c r="E147" s="5"/>
      <c r="F147" s="5"/>
      <c r="G147" s="5"/>
      <c r="H147" s="5"/>
      <c r="I147" s="5"/>
      <c r="J147" s="35"/>
      <c r="K147" s="5">
        <f t="shared" si="30"/>
        <v>0</v>
      </c>
      <c r="L147" s="5"/>
      <c r="M147" s="5"/>
      <c r="N147" s="35"/>
      <c r="O147" s="5">
        <f t="shared" si="31"/>
        <v>0</v>
      </c>
      <c r="P147" s="35"/>
      <c r="Q147" s="5">
        <f t="shared" si="32"/>
        <v>0</v>
      </c>
    </row>
    <row r="148" spans="1:17" s="1" customFormat="1" ht="10" x14ac:dyDescent="0.2">
      <c r="A148" s="15" t="s">
        <v>122</v>
      </c>
      <c r="B148" s="10">
        <v>276722.59999999998</v>
      </c>
      <c r="C148" s="10">
        <v>7896.5748000000003</v>
      </c>
      <c r="D148" s="10">
        <v>93806.830701300001</v>
      </c>
      <c r="E148" s="10">
        <v>3114.3474999999999</v>
      </c>
      <c r="F148" s="10">
        <v>39712.059796788999</v>
      </c>
      <c r="G148" s="10">
        <v>0</v>
      </c>
      <c r="H148" s="10">
        <v>3114.3474999999999</v>
      </c>
      <c r="I148" s="10">
        <v>77049.355786479995</v>
      </c>
      <c r="J148" s="36"/>
      <c r="K148" s="10">
        <f t="shared" si="30"/>
        <v>216796.94128456898</v>
      </c>
      <c r="L148" s="10">
        <v>2898.5997000000002</v>
      </c>
      <c r="M148" s="10">
        <v>2898.5997000000002</v>
      </c>
      <c r="N148" s="36"/>
      <c r="O148" s="10">
        <f t="shared" si="31"/>
        <v>5797.1994000000004</v>
      </c>
      <c r="P148" s="36"/>
      <c r="Q148" s="10">
        <f t="shared" si="32"/>
        <v>507213.31548456894</v>
      </c>
    </row>
    <row r="149" spans="1:17" s="1" customFormat="1" ht="10" x14ac:dyDescent="0.2">
      <c r="A149" s="15" t="s">
        <v>426</v>
      </c>
      <c r="B149" s="10">
        <v>0</v>
      </c>
      <c r="C149" s="10">
        <v>0</v>
      </c>
      <c r="D149" s="10">
        <v>0</v>
      </c>
      <c r="E149" s="10">
        <v>0</v>
      </c>
      <c r="F149" s="10">
        <v>0</v>
      </c>
      <c r="G149" s="10">
        <v>1660.5758932196054</v>
      </c>
      <c r="H149" s="10">
        <v>0</v>
      </c>
      <c r="I149" s="10">
        <v>0</v>
      </c>
      <c r="J149" s="36"/>
      <c r="K149" s="10">
        <f t="shared" si="30"/>
        <v>1660.5758932196054</v>
      </c>
      <c r="L149" s="10">
        <v>0</v>
      </c>
      <c r="M149" s="10">
        <v>0</v>
      </c>
      <c r="N149" s="36"/>
      <c r="O149" s="10">
        <f t="shared" si="31"/>
        <v>0</v>
      </c>
      <c r="P149" s="36"/>
      <c r="Q149" s="10">
        <f t="shared" si="32"/>
        <v>1660.5758932196054</v>
      </c>
    </row>
    <row r="150" spans="1:17" s="1" customFormat="1" ht="10.5" x14ac:dyDescent="0.25">
      <c r="A150" s="16" t="s">
        <v>368</v>
      </c>
      <c r="B150" s="12">
        <f t="shared" ref="B150:Q150" si="33">SUM(B148:B149)</f>
        <v>276722.59999999998</v>
      </c>
      <c r="C150" s="12">
        <f t="shared" si="33"/>
        <v>7896.5748000000003</v>
      </c>
      <c r="D150" s="12">
        <f t="shared" si="33"/>
        <v>93806.830701300001</v>
      </c>
      <c r="E150" s="12">
        <f t="shared" si="33"/>
        <v>3114.3474999999999</v>
      </c>
      <c r="F150" s="12">
        <f t="shared" si="33"/>
        <v>39712.059796788999</v>
      </c>
      <c r="G150" s="12">
        <f t="shared" si="33"/>
        <v>1660.5758932196054</v>
      </c>
      <c r="H150" s="12">
        <f t="shared" si="33"/>
        <v>3114.3474999999999</v>
      </c>
      <c r="I150" s="12">
        <f t="shared" si="33"/>
        <v>77049.355786479995</v>
      </c>
      <c r="J150" s="37">
        <f t="shared" si="33"/>
        <v>0</v>
      </c>
      <c r="K150" s="12">
        <f t="shared" si="30"/>
        <v>218457.5171777886</v>
      </c>
      <c r="L150" s="12">
        <f t="shared" si="33"/>
        <v>2898.5997000000002</v>
      </c>
      <c r="M150" s="12">
        <f t="shared" si="33"/>
        <v>2898.5997000000002</v>
      </c>
      <c r="N150" s="37">
        <f t="shared" si="33"/>
        <v>0</v>
      </c>
      <c r="O150" s="12">
        <f t="shared" si="31"/>
        <v>5797.1994000000004</v>
      </c>
      <c r="P150" s="37">
        <f t="shared" si="33"/>
        <v>0</v>
      </c>
      <c r="Q150" s="12">
        <f t="shared" si="32"/>
        <v>508873.89137778856</v>
      </c>
    </row>
    <row r="151" spans="1:17" s="1" customFormat="1" ht="10.5" x14ac:dyDescent="0.25">
      <c r="A151" s="14" t="s">
        <v>123</v>
      </c>
      <c r="B151" s="5"/>
      <c r="C151" s="5"/>
      <c r="D151" s="5"/>
      <c r="E151" s="5"/>
      <c r="F151" s="5"/>
      <c r="G151" s="5"/>
      <c r="H151" s="5"/>
      <c r="I151" s="5"/>
      <c r="J151" s="35"/>
      <c r="K151" s="5">
        <f t="shared" si="30"/>
        <v>0</v>
      </c>
      <c r="L151" s="5"/>
      <c r="M151" s="5"/>
      <c r="N151" s="35"/>
      <c r="O151" s="5">
        <f t="shared" si="31"/>
        <v>0</v>
      </c>
      <c r="P151" s="35"/>
      <c r="Q151" s="5">
        <f t="shared" si="32"/>
        <v>0</v>
      </c>
    </row>
    <row r="152" spans="1:17" s="1" customFormat="1" ht="10" x14ac:dyDescent="0.2">
      <c r="A152" s="15" t="s">
        <v>124</v>
      </c>
      <c r="B152" s="10">
        <v>0</v>
      </c>
      <c r="C152" s="10">
        <v>0</v>
      </c>
      <c r="D152" s="10">
        <v>44261.0500455</v>
      </c>
      <c r="E152" s="10">
        <v>0</v>
      </c>
      <c r="F152" s="10">
        <v>0</v>
      </c>
      <c r="G152" s="10">
        <v>0</v>
      </c>
      <c r="H152" s="10">
        <v>0</v>
      </c>
      <c r="I152" s="10">
        <v>0</v>
      </c>
      <c r="J152" s="36"/>
      <c r="K152" s="10">
        <f t="shared" si="30"/>
        <v>44261.0500455</v>
      </c>
      <c r="L152" s="10">
        <v>0</v>
      </c>
      <c r="M152" s="10">
        <v>0</v>
      </c>
      <c r="N152" s="36"/>
      <c r="O152" s="10">
        <f t="shared" si="31"/>
        <v>0</v>
      </c>
      <c r="P152" s="36"/>
      <c r="Q152" s="10">
        <f t="shared" si="32"/>
        <v>44261.0500455</v>
      </c>
    </row>
    <row r="153" spans="1:17" s="1" customFormat="1" ht="10" x14ac:dyDescent="0.2">
      <c r="A153" s="15" t="s">
        <v>323</v>
      </c>
      <c r="B153" s="10">
        <v>0</v>
      </c>
      <c r="C153" s="10">
        <v>0</v>
      </c>
      <c r="D153" s="10">
        <v>282582.84586519998</v>
      </c>
      <c r="E153" s="10">
        <v>0</v>
      </c>
      <c r="F153" s="10">
        <v>0</v>
      </c>
      <c r="G153" s="10">
        <v>0</v>
      </c>
      <c r="H153" s="10">
        <v>0</v>
      </c>
      <c r="I153" s="10">
        <v>0</v>
      </c>
      <c r="J153" s="36"/>
      <c r="K153" s="10">
        <f t="shared" si="30"/>
        <v>282582.84586519998</v>
      </c>
      <c r="L153" s="10">
        <v>0</v>
      </c>
      <c r="M153" s="10">
        <v>0</v>
      </c>
      <c r="N153" s="36"/>
      <c r="O153" s="10">
        <f t="shared" si="31"/>
        <v>0</v>
      </c>
      <c r="P153" s="36"/>
      <c r="Q153" s="10">
        <f t="shared" si="32"/>
        <v>282582.84586519998</v>
      </c>
    </row>
    <row r="154" spans="1:17" s="1" customFormat="1" ht="10" x14ac:dyDescent="0.2">
      <c r="A154" s="15" t="s">
        <v>125</v>
      </c>
      <c r="B154" s="10">
        <v>0</v>
      </c>
      <c r="C154" s="10">
        <v>0</v>
      </c>
      <c r="D154" s="10">
        <v>94793.761761600006</v>
      </c>
      <c r="E154" s="10">
        <v>0</v>
      </c>
      <c r="F154" s="10">
        <v>0</v>
      </c>
      <c r="G154" s="10">
        <v>0</v>
      </c>
      <c r="H154" s="10">
        <v>0</v>
      </c>
      <c r="I154" s="10">
        <v>0</v>
      </c>
      <c r="J154" s="36"/>
      <c r="K154" s="10">
        <f t="shared" si="30"/>
        <v>94793.761761600006</v>
      </c>
      <c r="L154" s="10">
        <v>0</v>
      </c>
      <c r="M154" s="10">
        <v>0</v>
      </c>
      <c r="N154" s="36"/>
      <c r="O154" s="10">
        <f t="shared" si="31"/>
        <v>0</v>
      </c>
      <c r="P154" s="36"/>
      <c r="Q154" s="10">
        <f t="shared" si="32"/>
        <v>94793.761761600006</v>
      </c>
    </row>
    <row r="155" spans="1:17" s="1" customFormat="1" ht="10" x14ac:dyDescent="0.2">
      <c r="A155" s="15" t="s">
        <v>126</v>
      </c>
      <c r="B155" s="10">
        <v>0</v>
      </c>
      <c r="C155" s="10">
        <v>0</v>
      </c>
      <c r="D155" s="10">
        <v>120225.7725944</v>
      </c>
      <c r="E155" s="10">
        <v>0</v>
      </c>
      <c r="F155" s="10">
        <v>0</v>
      </c>
      <c r="G155" s="10">
        <v>0</v>
      </c>
      <c r="H155" s="10">
        <v>0</v>
      </c>
      <c r="I155" s="10">
        <v>-9995.5428813111539</v>
      </c>
      <c r="J155" s="36"/>
      <c r="K155" s="10">
        <f t="shared" si="30"/>
        <v>110230.22971308885</v>
      </c>
      <c r="L155" s="10">
        <v>0</v>
      </c>
      <c r="M155" s="10">
        <v>0</v>
      </c>
      <c r="N155" s="36"/>
      <c r="O155" s="10">
        <f t="shared" si="31"/>
        <v>0</v>
      </c>
      <c r="P155" s="36"/>
      <c r="Q155" s="10">
        <f t="shared" si="32"/>
        <v>110230.22971308885</v>
      </c>
    </row>
    <row r="156" spans="1:17" s="1" customFormat="1" ht="10" x14ac:dyDescent="0.2">
      <c r="A156" s="15" t="s">
        <v>127</v>
      </c>
      <c r="B156" s="10">
        <v>0</v>
      </c>
      <c r="C156" s="10">
        <v>0</v>
      </c>
      <c r="D156" s="10">
        <v>-21692.211755600001</v>
      </c>
      <c r="E156" s="10">
        <v>0</v>
      </c>
      <c r="F156" s="10">
        <v>0</v>
      </c>
      <c r="G156" s="10">
        <v>0</v>
      </c>
      <c r="H156" s="10">
        <v>0</v>
      </c>
      <c r="I156" s="10">
        <v>0</v>
      </c>
      <c r="J156" s="36"/>
      <c r="K156" s="10">
        <f t="shared" si="30"/>
        <v>-21692.211755600001</v>
      </c>
      <c r="L156" s="10">
        <v>0</v>
      </c>
      <c r="M156" s="10">
        <v>0</v>
      </c>
      <c r="N156" s="36"/>
      <c r="O156" s="10">
        <f t="shared" si="31"/>
        <v>0</v>
      </c>
      <c r="P156" s="36"/>
      <c r="Q156" s="10">
        <f t="shared" si="32"/>
        <v>-21692.211755600001</v>
      </c>
    </row>
    <row r="157" spans="1:17" s="1" customFormat="1" ht="10" x14ac:dyDescent="0.2">
      <c r="A157" s="15" t="s">
        <v>369</v>
      </c>
      <c r="B157" s="10">
        <v>0</v>
      </c>
      <c r="C157" s="10">
        <v>0</v>
      </c>
      <c r="D157" s="10">
        <v>-410.42570089999998</v>
      </c>
      <c r="E157" s="10">
        <v>0</v>
      </c>
      <c r="F157" s="10">
        <v>0</v>
      </c>
      <c r="G157" s="10">
        <v>0</v>
      </c>
      <c r="H157" s="10">
        <v>0</v>
      </c>
      <c r="I157" s="10">
        <v>0</v>
      </c>
      <c r="J157" s="36"/>
      <c r="K157" s="10">
        <f t="shared" si="30"/>
        <v>-410.42570089999998</v>
      </c>
      <c r="L157" s="10">
        <v>0</v>
      </c>
      <c r="M157" s="10">
        <v>0</v>
      </c>
      <c r="N157" s="36"/>
      <c r="O157" s="10">
        <f t="shared" si="31"/>
        <v>0</v>
      </c>
      <c r="P157" s="36"/>
      <c r="Q157" s="10">
        <f t="shared" si="32"/>
        <v>-410.42570089999998</v>
      </c>
    </row>
    <row r="158" spans="1:17" s="1" customFormat="1" ht="10.5" x14ac:dyDescent="0.25">
      <c r="A158" s="16" t="s">
        <v>128</v>
      </c>
      <c r="B158" s="12">
        <f t="shared" ref="B158:Q158" si="34">SUM(B152:B157)</f>
        <v>0</v>
      </c>
      <c r="C158" s="12">
        <f t="shared" si="34"/>
        <v>0</v>
      </c>
      <c r="D158" s="12">
        <f t="shared" si="34"/>
        <v>519760.79281019996</v>
      </c>
      <c r="E158" s="12">
        <f t="shared" si="34"/>
        <v>0</v>
      </c>
      <c r="F158" s="12">
        <f t="shared" si="34"/>
        <v>0</v>
      </c>
      <c r="G158" s="12">
        <f t="shared" si="34"/>
        <v>0</v>
      </c>
      <c r="H158" s="12">
        <f t="shared" si="34"/>
        <v>0</v>
      </c>
      <c r="I158" s="12">
        <f t="shared" si="34"/>
        <v>-9995.5428813111539</v>
      </c>
      <c r="J158" s="37">
        <f t="shared" si="34"/>
        <v>0</v>
      </c>
      <c r="K158" s="12">
        <f t="shared" si="30"/>
        <v>509765.24992888881</v>
      </c>
      <c r="L158" s="12">
        <f t="shared" si="34"/>
        <v>0</v>
      </c>
      <c r="M158" s="12">
        <f t="shared" si="34"/>
        <v>0</v>
      </c>
      <c r="N158" s="37">
        <f t="shared" si="34"/>
        <v>0</v>
      </c>
      <c r="O158" s="12">
        <f t="shared" si="31"/>
        <v>0</v>
      </c>
      <c r="P158" s="37">
        <f t="shared" si="34"/>
        <v>0</v>
      </c>
      <c r="Q158" s="12">
        <f t="shared" si="32"/>
        <v>509765.24992888881</v>
      </c>
    </row>
    <row r="159" spans="1:17" s="1" customFormat="1" ht="10.5" x14ac:dyDescent="0.25">
      <c r="A159" s="11" t="s">
        <v>129</v>
      </c>
      <c r="B159" s="12">
        <f t="shared" ref="B159:Q159" si="35">SUM(B142:B146,B150,B158)</f>
        <v>276722.59999999998</v>
      </c>
      <c r="C159" s="12">
        <f t="shared" si="35"/>
        <v>7896.5748000000003</v>
      </c>
      <c r="D159" s="12">
        <f t="shared" si="35"/>
        <v>508968.24238449993</v>
      </c>
      <c r="E159" s="12">
        <f t="shared" si="35"/>
        <v>3114.3474999999999</v>
      </c>
      <c r="F159" s="12">
        <f t="shared" si="35"/>
        <v>45586.046978709222</v>
      </c>
      <c r="G159" s="12">
        <f t="shared" si="35"/>
        <v>2084.8812418444272</v>
      </c>
      <c r="H159" s="12">
        <f t="shared" si="35"/>
        <v>3114.3474999999999</v>
      </c>
      <c r="I159" s="12">
        <f t="shared" si="35"/>
        <v>67053.812905168845</v>
      </c>
      <c r="J159" s="37">
        <f t="shared" si="35"/>
        <v>0</v>
      </c>
      <c r="K159" s="12">
        <f t="shared" si="30"/>
        <v>629921.67851022235</v>
      </c>
      <c r="L159" s="12">
        <f t="shared" si="35"/>
        <v>2898.5997000000002</v>
      </c>
      <c r="M159" s="12">
        <f t="shared" si="35"/>
        <v>2898.5997000000002</v>
      </c>
      <c r="N159" s="37">
        <f t="shared" si="35"/>
        <v>0</v>
      </c>
      <c r="O159" s="12">
        <f t="shared" si="31"/>
        <v>5797.1994000000004</v>
      </c>
      <c r="P159" s="37">
        <f t="shared" si="35"/>
        <v>0</v>
      </c>
      <c r="Q159" s="12">
        <f t="shared" si="32"/>
        <v>920338.05271022231</v>
      </c>
    </row>
    <row r="160" spans="1:17" s="1" customFormat="1" ht="10" x14ac:dyDescent="0.2">
      <c r="A160" s="17" t="s">
        <v>130</v>
      </c>
      <c r="B160" s="10">
        <v>0</v>
      </c>
      <c r="C160" s="10">
        <v>0</v>
      </c>
      <c r="D160" s="10">
        <v>-1724.8388944999999</v>
      </c>
      <c r="E160" s="10">
        <v>54.359520000000003</v>
      </c>
      <c r="F160" s="10">
        <v>0</v>
      </c>
      <c r="G160" s="10">
        <v>405.14362031629997</v>
      </c>
      <c r="H160" s="10">
        <v>0</v>
      </c>
      <c r="I160" s="10">
        <v>0</v>
      </c>
      <c r="J160" s="36"/>
      <c r="K160" s="10">
        <f t="shared" si="30"/>
        <v>-1265.3357541836999</v>
      </c>
      <c r="L160" s="10">
        <v>0</v>
      </c>
      <c r="M160" s="10">
        <v>0</v>
      </c>
      <c r="N160" s="36"/>
      <c r="O160" s="10">
        <f t="shared" si="31"/>
        <v>0</v>
      </c>
      <c r="P160" s="36"/>
      <c r="Q160" s="10">
        <f t="shared" si="32"/>
        <v>-1265.3357541836999</v>
      </c>
    </row>
    <row r="161" spans="1:17" s="1" customFormat="1" ht="10.5" x14ac:dyDescent="0.25">
      <c r="A161" s="8" t="s">
        <v>131</v>
      </c>
      <c r="B161" s="5"/>
      <c r="C161" s="5"/>
      <c r="D161" s="5"/>
      <c r="E161" s="5"/>
      <c r="F161" s="5"/>
      <c r="G161" s="5"/>
      <c r="H161" s="5"/>
      <c r="I161" s="5"/>
      <c r="J161" s="35"/>
      <c r="K161" s="5">
        <f t="shared" si="30"/>
        <v>0</v>
      </c>
      <c r="L161" s="5"/>
      <c r="M161" s="5"/>
      <c r="N161" s="35"/>
      <c r="O161" s="5">
        <f t="shared" si="31"/>
        <v>0</v>
      </c>
      <c r="P161" s="35"/>
      <c r="Q161" s="5">
        <f t="shared" si="32"/>
        <v>0</v>
      </c>
    </row>
    <row r="162" spans="1:17" s="1" customFormat="1" ht="10" x14ac:dyDescent="0.2">
      <c r="A162" s="9" t="s">
        <v>132</v>
      </c>
      <c r="B162" s="10">
        <v>0</v>
      </c>
      <c r="C162" s="10">
        <v>0</v>
      </c>
      <c r="D162" s="10">
        <v>30147.506669499999</v>
      </c>
      <c r="E162" s="10">
        <v>0</v>
      </c>
      <c r="F162" s="10">
        <v>0</v>
      </c>
      <c r="G162" s="10">
        <v>0</v>
      </c>
      <c r="H162" s="10">
        <v>0</v>
      </c>
      <c r="I162" s="10">
        <v>4794.5312503465902</v>
      </c>
      <c r="J162" s="36"/>
      <c r="K162" s="10">
        <f t="shared" si="30"/>
        <v>34942.037919846589</v>
      </c>
      <c r="L162" s="10">
        <v>0</v>
      </c>
      <c r="M162" s="10">
        <v>0</v>
      </c>
      <c r="N162" s="36"/>
      <c r="O162" s="10">
        <f t="shared" si="31"/>
        <v>0</v>
      </c>
      <c r="P162" s="36"/>
      <c r="Q162" s="10">
        <f t="shared" si="32"/>
        <v>34942.037919846589</v>
      </c>
    </row>
    <row r="163" spans="1:17" s="1" customFormat="1" ht="10.5" x14ac:dyDescent="0.25">
      <c r="A163" s="14" t="s">
        <v>133</v>
      </c>
      <c r="B163" s="5"/>
      <c r="C163" s="5"/>
      <c r="D163" s="5"/>
      <c r="E163" s="5"/>
      <c r="F163" s="5"/>
      <c r="G163" s="5"/>
      <c r="H163" s="5"/>
      <c r="I163" s="5"/>
      <c r="J163" s="35"/>
      <c r="K163" s="5">
        <f t="shared" si="30"/>
        <v>0</v>
      </c>
      <c r="L163" s="5"/>
      <c r="M163" s="5"/>
      <c r="N163" s="35"/>
      <c r="O163" s="5">
        <f t="shared" si="31"/>
        <v>0</v>
      </c>
      <c r="P163" s="35"/>
      <c r="Q163" s="5">
        <f t="shared" si="32"/>
        <v>0</v>
      </c>
    </row>
    <row r="164" spans="1:17" s="1" customFormat="1" ht="10" x14ac:dyDescent="0.2">
      <c r="A164" s="15" t="s">
        <v>133</v>
      </c>
      <c r="B164" s="10">
        <v>0</v>
      </c>
      <c r="C164" s="10">
        <v>0</v>
      </c>
      <c r="D164" s="10">
        <v>445910.17994350003</v>
      </c>
      <c r="E164" s="10">
        <v>0</v>
      </c>
      <c r="F164" s="10">
        <v>0</v>
      </c>
      <c r="G164" s="10">
        <v>0</v>
      </c>
      <c r="H164" s="10">
        <v>0</v>
      </c>
      <c r="I164" s="10">
        <v>-5245.9103919274121</v>
      </c>
      <c r="J164" s="36"/>
      <c r="K164" s="10">
        <f t="shared" si="30"/>
        <v>440664.26955157262</v>
      </c>
      <c r="L164" s="10">
        <v>0</v>
      </c>
      <c r="M164" s="10">
        <v>0</v>
      </c>
      <c r="N164" s="36"/>
      <c r="O164" s="10">
        <f t="shared" si="31"/>
        <v>0</v>
      </c>
      <c r="P164" s="36"/>
      <c r="Q164" s="10">
        <f t="shared" si="32"/>
        <v>440664.26955157262</v>
      </c>
    </row>
    <row r="165" spans="1:17" s="1" customFormat="1" ht="10" x14ac:dyDescent="0.2">
      <c r="A165" s="15" t="s">
        <v>370</v>
      </c>
      <c r="B165" s="10">
        <v>0</v>
      </c>
      <c r="C165" s="10">
        <v>0</v>
      </c>
      <c r="D165" s="10">
        <v>0</v>
      </c>
      <c r="E165" s="10">
        <v>0</v>
      </c>
      <c r="F165" s="10">
        <v>0</v>
      </c>
      <c r="G165" s="10">
        <v>1786.5181782818786</v>
      </c>
      <c r="H165" s="10">
        <v>0</v>
      </c>
      <c r="I165" s="10">
        <v>0</v>
      </c>
      <c r="J165" s="36"/>
      <c r="K165" s="10">
        <f t="shared" si="30"/>
        <v>1786.5181782818786</v>
      </c>
      <c r="L165" s="10">
        <v>0</v>
      </c>
      <c r="M165" s="10">
        <v>0</v>
      </c>
      <c r="N165" s="36"/>
      <c r="O165" s="10">
        <f t="shared" si="31"/>
        <v>0</v>
      </c>
      <c r="P165" s="36"/>
      <c r="Q165" s="10">
        <f t="shared" si="32"/>
        <v>1786.5181782818786</v>
      </c>
    </row>
    <row r="166" spans="1:17" s="1" customFormat="1" ht="10.5" x14ac:dyDescent="0.25">
      <c r="A166" s="16" t="s">
        <v>371</v>
      </c>
      <c r="B166" s="12">
        <f t="shared" ref="B166:Q166" si="36">SUM(B164:B165)</f>
        <v>0</v>
      </c>
      <c r="C166" s="12">
        <f t="shared" si="36"/>
        <v>0</v>
      </c>
      <c r="D166" s="12">
        <f t="shared" si="36"/>
        <v>445910.17994350003</v>
      </c>
      <c r="E166" s="12">
        <f t="shared" si="36"/>
        <v>0</v>
      </c>
      <c r="F166" s="12">
        <f t="shared" si="36"/>
        <v>0</v>
      </c>
      <c r="G166" s="12">
        <f t="shared" si="36"/>
        <v>1786.5181782818786</v>
      </c>
      <c r="H166" s="12">
        <f t="shared" si="36"/>
        <v>0</v>
      </c>
      <c r="I166" s="12">
        <f t="shared" si="36"/>
        <v>-5245.9103919274121</v>
      </c>
      <c r="J166" s="37">
        <f t="shared" si="36"/>
        <v>0</v>
      </c>
      <c r="K166" s="12">
        <f t="shared" si="30"/>
        <v>442450.78772985452</v>
      </c>
      <c r="L166" s="12">
        <f t="shared" si="36"/>
        <v>0</v>
      </c>
      <c r="M166" s="12">
        <f t="shared" si="36"/>
        <v>0</v>
      </c>
      <c r="N166" s="37">
        <f t="shared" si="36"/>
        <v>0</v>
      </c>
      <c r="O166" s="12">
        <f t="shared" si="31"/>
        <v>0</v>
      </c>
      <c r="P166" s="37">
        <f t="shared" si="36"/>
        <v>0</v>
      </c>
      <c r="Q166" s="12">
        <f t="shared" si="32"/>
        <v>442450.78772985452</v>
      </c>
    </row>
    <row r="167" spans="1:17" s="1" customFormat="1" ht="10" x14ac:dyDescent="0.2">
      <c r="A167" s="9" t="s">
        <v>134</v>
      </c>
      <c r="B167" s="10">
        <v>0</v>
      </c>
      <c r="C167" s="10">
        <v>0</v>
      </c>
      <c r="D167" s="10">
        <v>4607.8526621999999</v>
      </c>
      <c r="E167" s="10">
        <v>0</v>
      </c>
      <c r="F167" s="10">
        <v>0</v>
      </c>
      <c r="G167" s="10">
        <v>1624.5824471228354</v>
      </c>
      <c r="H167" s="10">
        <v>0</v>
      </c>
      <c r="I167" s="10">
        <v>0</v>
      </c>
      <c r="J167" s="36"/>
      <c r="K167" s="10">
        <f t="shared" si="30"/>
        <v>6232.4351093228352</v>
      </c>
      <c r="L167" s="10">
        <v>0</v>
      </c>
      <c r="M167" s="10">
        <v>0</v>
      </c>
      <c r="N167" s="36"/>
      <c r="O167" s="10">
        <f t="shared" si="31"/>
        <v>0</v>
      </c>
      <c r="P167" s="36"/>
      <c r="Q167" s="10">
        <f t="shared" si="32"/>
        <v>6232.4351093228352</v>
      </c>
    </row>
    <row r="168" spans="1:17" s="1" customFormat="1" ht="10.5" x14ac:dyDescent="0.25">
      <c r="A168" s="11" t="s">
        <v>135</v>
      </c>
      <c r="B168" s="12">
        <f t="shared" ref="B168:Q168" si="37">SUM(B162,B166:B167)</f>
        <v>0</v>
      </c>
      <c r="C168" s="12">
        <f t="shared" si="37"/>
        <v>0</v>
      </c>
      <c r="D168" s="12">
        <f t="shared" si="37"/>
        <v>480665.53927519999</v>
      </c>
      <c r="E168" s="12">
        <f t="shared" si="37"/>
        <v>0</v>
      </c>
      <c r="F168" s="12">
        <f t="shared" si="37"/>
        <v>0</v>
      </c>
      <c r="G168" s="12">
        <f t="shared" si="37"/>
        <v>3411.1006254047143</v>
      </c>
      <c r="H168" s="12">
        <f t="shared" si="37"/>
        <v>0</v>
      </c>
      <c r="I168" s="12">
        <f t="shared" si="37"/>
        <v>-451.37914158082185</v>
      </c>
      <c r="J168" s="37">
        <f t="shared" si="37"/>
        <v>0</v>
      </c>
      <c r="K168" s="12">
        <f t="shared" si="30"/>
        <v>483625.26075902389</v>
      </c>
      <c r="L168" s="12">
        <f t="shared" si="37"/>
        <v>0</v>
      </c>
      <c r="M168" s="12">
        <f t="shared" si="37"/>
        <v>0</v>
      </c>
      <c r="N168" s="37">
        <f t="shared" si="37"/>
        <v>0</v>
      </c>
      <c r="O168" s="12">
        <f t="shared" si="31"/>
        <v>0</v>
      </c>
      <c r="P168" s="37">
        <f t="shared" si="37"/>
        <v>0</v>
      </c>
      <c r="Q168" s="12">
        <f t="shared" si="32"/>
        <v>483625.26075902389</v>
      </c>
    </row>
    <row r="169" spans="1:17" s="1" customFormat="1" ht="10.5" x14ac:dyDescent="0.25">
      <c r="A169" s="8" t="s">
        <v>136</v>
      </c>
      <c r="B169" s="5"/>
      <c r="C169" s="5"/>
      <c r="D169" s="5"/>
      <c r="E169" s="5"/>
      <c r="F169" s="5"/>
      <c r="G169" s="5"/>
      <c r="H169" s="5"/>
      <c r="I169" s="5"/>
      <c r="J169" s="35"/>
      <c r="K169" s="5">
        <f t="shared" si="30"/>
        <v>0</v>
      </c>
      <c r="L169" s="5"/>
      <c r="M169" s="5"/>
      <c r="N169" s="35"/>
      <c r="O169" s="5">
        <f t="shared" si="31"/>
        <v>0</v>
      </c>
      <c r="P169" s="35"/>
      <c r="Q169" s="5">
        <f t="shared" si="32"/>
        <v>0</v>
      </c>
    </row>
    <row r="170" spans="1:17" s="1" customFormat="1" ht="10" x14ac:dyDescent="0.2">
      <c r="A170" s="9" t="s">
        <v>137</v>
      </c>
      <c r="B170" s="10">
        <v>0</v>
      </c>
      <c r="C170" s="10">
        <v>-203578.35112974001</v>
      </c>
      <c r="D170" s="10">
        <v>2387162.3415927002</v>
      </c>
      <c r="E170" s="10">
        <v>-373315.79293420003</v>
      </c>
      <c r="F170" s="10">
        <v>357265.78529508924</v>
      </c>
      <c r="G170" s="10">
        <v>0</v>
      </c>
      <c r="H170" s="10">
        <v>24734.634815699999</v>
      </c>
      <c r="I170" s="10">
        <v>1013574.8293202532</v>
      </c>
      <c r="J170" s="36">
        <v>-3409421.7980895424</v>
      </c>
      <c r="K170" s="10">
        <f t="shared" si="30"/>
        <v>0</v>
      </c>
      <c r="L170" s="10">
        <v>92616.056670000005</v>
      </c>
      <c r="M170" s="10">
        <v>5063.4950399999998</v>
      </c>
      <c r="N170" s="36">
        <v>-97679.55171</v>
      </c>
      <c r="O170" s="10">
        <f t="shared" si="31"/>
        <v>0</v>
      </c>
      <c r="P170" s="36">
        <v>203578.35112974001</v>
      </c>
      <c r="Q170" s="10">
        <f t="shared" si="32"/>
        <v>0</v>
      </c>
    </row>
    <row r="171" spans="1:17" s="1" customFormat="1" ht="10" x14ac:dyDescent="0.2">
      <c r="A171" s="9" t="s">
        <v>138</v>
      </c>
      <c r="B171" s="10">
        <v>203581.51</v>
      </c>
      <c r="C171" s="10">
        <v>0</v>
      </c>
      <c r="D171" s="10">
        <v>-6157.8917252000001</v>
      </c>
      <c r="E171" s="10">
        <v>0</v>
      </c>
      <c r="F171" s="10">
        <v>0</v>
      </c>
      <c r="G171" s="10">
        <v>0</v>
      </c>
      <c r="H171" s="10">
        <v>0</v>
      </c>
      <c r="I171" s="10">
        <v>0</v>
      </c>
      <c r="J171" s="36">
        <v>6157.8917252000001</v>
      </c>
      <c r="K171" s="10">
        <f t="shared" si="30"/>
        <v>0</v>
      </c>
      <c r="L171" s="10">
        <v>0</v>
      </c>
      <c r="M171" s="10">
        <v>0</v>
      </c>
      <c r="N171" s="36">
        <v>0</v>
      </c>
      <c r="O171" s="10">
        <f t="shared" si="31"/>
        <v>0</v>
      </c>
      <c r="P171" s="36">
        <v>-203581.51</v>
      </c>
      <c r="Q171" s="10">
        <f t="shared" si="32"/>
        <v>0</v>
      </c>
    </row>
    <row r="172" spans="1:17" s="1" customFormat="1" ht="10" x14ac:dyDescent="0.2">
      <c r="A172" s="9" t="s">
        <v>139</v>
      </c>
      <c r="B172" s="10">
        <v>404702.01</v>
      </c>
      <c r="C172" s="10">
        <v>3.8708700000000002E-3</v>
      </c>
      <c r="D172" s="10">
        <v>172823.89692269999</v>
      </c>
      <c r="E172" s="10">
        <v>-239.8727069</v>
      </c>
      <c r="F172" s="10">
        <v>0</v>
      </c>
      <c r="G172" s="10">
        <v>0</v>
      </c>
      <c r="H172" s="10">
        <v>0</v>
      </c>
      <c r="I172" s="10">
        <v>21013.46066904</v>
      </c>
      <c r="J172" s="36">
        <v>-193597.48488484</v>
      </c>
      <c r="K172" s="10">
        <f t="shared" si="30"/>
        <v>0</v>
      </c>
      <c r="L172" s="10">
        <v>0</v>
      </c>
      <c r="M172" s="10">
        <v>0</v>
      </c>
      <c r="N172" s="36">
        <v>0</v>
      </c>
      <c r="O172" s="10">
        <f t="shared" si="31"/>
        <v>0</v>
      </c>
      <c r="P172" s="36">
        <v>-404702.01387087</v>
      </c>
      <c r="Q172" s="10">
        <f t="shared" si="32"/>
        <v>1.3287067626710503E-11</v>
      </c>
    </row>
    <row r="173" spans="1:17" s="1" customFormat="1" ht="10" x14ac:dyDescent="0.2">
      <c r="A173" s="9" t="s">
        <v>140</v>
      </c>
      <c r="B173" s="10">
        <v>-105675.75</v>
      </c>
      <c r="C173" s="10">
        <v>0</v>
      </c>
      <c r="D173" s="10">
        <v>0</v>
      </c>
      <c r="E173" s="10">
        <v>0</v>
      </c>
      <c r="F173" s="10">
        <v>0</v>
      </c>
      <c r="G173" s="10">
        <v>0</v>
      </c>
      <c r="H173" s="10">
        <v>0</v>
      </c>
      <c r="I173" s="10">
        <v>0</v>
      </c>
      <c r="J173" s="36">
        <v>0</v>
      </c>
      <c r="K173" s="10">
        <f t="shared" si="30"/>
        <v>0</v>
      </c>
      <c r="L173" s="10">
        <v>0</v>
      </c>
      <c r="M173" s="10">
        <v>0</v>
      </c>
      <c r="N173" s="36">
        <v>0</v>
      </c>
      <c r="O173" s="10">
        <f t="shared" si="31"/>
        <v>0</v>
      </c>
      <c r="P173" s="36">
        <v>105675.75</v>
      </c>
      <c r="Q173" s="10">
        <f t="shared" si="32"/>
        <v>0</v>
      </c>
    </row>
    <row r="174" spans="1:17" s="1" customFormat="1" ht="10" x14ac:dyDescent="0.2">
      <c r="A174" s="9" t="s">
        <v>141</v>
      </c>
      <c r="B174" s="10">
        <v>-2454312.2799999998</v>
      </c>
      <c r="C174" s="10">
        <v>6384.8710359999995</v>
      </c>
      <c r="D174" s="10">
        <v>-20739.810315399998</v>
      </c>
      <c r="E174" s="10">
        <v>-158613.3557782</v>
      </c>
      <c r="F174" s="10">
        <v>196963.24982231838</v>
      </c>
      <c r="G174" s="10">
        <v>240632.41028985832</v>
      </c>
      <c r="H174" s="10">
        <v>0</v>
      </c>
      <c r="I174" s="10">
        <v>-142298.72281117868</v>
      </c>
      <c r="J174" s="36">
        <v>-115943.77120739804</v>
      </c>
      <c r="K174" s="10">
        <f t="shared" si="30"/>
        <v>0</v>
      </c>
      <c r="L174" s="10">
        <v>0</v>
      </c>
      <c r="M174" s="10">
        <v>0</v>
      </c>
      <c r="N174" s="36">
        <v>0</v>
      </c>
      <c r="O174" s="10">
        <f t="shared" si="31"/>
        <v>0</v>
      </c>
      <c r="P174" s="36">
        <v>2447927.4089639997</v>
      </c>
      <c r="Q174" s="10">
        <f t="shared" si="32"/>
        <v>-8.4583007264882326E-11</v>
      </c>
    </row>
    <row r="175" spans="1:17" s="1" customFormat="1" ht="10" x14ac:dyDescent="0.2">
      <c r="A175" s="9" t="s">
        <v>142</v>
      </c>
      <c r="B175" s="10">
        <v>-1012282.07</v>
      </c>
      <c r="C175" s="10">
        <v>0</v>
      </c>
      <c r="D175" s="10">
        <v>167791.46243459999</v>
      </c>
      <c r="E175" s="10">
        <v>-18771.587995000002</v>
      </c>
      <c r="F175" s="10">
        <v>0</v>
      </c>
      <c r="G175" s="10">
        <v>0</v>
      </c>
      <c r="H175" s="10">
        <v>0</v>
      </c>
      <c r="I175" s="10">
        <v>0</v>
      </c>
      <c r="J175" s="36">
        <v>-149019.87443959998</v>
      </c>
      <c r="K175" s="10">
        <f t="shared" si="30"/>
        <v>0</v>
      </c>
      <c r="L175" s="10">
        <v>0</v>
      </c>
      <c r="M175" s="10">
        <v>0</v>
      </c>
      <c r="N175" s="36">
        <v>0</v>
      </c>
      <c r="O175" s="10">
        <f t="shared" si="31"/>
        <v>0</v>
      </c>
      <c r="P175" s="36">
        <v>1012282.07</v>
      </c>
      <c r="Q175" s="10">
        <f t="shared" si="32"/>
        <v>0</v>
      </c>
    </row>
    <row r="176" spans="1:17" s="1" customFormat="1" ht="10" x14ac:dyDescent="0.2">
      <c r="A176" s="9" t="s">
        <v>372</v>
      </c>
      <c r="B176" s="10">
        <v>0</v>
      </c>
      <c r="C176" s="10">
        <v>0</v>
      </c>
      <c r="D176" s="10">
        <v>14339.588379999999</v>
      </c>
      <c r="E176" s="10">
        <v>0</v>
      </c>
      <c r="F176" s="10">
        <v>0</v>
      </c>
      <c r="G176" s="10">
        <v>0</v>
      </c>
      <c r="H176" s="10">
        <v>0</v>
      </c>
      <c r="I176" s="10">
        <v>0</v>
      </c>
      <c r="J176" s="36">
        <v>-14339.588379999999</v>
      </c>
      <c r="K176" s="10">
        <f t="shared" si="30"/>
        <v>0</v>
      </c>
      <c r="L176" s="10">
        <v>0</v>
      </c>
      <c r="M176" s="10">
        <v>0</v>
      </c>
      <c r="N176" s="36">
        <v>0</v>
      </c>
      <c r="O176" s="10">
        <f t="shared" si="31"/>
        <v>0</v>
      </c>
      <c r="P176" s="36">
        <v>0</v>
      </c>
      <c r="Q176" s="10">
        <f t="shared" si="32"/>
        <v>0</v>
      </c>
    </row>
    <row r="177" spans="1:17" s="1" customFormat="1" ht="10" x14ac:dyDescent="0.2">
      <c r="A177" s="9" t="s">
        <v>143</v>
      </c>
      <c r="B177" s="10">
        <v>300892.81</v>
      </c>
      <c r="C177" s="10">
        <v>0</v>
      </c>
      <c r="D177" s="10">
        <v>38559.472516000002</v>
      </c>
      <c r="E177" s="10">
        <v>0</v>
      </c>
      <c r="F177" s="10">
        <v>0</v>
      </c>
      <c r="G177" s="10">
        <v>0</v>
      </c>
      <c r="H177" s="10">
        <v>0</v>
      </c>
      <c r="I177" s="10">
        <v>0</v>
      </c>
      <c r="J177" s="36">
        <v>-38559.472516000002</v>
      </c>
      <c r="K177" s="10">
        <f t="shared" si="30"/>
        <v>0</v>
      </c>
      <c r="L177" s="10">
        <v>0</v>
      </c>
      <c r="M177" s="10">
        <v>0</v>
      </c>
      <c r="N177" s="36">
        <v>0</v>
      </c>
      <c r="O177" s="10">
        <f t="shared" si="31"/>
        <v>0</v>
      </c>
      <c r="P177" s="36">
        <v>-300892.81</v>
      </c>
      <c r="Q177" s="10">
        <f t="shared" si="32"/>
        <v>0</v>
      </c>
    </row>
    <row r="178" spans="1:17" s="1" customFormat="1" ht="10" x14ac:dyDescent="0.2">
      <c r="A178" s="9" t="s">
        <v>144</v>
      </c>
      <c r="B178" s="10">
        <v>-262343.52</v>
      </c>
      <c r="C178" s="10">
        <v>0</v>
      </c>
      <c r="D178" s="10">
        <v>-12705.1108626</v>
      </c>
      <c r="E178" s="10">
        <v>-1694.1823902000001</v>
      </c>
      <c r="F178" s="10">
        <v>398244.44926013914</v>
      </c>
      <c r="G178" s="10">
        <v>0</v>
      </c>
      <c r="H178" s="10">
        <v>0</v>
      </c>
      <c r="I178" s="10">
        <v>0</v>
      </c>
      <c r="J178" s="36">
        <v>-383845.15600733913</v>
      </c>
      <c r="K178" s="10">
        <f t="shared" si="30"/>
        <v>0</v>
      </c>
      <c r="L178" s="10">
        <v>0</v>
      </c>
      <c r="M178" s="10">
        <v>0</v>
      </c>
      <c r="N178" s="36">
        <v>0</v>
      </c>
      <c r="O178" s="10">
        <f t="shared" si="31"/>
        <v>0</v>
      </c>
      <c r="P178" s="36">
        <v>262343.52</v>
      </c>
      <c r="Q178" s="10">
        <f t="shared" si="32"/>
        <v>0</v>
      </c>
    </row>
    <row r="179" spans="1:17" s="1" customFormat="1" ht="10" x14ac:dyDescent="0.2">
      <c r="A179" s="9" t="s">
        <v>145</v>
      </c>
      <c r="B179" s="10">
        <v>-378595.79</v>
      </c>
      <c r="C179" s="10">
        <v>0</v>
      </c>
      <c r="D179" s="10">
        <v>-210907.41786640001</v>
      </c>
      <c r="E179" s="10">
        <v>0</v>
      </c>
      <c r="F179" s="10">
        <v>0</v>
      </c>
      <c r="G179" s="10">
        <v>11170.922452965895</v>
      </c>
      <c r="H179" s="10">
        <v>0</v>
      </c>
      <c r="I179" s="10">
        <v>0</v>
      </c>
      <c r="J179" s="36">
        <v>199736.49541343411</v>
      </c>
      <c r="K179" s="10">
        <f t="shared" si="30"/>
        <v>0</v>
      </c>
      <c r="L179" s="10">
        <v>0</v>
      </c>
      <c r="M179" s="10">
        <v>0</v>
      </c>
      <c r="N179" s="36">
        <v>0</v>
      </c>
      <c r="O179" s="10">
        <f t="shared" si="31"/>
        <v>0</v>
      </c>
      <c r="P179" s="36">
        <v>378595.79</v>
      </c>
      <c r="Q179" s="10">
        <f t="shared" si="32"/>
        <v>0</v>
      </c>
    </row>
    <row r="180" spans="1:17" s="1" customFormat="1" ht="10" x14ac:dyDescent="0.2">
      <c r="A180" s="9" t="s">
        <v>373</v>
      </c>
      <c r="B180" s="10">
        <v>0</v>
      </c>
      <c r="C180" s="10">
        <v>0</v>
      </c>
      <c r="D180" s="10">
        <v>-219546.5045824</v>
      </c>
      <c r="E180" s="10">
        <v>0</v>
      </c>
      <c r="F180" s="10">
        <v>-11182.291680980074</v>
      </c>
      <c r="G180" s="10">
        <v>0</v>
      </c>
      <c r="H180" s="10">
        <v>0</v>
      </c>
      <c r="I180" s="10">
        <v>0</v>
      </c>
      <c r="J180" s="36">
        <v>230728.79626338006</v>
      </c>
      <c r="K180" s="10">
        <f t="shared" si="30"/>
        <v>0</v>
      </c>
      <c r="L180" s="10">
        <v>0</v>
      </c>
      <c r="M180" s="10">
        <v>0</v>
      </c>
      <c r="N180" s="36">
        <v>0</v>
      </c>
      <c r="O180" s="10">
        <f t="shared" si="31"/>
        <v>0</v>
      </c>
      <c r="P180" s="36">
        <v>0</v>
      </c>
      <c r="Q180" s="10">
        <f t="shared" si="32"/>
        <v>0</v>
      </c>
    </row>
    <row r="181" spans="1:17" s="1" customFormat="1" ht="10" x14ac:dyDescent="0.2">
      <c r="A181" s="9" t="s">
        <v>374</v>
      </c>
      <c r="B181" s="10">
        <v>-25000</v>
      </c>
      <c r="C181" s="10">
        <v>0</v>
      </c>
      <c r="D181" s="10">
        <v>0</v>
      </c>
      <c r="E181" s="10">
        <v>0</v>
      </c>
      <c r="F181" s="10">
        <v>0</v>
      </c>
      <c r="G181" s="10">
        <v>0</v>
      </c>
      <c r="H181" s="10">
        <v>0</v>
      </c>
      <c r="I181" s="10">
        <v>-20720.272860657678</v>
      </c>
      <c r="J181" s="36">
        <v>20720.272860657678</v>
      </c>
      <c r="K181" s="10">
        <f t="shared" si="30"/>
        <v>0</v>
      </c>
      <c r="L181" s="10">
        <v>0</v>
      </c>
      <c r="M181" s="10">
        <v>0</v>
      </c>
      <c r="N181" s="36">
        <v>0</v>
      </c>
      <c r="O181" s="10">
        <f t="shared" si="31"/>
        <v>0</v>
      </c>
      <c r="P181" s="36">
        <v>25000</v>
      </c>
      <c r="Q181" s="10">
        <f t="shared" si="32"/>
        <v>0</v>
      </c>
    </row>
    <row r="182" spans="1:17" s="1" customFormat="1" ht="10.5" x14ac:dyDescent="0.25">
      <c r="A182" s="11" t="s">
        <v>146</v>
      </c>
      <c r="B182" s="12">
        <f t="shared" ref="B182:Q182" si="38">SUM(B170:B181)</f>
        <v>-3329033.0799999996</v>
      </c>
      <c r="C182" s="12">
        <f t="shared" si="38"/>
        <v>-197193.47622287003</v>
      </c>
      <c r="D182" s="12">
        <f t="shared" si="38"/>
        <v>2310620.0264940001</v>
      </c>
      <c r="E182" s="12">
        <f t="shared" si="38"/>
        <v>-552634.79180449992</v>
      </c>
      <c r="F182" s="12">
        <f t="shared" si="38"/>
        <v>941291.19269656658</v>
      </c>
      <c r="G182" s="12">
        <f t="shared" si="38"/>
        <v>251803.33274282422</v>
      </c>
      <c r="H182" s="12">
        <f t="shared" si="38"/>
        <v>24734.634815699999</v>
      </c>
      <c r="I182" s="12">
        <f t="shared" si="38"/>
        <v>871569.29431745689</v>
      </c>
      <c r="J182" s="37">
        <f t="shared" si="38"/>
        <v>-3847383.6892620474</v>
      </c>
      <c r="K182" s="12">
        <f t="shared" si="30"/>
        <v>0</v>
      </c>
      <c r="L182" s="12">
        <f t="shared" si="38"/>
        <v>92616.056670000005</v>
      </c>
      <c r="M182" s="12">
        <f t="shared" si="38"/>
        <v>5063.4950399999998</v>
      </c>
      <c r="N182" s="37">
        <f t="shared" si="38"/>
        <v>-97679.55171</v>
      </c>
      <c r="O182" s="12">
        <f t="shared" si="31"/>
        <v>0</v>
      </c>
      <c r="P182" s="37">
        <f t="shared" si="38"/>
        <v>3526226.5562228695</v>
      </c>
      <c r="Q182" s="12">
        <f t="shared" si="32"/>
        <v>0</v>
      </c>
    </row>
    <row r="183" spans="1:17" s="1" customFormat="1" ht="10.5" x14ac:dyDescent="0.25">
      <c r="A183" s="8" t="s">
        <v>147</v>
      </c>
      <c r="B183" s="5"/>
      <c r="C183" s="5"/>
      <c r="D183" s="5"/>
      <c r="E183" s="5"/>
      <c r="F183" s="5"/>
      <c r="G183" s="5"/>
      <c r="H183" s="5"/>
      <c r="I183" s="5"/>
      <c r="J183" s="35"/>
      <c r="K183" s="5">
        <f t="shared" si="30"/>
        <v>0</v>
      </c>
      <c r="L183" s="5"/>
      <c r="M183" s="5"/>
      <c r="N183" s="35"/>
      <c r="O183" s="5">
        <f t="shared" si="31"/>
        <v>0</v>
      </c>
      <c r="P183" s="35"/>
      <c r="Q183" s="5">
        <f t="shared" si="32"/>
        <v>0</v>
      </c>
    </row>
    <row r="184" spans="1:17" s="1" customFormat="1" ht="10" x14ac:dyDescent="0.2">
      <c r="A184" s="9" t="s">
        <v>148</v>
      </c>
      <c r="B184" s="10">
        <v>-73500</v>
      </c>
      <c r="C184" s="10">
        <v>0</v>
      </c>
      <c r="D184" s="10">
        <v>-34285.761028300003</v>
      </c>
      <c r="E184" s="10">
        <v>0</v>
      </c>
      <c r="F184" s="10">
        <v>0</v>
      </c>
      <c r="G184" s="10">
        <v>0</v>
      </c>
      <c r="H184" s="10">
        <v>0</v>
      </c>
      <c r="I184" s="10">
        <v>-182539.31987701313</v>
      </c>
      <c r="J184" s="36"/>
      <c r="K184" s="10">
        <f t="shared" si="30"/>
        <v>-216825.08090531314</v>
      </c>
      <c r="L184" s="10">
        <v>0</v>
      </c>
      <c r="M184" s="10">
        <v>0</v>
      </c>
      <c r="N184" s="36"/>
      <c r="O184" s="10">
        <f t="shared" si="31"/>
        <v>0</v>
      </c>
      <c r="P184" s="36"/>
      <c r="Q184" s="10">
        <f t="shared" si="32"/>
        <v>-290325.08090531314</v>
      </c>
    </row>
    <row r="185" spans="1:17" s="1" customFormat="1" ht="10" x14ac:dyDescent="0.2">
      <c r="A185" s="9" t="s">
        <v>149</v>
      </c>
      <c r="B185" s="10">
        <v>-10196.18</v>
      </c>
      <c r="C185" s="10">
        <v>0</v>
      </c>
      <c r="D185" s="10">
        <v>0</v>
      </c>
      <c r="E185" s="10">
        <v>0</v>
      </c>
      <c r="F185" s="10">
        <v>0</v>
      </c>
      <c r="G185" s="10">
        <v>0</v>
      </c>
      <c r="H185" s="10">
        <v>0</v>
      </c>
      <c r="I185" s="10">
        <v>0</v>
      </c>
      <c r="J185" s="36"/>
      <c r="K185" s="10">
        <f t="shared" si="30"/>
        <v>0</v>
      </c>
      <c r="L185" s="10">
        <v>0</v>
      </c>
      <c r="M185" s="10">
        <v>0</v>
      </c>
      <c r="N185" s="36"/>
      <c r="O185" s="10">
        <f t="shared" si="31"/>
        <v>0</v>
      </c>
      <c r="P185" s="36"/>
      <c r="Q185" s="10">
        <f t="shared" si="32"/>
        <v>-10196.18</v>
      </c>
    </row>
    <row r="186" spans="1:17" s="1" customFormat="1" ht="10.5" x14ac:dyDescent="0.25">
      <c r="A186" s="11" t="s">
        <v>150</v>
      </c>
      <c r="B186" s="12">
        <f t="shared" ref="B186:Q186" si="39">SUM(B184:B185)</f>
        <v>-83696.179999999993</v>
      </c>
      <c r="C186" s="12">
        <f t="shared" si="39"/>
        <v>0</v>
      </c>
      <c r="D186" s="12">
        <f t="shared" si="39"/>
        <v>-34285.761028300003</v>
      </c>
      <c r="E186" s="12">
        <f t="shared" si="39"/>
        <v>0</v>
      </c>
      <c r="F186" s="12">
        <f t="shared" si="39"/>
        <v>0</v>
      </c>
      <c r="G186" s="12">
        <f t="shared" si="39"/>
        <v>0</v>
      </c>
      <c r="H186" s="12">
        <f t="shared" si="39"/>
        <v>0</v>
      </c>
      <c r="I186" s="12">
        <f t="shared" si="39"/>
        <v>-182539.31987701313</v>
      </c>
      <c r="J186" s="37">
        <f t="shared" si="39"/>
        <v>0</v>
      </c>
      <c r="K186" s="12">
        <f t="shared" si="30"/>
        <v>-216825.08090531314</v>
      </c>
      <c r="L186" s="12">
        <f t="shared" si="39"/>
        <v>0</v>
      </c>
      <c r="M186" s="12">
        <f t="shared" si="39"/>
        <v>0</v>
      </c>
      <c r="N186" s="37">
        <f t="shared" si="39"/>
        <v>0</v>
      </c>
      <c r="O186" s="12">
        <f t="shared" si="31"/>
        <v>0</v>
      </c>
      <c r="P186" s="37">
        <f t="shared" si="39"/>
        <v>0</v>
      </c>
      <c r="Q186" s="12">
        <f t="shared" si="32"/>
        <v>-300521.26090531313</v>
      </c>
    </row>
    <row r="187" spans="1:17" s="1" customFormat="1" ht="10.5" x14ac:dyDescent="0.25">
      <c r="A187" s="8" t="s">
        <v>151</v>
      </c>
      <c r="B187" s="5"/>
      <c r="C187" s="5"/>
      <c r="D187" s="5"/>
      <c r="E187" s="5"/>
      <c r="F187" s="5"/>
      <c r="G187" s="5"/>
      <c r="H187" s="5"/>
      <c r="I187" s="5"/>
      <c r="J187" s="35"/>
      <c r="K187" s="5">
        <f t="shared" si="30"/>
        <v>0</v>
      </c>
      <c r="L187" s="5"/>
      <c r="M187" s="5"/>
      <c r="N187" s="35"/>
      <c r="O187" s="5">
        <f t="shared" si="31"/>
        <v>0</v>
      </c>
      <c r="P187" s="35"/>
      <c r="Q187" s="5">
        <f t="shared" si="32"/>
        <v>0</v>
      </c>
    </row>
    <row r="188" spans="1:17" s="1" customFormat="1" ht="10" x14ac:dyDescent="0.2">
      <c r="A188" s="9" t="s">
        <v>152</v>
      </c>
      <c r="B188" s="10">
        <v>0</v>
      </c>
      <c r="C188" s="10">
        <v>0</v>
      </c>
      <c r="D188" s="10">
        <v>23432.939484800001</v>
      </c>
      <c r="E188" s="10">
        <v>0</v>
      </c>
      <c r="F188" s="10">
        <v>0</v>
      </c>
      <c r="G188" s="10">
        <v>0</v>
      </c>
      <c r="H188" s="10">
        <v>0</v>
      </c>
      <c r="I188" s="10">
        <v>0</v>
      </c>
      <c r="J188" s="36"/>
      <c r="K188" s="10">
        <f t="shared" si="30"/>
        <v>23432.939484800001</v>
      </c>
      <c r="L188" s="10">
        <v>0</v>
      </c>
      <c r="M188" s="10">
        <v>0</v>
      </c>
      <c r="N188" s="36"/>
      <c r="O188" s="10">
        <f t="shared" si="31"/>
        <v>0</v>
      </c>
      <c r="P188" s="36"/>
      <c r="Q188" s="10">
        <f t="shared" si="32"/>
        <v>23432.939484800001</v>
      </c>
    </row>
    <row r="189" spans="1:17" s="1" customFormat="1" ht="10" x14ac:dyDescent="0.2">
      <c r="A189" s="9" t="s">
        <v>153</v>
      </c>
      <c r="B189" s="10">
        <v>0</v>
      </c>
      <c r="C189" s="10">
        <v>0</v>
      </c>
      <c r="D189" s="10">
        <v>-143850.04626470001</v>
      </c>
      <c r="E189" s="10">
        <v>0</v>
      </c>
      <c r="F189" s="10">
        <v>0</v>
      </c>
      <c r="G189" s="10">
        <v>0</v>
      </c>
      <c r="H189" s="10">
        <v>0</v>
      </c>
      <c r="I189" s="10">
        <v>0</v>
      </c>
      <c r="J189" s="36"/>
      <c r="K189" s="10">
        <f t="shared" si="30"/>
        <v>-143850.04626470001</v>
      </c>
      <c r="L189" s="10">
        <v>0</v>
      </c>
      <c r="M189" s="10">
        <v>0</v>
      </c>
      <c r="N189" s="36"/>
      <c r="O189" s="10">
        <f t="shared" si="31"/>
        <v>0</v>
      </c>
      <c r="P189" s="36"/>
      <c r="Q189" s="10">
        <f t="shared" si="32"/>
        <v>-143850.04626470001</v>
      </c>
    </row>
    <row r="190" spans="1:17" s="1" customFormat="1" ht="10" x14ac:dyDescent="0.2">
      <c r="A190" s="9" t="s">
        <v>154</v>
      </c>
      <c r="B190" s="10">
        <v>0</v>
      </c>
      <c r="C190" s="10">
        <v>0</v>
      </c>
      <c r="D190" s="10">
        <v>-36834.180625499997</v>
      </c>
      <c r="E190" s="10">
        <v>-1052.08321</v>
      </c>
      <c r="F190" s="10">
        <v>0</v>
      </c>
      <c r="G190" s="10">
        <v>0</v>
      </c>
      <c r="H190" s="10">
        <v>0</v>
      </c>
      <c r="I190" s="10">
        <v>0</v>
      </c>
      <c r="J190" s="36"/>
      <c r="K190" s="10">
        <f t="shared" si="30"/>
        <v>-37886.263835499994</v>
      </c>
      <c r="L190" s="10">
        <v>0</v>
      </c>
      <c r="M190" s="10">
        <v>0</v>
      </c>
      <c r="N190" s="36"/>
      <c r="O190" s="10">
        <f t="shared" si="31"/>
        <v>0</v>
      </c>
      <c r="P190" s="36"/>
      <c r="Q190" s="10">
        <f t="shared" si="32"/>
        <v>-37886.263835499994</v>
      </c>
    </row>
    <row r="191" spans="1:17" s="1" customFormat="1" ht="10.5" x14ac:dyDescent="0.25">
      <c r="A191" s="11" t="s">
        <v>155</v>
      </c>
      <c r="B191" s="12">
        <f t="shared" ref="B191:Q191" si="40">SUM(B188:B190)</f>
        <v>0</v>
      </c>
      <c r="C191" s="12">
        <f t="shared" si="40"/>
        <v>0</v>
      </c>
      <c r="D191" s="12">
        <f t="shared" si="40"/>
        <v>-157251.28740540001</v>
      </c>
      <c r="E191" s="12">
        <f t="shared" si="40"/>
        <v>-1052.08321</v>
      </c>
      <c r="F191" s="12">
        <f t="shared" si="40"/>
        <v>0</v>
      </c>
      <c r="G191" s="12">
        <f t="shared" si="40"/>
        <v>0</v>
      </c>
      <c r="H191" s="12">
        <f t="shared" si="40"/>
        <v>0</v>
      </c>
      <c r="I191" s="12">
        <f t="shared" si="40"/>
        <v>0</v>
      </c>
      <c r="J191" s="37">
        <f t="shared" si="40"/>
        <v>0</v>
      </c>
      <c r="K191" s="12">
        <f t="shared" si="30"/>
        <v>-158303.37061540002</v>
      </c>
      <c r="L191" s="12">
        <f t="shared" si="40"/>
        <v>0</v>
      </c>
      <c r="M191" s="12">
        <f t="shared" si="40"/>
        <v>0</v>
      </c>
      <c r="N191" s="37">
        <f t="shared" si="40"/>
        <v>0</v>
      </c>
      <c r="O191" s="12">
        <f t="shared" si="31"/>
        <v>0</v>
      </c>
      <c r="P191" s="37">
        <f t="shared" si="40"/>
        <v>0</v>
      </c>
      <c r="Q191" s="12">
        <f t="shared" si="32"/>
        <v>-158303.37061540002</v>
      </c>
    </row>
    <row r="192" spans="1:17" s="1" customFormat="1" ht="10" x14ac:dyDescent="0.2">
      <c r="A192" s="17" t="s">
        <v>156</v>
      </c>
      <c r="B192" s="10">
        <v>0</v>
      </c>
      <c r="C192" s="10">
        <v>0</v>
      </c>
      <c r="D192" s="10">
        <v>-64150.190497399999</v>
      </c>
      <c r="E192" s="10">
        <v>0</v>
      </c>
      <c r="F192" s="10">
        <v>0</v>
      </c>
      <c r="G192" s="10">
        <v>0</v>
      </c>
      <c r="H192" s="10">
        <v>-73.509925899999999</v>
      </c>
      <c r="I192" s="10">
        <v>0</v>
      </c>
      <c r="J192" s="36"/>
      <c r="K192" s="10">
        <f t="shared" si="30"/>
        <v>-64223.700423299997</v>
      </c>
      <c r="L192" s="10">
        <v>0</v>
      </c>
      <c r="M192" s="10">
        <v>0</v>
      </c>
      <c r="N192" s="36"/>
      <c r="O192" s="10">
        <f t="shared" si="31"/>
        <v>0</v>
      </c>
      <c r="P192" s="36"/>
      <c r="Q192" s="10">
        <f t="shared" si="32"/>
        <v>-64223.700423299997</v>
      </c>
    </row>
    <row r="193" spans="1:17" s="1" customFormat="1" ht="10" x14ac:dyDescent="0.2">
      <c r="A193" s="17" t="s">
        <v>157</v>
      </c>
      <c r="B193" s="10">
        <v>0</v>
      </c>
      <c r="C193" s="10">
        <v>0</v>
      </c>
      <c r="D193" s="10">
        <v>-24372.0794671</v>
      </c>
      <c r="E193" s="10">
        <v>-4398.0475648000001</v>
      </c>
      <c r="F193" s="10">
        <v>0</v>
      </c>
      <c r="G193" s="10">
        <v>0</v>
      </c>
      <c r="H193" s="10">
        <v>0</v>
      </c>
      <c r="I193" s="10">
        <v>0</v>
      </c>
      <c r="J193" s="36"/>
      <c r="K193" s="10">
        <f t="shared" si="30"/>
        <v>-28770.1270319</v>
      </c>
      <c r="L193" s="10">
        <v>0</v>
      </c>
      <c r="M193" s="10">
        <v>0</v>
      </c>
      <c r="N193" s="36"/>
      <c r="O193" s="10">
        <f t="shared" si="31"/>
        <v>0</v>
      </c>
      <c r="P193" s="36"/>
      <c r="Q193" s="10">
        <f t="shared" si="32"/>
        <v>-28770.1270319</v>
      </c>
    </row>
    <row r="194" spans="1:17" s="1" customFormat="1" ht="10" x14ac:dyDescent="0.2">
      <c r="A194" s="17" t="s">
        <v>158</v>
      </c>
      <c r="B194" s="10">
        <v>0</v>
      </c>
      <c r="C194" s="10">
        <v>0</v>
      </c>
      <c r="D194" s="10">
        <v>-18081.052217500001</v>
      </c>
      <c r="E194" s="10">
        <v>0</v>
      </c>
      <c r="F194" s="10">
        <v>0</v>
      </c>
      <c r="G194" s="10">
        <v>0</v>
      </c>
      <c r="H194" s="10">
        <v>0</v>
      </c>
      <c r="I194" s="10">
        <v>0</v>
      </c>
      <c r="J194" s="36"/>
      <c r="K194" s="10">
        <f t="shared" si="30"/>
        <v>-18081.052217500001</v>
      </c>
      <c r="L194" s="10">
        <v>0</v>
      </c>
      <c r="M194" s="10">
        <v>0</v>
      </c>
      <c r="N194" s="36"/>
      <c r="O194" s="10">
        <f t="shared" si="31"/>
        <v>0</v>
      </c>
      <c r="P194" s="36"/>
      <c r="Q194" s="10">
        <f t="shared" si="32"/>
        <v>-18081.052217500001</v>
      </c>
    </row>
    <row r="195" spans="1:17" s="1" customFormat="1" ht="10" x14ac:dyDescent="0.2">
      <c r="A195" s="17" t="s">
        <v>159</v>
      </c>
      <c r="B195" s="10">
        <v>0</v>
      </c>
      <c r="C195" s="10">
        <v>0</v>
      </c>
      <c r="D195" s="10">
        <v>0</v>
      </c>
      <c r="E195" s="10">
        <v>0</v>
      </c>
      <c r="F195" s="10">
        <v>21122.481607193633</v>
      </c>
      <c r="G195" s="10">
        <v>0</v>
      </c>
      <c r="H195" s="10">
        <v>0</v>
      </c>
      <c r="I195" s="10">
        <v>0</v>
      </c>
      <c r="J195" s="36"/>
      <c r="K195" s="10">
        <f t="shared" si="30"/>
        <v>21122.481607193633</v>
      </c>
      <c r="L195" s="10">
        <v>0</v>
      </c>
      <c r="M195" s="10">
        <v>0</v>
      </c>
      <c r="N195" s="36"/>
      <c r="O195" s="10">
        <f t="shared" si="31"/>
        <v>0</v>
      </c>
      <c r="P195" s="36"/>
      <c r="Q195" s="10">
        <f t="shared" si="32"/>
        <v>21122.481607193633</v>
      </c>
    </row>
    <row r="196" spans="1:17" s="1" customFormat="1" ht="10.5" x14ac:dyDescent="0.25">
      <c r="A196" s="13" t="s">
        <v>160</v>
      </c>
      <c r="B196" s="12">
        <f t="shared" ref="B196:Q196" si="41">SUM(B159:B160,B168,B182,B186,B191:B195)</f>
        <v>-3136006.6599999997</v>
      </c>
      <c r="C196" s="12">
        <f t="shared" si="41"/>
        <v>-189296.90142287003</v>
      </c>
      <c r="D196" s="12">
        <f t="shared" si="41"/>
        <v>3000388.5986435004</v>
      </c>
      <c r="E196" s="12">
        <f t="shared" si="41"/>
        <v>-554916.21555929992</v>
      </c>
      <c r="F196" s="12">
        <f t="shared" si="41"/>
        <v>1007999.7212824693</v>
      </c>
      <c r="G196" s="12">
        <f t="shared" si="41"/>
        <v>257704.45823038966</v>
      </c>
      <c r="H196" s="12">
        <f t="shared" si="41"/>
        <v>27775.472389799997</v>
      </c>
      <c r="I196" s="12">
        <f t="shared" si="41"/>
        <v>755632.40820403188</v>
      </c>
      <c r="J196" s="37">
        <f t="shared" si="41"/>
        <v>-3847383.6892620474</v>
      </c>
      <c r="K196" s="12">
        <f t="shared" si="30"/>
        <v>647200.75392884389</v>
      </c>
      <c r="L196" s="12">
        <f t="shared" si="41"/>
        <v>95514.656370000012</v>
      </c>
      <c r="M196" s="12">
        <f t="shared" si="41"/>
        <v>7962.0947400000005</v>
      </c>
      <c r="N196" s="37">
        <f t="shared" si="41"/>
        <v>-97679.55171</v>
      </c>
      <c r="O196" s="12">
        <f t="shared" si="31"/>
        <v>5797.1994000000122</v>
      </c>
      <c r="P196" s="37">
        <f t="shared" si="41"/>
        <v>3526226.5562228695</v>
      </c>
      <c r="Q196" s="12">
        <f t="shared" si="32"/>
        <v>853920.94812884356</v>
      </c>
    </row>
    <row r="197" spans="1:17" s="1" customFormat="1" ht="10.5" x14ac:dyDescent="0.25">
      <c r="A197" s="6" t="s">
        <v>161</v>
      </c>
      <c r="B197" s="5">
        <f t="shared" ref="B197:Q197" si="42">B117+B139+B196</f>
        <v>-3152250.51</v>
      </c>
      <c r="C197" s="5">
        <f t="shared" si="42"/>
        <v>-194310.94900852002</v>
      </c>
      <c r="D197" s="5">
        <f t="shared" si="42"/>
        <v>4508855.4486303004</v>
      </c>
      <c r="E197" s="5">
        <f t="shared" si="42"/>
        <v>-556703.0129816999</v>
      </c>
      <c r="F197" s="5">
        <f t="shared" si="42"/>
        <v>1057918.426584752</v>
      </c>
      <c r="G197" s="5">
        <f t="shared" si="42"/>
        <v>269847.01245844801</v>
      </c>
      <c r="H197" s="5">
        <f t="shared" si="42"/>
        <v>41175.377192299995</v>
      </c>
      <c r="I197" s="5">
        <f t="shared" si="42"/>
        <v>921587.26451080875</v>
      </c>
      <c r="J197" s="35">
        <f t="shared" si="42"/>
        <v>-3847383.6892620474</v>
      </c>
      <c r="K197" s="5">
        <f t="shared" si="30"/>
        <v>2395296.8271328621</v>
      </c>
      <c r="L197" s="5">
        <f t="shared" si="42"/>
        <v>95514.656370000012</v>
      </c>
      <c r="M197" s="5">
        <f t="shared" si="42"/>
        <v>7962.0947400000005</v>
      </c>
      <c r="N197" s="35">
        <f t="shared" si="42"/>
        <v>-97679.55171</v>
      </c>
      <c r="O197" s="5">
        <f t="shared" si="31"/>
        <v>5797.1994000000122</v>
      </c>
      <c r="P197" s="35">
        <f t="shared" si="42"/>
        <v>3520953.8062228695</v>
      </c>
      <c r="Q197" s="5">
        <f t="shared" si="32"/>
        <v>2575486.3737472114</v>
      </c>
    </row>
    <row r="198" spans="1:17" s="1" customFormat="1" ht="10.5" x14ac:dyDescent="0.25">
      <c r="A198" s="6" t="s">
        <v>162</v>
      </c>
      <c r="B198" s="5"/>
      <c r="C198" s="5"/>
      <c r="D198" s="5"/>
      <c r="E198" s="5"/>
      <c r="F198" s="5"/>
      <c r="G198" s="5"/>
      <c r="H198" s="5"/>
      <c r="I198" s="5"/>
      <c r="J198" s="35"/>
      <c r="K198" s="5">
        <f t="shared" si="30"/>
        <v>0</v>
      </c>
      <c r="L198" s="5"/>
      <c r="M198" s="5"/>
      <c r="N198" s="35"/>
      <c r="O198" s="5">
        <f t="shared" si="31"/>
        <v>0</v>
      </c>
      <c r="P198" s="35"/>
      <c r="Q198" s="5">
        <f t="shared" si="32"/>
        <v>0</v>
      </c>
    </row>
    <row r="199" spans="1:17" s="1" customFormat="1" ht="10.5" x14ac:dyDescent="0.25">
      <c r="A199" s="7" t="s">
        <v>163</v>
      </c>
      <c r="B199" s="5"/>
      <c r="C199" s="5"/>
      <c r="D199" s="5"/>
      <c r="E199" s="5"/>
      <c r="F199" s="5"/>
      <c r="G199" s="5"/>
      <c r="H199" s="5"/>
      <c r="I199" s="5"/>
      <c r="J199" s="35"/>
      <c r="K199" s="5">
        <f t="shared" si="30"/>
        <v>0</v>
      </c>
      <c r="L199" s="5"/>
      <c r="M199" s="5"/>
      <c r="N199" s="35"/>
      <c r="O199" s="5">
        <f t="shared" si="31"/>
        <v>0</v>
      </c>
      <c r="P199" s="35"/>
      <c r="Q199" s="5">
        <f t="shared" si="32"/>
        <v>0</v>
      </c>
    </row>
    <row r="200" spans="1:17" s="1" customFormat="1" ht="10.5" x14ac:dyDescent="0.25">
      <c r="A200" s="8" t="s">
        <v>164</v>
      </c>
      <c r="B200" s="5"/>
      <c r="C200" s="5"/>
      <c r="D200" s="5"/>
      <c r="E200" s="5"/>
      <c r="F200" s="5"/>
      <c r="G200" s="5"/>
      <c r="H200" s="5"/>
      <c r="I200" s="5"/>
      <c r="J200" s="35"/>
      <c r="K200" s="5">
        <f t="shared" si="30"/>
        <v>0</v>
      </c>
      <c r="L200" s="5"/>
      <c r="M200" s="5"/>
      <c r="N200" s="35"/>
      <c r="O200" s="5">
        <f t="shared" si="31"/>
        <v>0</v>
      </c>
      <c r="P200" s="35"/>
      <c r="Q200" s="5">
        <f t="shared" si="32"/>
        <v>0</v>
      </c>
    </row>
    <row r="201" spans="1:17" s="1" customFormat="1" ht="10" x14ac:dyDescent="0.2">
      <c r="A201" s="9" t="s">
        <v>164</v>
      </c>
      <c r="B201" s="10">
        <v>0</v>
      </c>
      <c r="C201" s="10">
        <v>0</v>
      </c>
      <c r="D201" s="10">
        <v>-3342.8726571000002</v>
      </c>
      <c r="E201" s="10">
        <v>0</v>
      </c>
      <c r="F201" s="10">
        <v>0</v>
      </c>
      <c r="G201" s="10">
        <v>0</v>
      </c>
      <c r="H201" s="10">
        <v>0</v>
      </c>
      <c r="I201" s="10">
        <v>0</v>
      </c>
      <c r="J201" s="36"/>
      <c r="K201" s="10">
        <f t="shared" si="30"/>
        <v>-3342.8726571000002</v>
      </c>
      <c r="L201" s="10">
        <v>0</v>
      </c>
      <c r="M201" s="10">
        <v>0</v>
      </c>
      <c r="N201" s="36"/>
      <c r="O201" s="10">
        <f t="shared" si="31"/>
        <v>0</v>
      </c>
      <c r="P201" s="36"/>
      <c r="Q201" s="10">
        <f t="shared" si="32"/>
        <v>-3342.8726571000002</v>
      </c>
    </row>
    <row r="202" spans="1:17" s="1" customFormat="1" ht="10" x14ac:dyDescent="0.2">
      <c r="A202" s="9" t="s">
        <v>165</v>
      </c>
      <c r="B202" s="10">
        <v>457608.21</v>
      </c>
      <c r="C202" s="10">
        <v>114102.78076752</v>
      </c>
      <c r="D202" s="10">
        <v>113782.3008659</v>
      </c>
      <c r="E202" s="10">
        <v>0</v>
      </c>
      <c r="F202" s="10">
        <v>-78160.571874526344</v>
      </c>
      <c r="G202" s="10">
        <v>0</v>
      </c>
      <c r="H202" s="10">
        <v>0</v>
      </c>
      <c r="I202" s="10">
        <v>99101.91207278434</v>
      </c>
      <c r="J202" s="36"/>
      <c r="K202" s="10">
        <f t="shared" si="30"/>
        <v>134723.641064158</v>
      </c>
      <c r="L202" s="10">
        <v>0</v>
      </c>
      <c r="M202" s="10">
        <v>0</v>
      </c>
      <c r="N202" s="36"/>
      <c r="O202" s="10">
        <f t="shared" si="31"/>
        <v>0</v>
      </c>
      <c r="P202" s="36"/>
      <c r="Q202" s="10">
        <f t="shared" si="32"/>
        <v>706434.63183167798</v>
      </c>
    </row>
    <row r="203" spans="1:17" s="1" customFormat="1" ht="10" x14ac:dyDescent="0.2">
      <c r="A203" s="9" t="s">
        <v>166</v>
      </c>
      <c r="B203" s="10">
        <v>3238.86</v>
      </c>
      <c r="C203" s="10">
        <v>0</v>
      </c>
      <c r="D203" s="10">
        <v>-48188.921736999997</v>
      </c>
      <c r="E203" s="10">
        <v>0</v>
      </c>
      <c r="F203" s="10">
        <v>0</v>
      </c>
      <c r="G203" s="10">
        <v>0</v>
      </c>
      <c r="H203" s="10">
        <v>0</v>
      </c>
      <c r="I203" s="10">
        <v>0</v>
      </c>
      <c r="J203" s="36"/>
      <c r="K203" s="10">
        <f t="shared" si="30"/>
        <v>-48188.921736999997</v>
      </c>
      <c r="L203" s="10">
        <v>0</v>
      </c>
      <c r="M203" s="10">
        <v>0</v>
      </c>
      <c r="N203" s="36"/>
      <c r="O203" s="10">
        <f t="shared" si="31"/>
        <v>0</v>
      </c>
      <c r="P203" s="36"/>
      <c r="Q203" s="10">
        <f t="shared" si="32"/>
        <v>-44950.061736999996</v>
      </c>
    </row>
    <row r="204" spans="1:17" s="1" customFormat="1" ht="10" x14ac:dyDescent="0.2">
      <c r="A204" s="9" t="s">
        <v>167</v>
      </c>
      <c r="B204" s="10">
        <v>791600</v>
      </c>
      <c r="C204" s="10">
        <v>0</v>
      </c>
      <c r="D204" s="10">
        <v>0</v>
      </c>
      <c r="E204" s="10">
        <v>0</v>
      </c>
      <c r="F204" s="10">
        <v>0</v>
      </c>
      <c r="G204" s="10">
        <v>0</v>
      </c>
      <c r="H204" s="10">
        <v>0</v>
      </c>
      <c r="I204" s="10">
        <v>0</v>
      </c>
      <c r="J204" s="36"/>
      <c r="K204" s="10">
        <f t="shared" si="30"/>
        <v>0</v>
      </c>
      <c r="L204" s="10">
        <v>0</v>
      </c>
      <c r="M204" s="10">
        <v>0</v>
      </c>
      <c r="N204" s="36"/>
      <c r="O204" s="10">
        <f t="shared" si="31"/>
        <v>0</v>
      </c>
      <c r="P204" s="36"/>
      <c r="Q204" s="10">
        <f t="shared" si="32"/>
        <v>791600</v>
      </c>
    </row>
    <row r="205" spans="1:17" s="1" customFormat="1" ht="10" x14ac:dyDescent="0.2">
      <c r="A205" s="9" t="s">
        <v>168</v>
      </c>
      <c r="B205" s="10">
        <v>0</v>
      </c>
      <c r="C205" s="10">
        <v>-1.1612610000000001</v>
      </c>
      <c r="D205" s="10">
        <v>0</v>
      </c>
      <c r="E205" s="10">
        <v>0</v>
      </c>
      <c r="F205" s="10">
        <v>0</v>
      </c>
      <c r="G205" s="10">
        <v>0</v>
      </c>
      <c r="H205" s="10">
        <v>0</v>
      </c>
      <c r="I205" s="10">
        <v>0</v>
      </c>
      <c r="J205" s="36"/>
      <c r="K205" s="10">
        <f t="shared" ref="K205:K268" si="43">SUM(D205:J205)</f>
        <v>0</v>
      </c>
      <c r="L205" s="10">
        <v>0</v>
      </c>
      <c r="M205" s="10">
        <v>0</v>
      </c>
      <c r="N205" s="36"/>
      <c r="O205" s="10">
        <f t="shared" ref="O205:O268" si="44">SUM(L205:N205)</f>
        <v>0</v>
      </c>
      <c r="P205" s="36"/>
      <c r="Q205" s="10">
        <f t="shared" ref="Q205:Q268" si="45">SUM(B205,K205,O205,P205)+C205</f>
        <v>-1.1612610000000001</v>
      </c>
    </row>
    <row r="206" spans="1:17" s="1" customFormat="1" ht="10" x14ac:dyDescent="0.2">
      <c r="A206" s="9" t="s">
        <v>169</v>
      </c>
      <c r="B206" s="10">
        <v>0</v>
      </c>
      <c r="C206" s="10">
        <v>0</v>
      </c>
      <c r="D206" s="10">
        <v>112951.09850550001</v>
      </c>
      <c r="E206" s="10">
        <v>0</v>
      </c>
      <c r="F206" s="10">
        <v>0</v>
      </c>
      <c r="G206" s="10">
        <v>0</v>
      </c>
      <c r="H206" s="10">
        <v>0</v>
      </c>
      <c r="I206" s="10">
        <v>0</v>
      </c>
      <c r="J206" s="36"/>
      <c r="K206" s="10">
        <f t="shared" si="43"/>
        <v>112951.09850550001</v>
      </c>
      <c r="L206" s="10">
        <v>0</v>
      </c>
      <c r="M206" s="10">
        <v>0</v>
      </c>
      <c r="N206" s="36"/>
      <c r="O206" s="10">
        <f t="shared" si="44"/>
        <v>0</v>
      </c>
      <c r="P206" s="36"/>
      <c r="Q206" s="10">
        <f t="shared" si="45"/>
        <v>112951.09850550001</v>
      </c>
    </row>
    <row r="207" spans="1:17" s="1" customFormat="1" ht="10" x14ac:dyDescent="0.2">
      <c r="A207" s="9" t="s">
        <v>170</v>
      </c>
      <c r="B207" s="10">
        <v>0</v>
      </c>
      <c r="C207" s="10">
        <v>45388.279723450003</v>
      </c>
      <c r="D207" s="10">
        <v>0</v>
      </c>
      <c r="E207" s="10">
        <v>0</v>
      </c>
      <c r="F207" s="10">
        <v>0</v>
      </c>
      <c r="G207" s="10">
        <v>0</v>
      </c>
      <c r="H207" s="10">
        <v>0</v>
      </c>
      <c r="I207" s="10">
        <v>0</v>
      </c>
      <c r="J207" s="36"/>
      <c r="K207" s="10">
        <f t="shared" si="43"/>
        <v>0</v>
      </c>
      <c r="L207" s="10">
        <v>0</v>
      </c>
      <c r="M207" s="10">
        <v>0</v>
      </c>
      <c r="N207" s="36"/>
      <c r="O207" s="10">
        <f t="shared" si="44"/>
        <v>0</v>
      </c>
      <c r="P207" s="36"/>
      <c r="Q207" s="10">
        <f t="shared" si="45"/>
        <v>45388.279723450003</v>
      </c>
    </row>
    <row r="208" spans="1:17" s="1" customFormat="1" ht="10.5" x14ac:dyDescent="0.25">
      <c r="A208" s="11" t="s">
        <v>171</v>
      </c>
      <c r="B208" s="12">
        <f t="shared" ref="B208:Q208" si="46">SUM(B201:B207)</f>
        <v>1252447.07</v>
      </c>
      <c r="C208" s="12">
        <f t="shared" si="46"/>
        <v>159489.89922997</v>
      </c>
      <c r="D208" s="12">
        <f t="shared" si="46"/>
        <v>175201.60497730001</v>
      </c>
      <c r="E208" s="12">
        <f t="shared" si="46"/>
        <v>0</v>
      </c>
      <c r="F208" s="12">
        <f t="shared" si="46"/>
        <v>-78160.571874526344</v>
      </c>
      <c r="G208" s="12">
        <f t="shared" si="46"/>
        <v>0</v>
      </c>
      <c r="H208" s="12">
        <f t="shared" si="46"/>
        <v>0</v>
      </c>
      <c r="I208" s="12">
        <f t="shared" si="46"/>
        <v>99101.91207278434</v>
      </c>
      <c r="J208" s="37">
        <f t="shared" si="46"/>
        <v>0</v>
      </c>
      <c r="K208" s="12">
        <f t="shared" si="43"/>
        <v>196142.94517555801</v>
      </c>
      <c r="L208" s="12">
        <f t="shared" si="46"/>
        <v>0</v>
      </c>
      <c r="M208" s="12">
        <f t="shared" si="46"/>
        <v>0</v>
      </c>
      <c r="N208" s="37">
        <f t="shared" si="46"/>
        <v>0</v>
      </c>
      <c r="O208" s="12">
        <f t="shared" si="44"/>
        <v>0</v>
      </c>
      <c r="P208" s="37">
        <f t="shared" si="46"/>
        <v>0</v>
      </c>
      <c r="Q208" s="12">
        <f t="shared" si="45"/>
        <v>1608079.9144055282</v>
      </c>
    </row>
    <row r="209" spans="1:17" s="1" customFormat="1" ht="10.5" x14ac:dyDescent="0.25">
      <c r="A209" s="8" t="s">
        <v>172</v>
      </c>
      <c r="B209" s="5"/>
      <c r="C209" s="5"/>
      <c r="D209" s="5"/>
      <c r="E209" s="5"/>
      <c r="F209" s="5"/>
      <c r="G209" s="5"/>
      <c r="H209" s="5"/>
      <c r="I209" s="5"/>
      <c r="J209" s="35"/>
      <c r="K209" s="5">
        <f t="shared" si="43"/>
        <v>0</v>
      </c>
      <c r="L209" s="5"/>
      <c r="M209" s="5"/>
      <c r="N209" s="35"/>
      <c r="O209" s="5">
        <f t="shared" si="44"/>
        <v>0</v>
      </c>
      <c r="P209" s="35"/>
      <c r="Q209" s="5">
        <f t="shared" si="45"/>
        <v>0</v>
      </c>
    </row>
    <row r="210" spans="1:17" s="1" customFormat="1" ht="10" x14ac:dyDescent="0.2">
      <c r="A210" s="9" t="s">
        <v>173</v>
      </c>
      <c r="B210" s="10">
        <v>-113369.35</v>
      </c>
      <c r="C210" s="10">
        <v>120296.00244924</v>
      </c>
      <c r="D210" s="10">
        <v>339.74700000000001</v>
      </c>
      <c r="E210" s="10">
        <v>0</v>
      </c>
      <c r="F210" s="10">
        <v>0</v>
      </c>
      <c r="G210" s="10">
        <v>0</v>
      </c>
      <c r="H210" s="10">
        <v>0</v>
      </c>
      <c r="I210" s="10">
        <v>-30353.303526198368</v>
      </c>
      <c r="J210" s="36"/>
      <c r="K210" s="10">
        <f t="shared" si="43"/>
        <v>-30013.556526198368</v>
      </c>
      <c r="L210" s="10">
        <v>0</v>
      </c>
      <c r="M210" s="10">
        <v>0</v>
      </c>
      <c r="N210" s="36"/>
      <c r="O210" s="10">
        <f t="shared" si="44"/>
        <v>0</v>
      </c>
      <c r="P210" s="36"/>
      <c r="Q210" s="10">
        <f t="shared" si="45"/>
        <v>-23086.904076958381</v>
      </c>
    </row>
    <row r="211" spans="1:17" s="1" customFormat="1" ht="10.5" x14ac:dyDescent="0.25">
      <c r="A211" s="11" t="s">
        <v>174</v>
      </c>
      <c r="B211" s="12">
        <f t="shared" ref="B211:Q211" si="47">SUM(B210)</f>
        <v>-113369.35</v>
      </c>
      <c r="C211" s="12">
        <f t="shared" si="47"/>
        <v>120296.00244924</v>
      </c>
      <c r="D211" s="12">
        <f t="shared" si="47"/>
        <v>339.74700000000001</v>
      </c>
      <c r="E211" s="12">
        <f t="shared" si="47"/>
        <v>0</v>
      </c>
      <c r="F211" s="12">
        <f t="shared" si="47"/>
        <v>0</v>
      </c>
      <c r="G211" s="12">
        <f t="shared" si="47"/>
        <v>0</v>
      </c>
      <c r="H211" s="12">
        <f t="shared" si="47"/>
        <v>0</v>
      </c>
      <c r="I211" s="12">
        <f t="shared" si="47"/>
        <v>-30353.303526198368</v>
      </c>
      <c r="J211" s="37">
        <f t="shared" si="47"/>
        <v>0</v>
      </c>
      <c r="K211" s="12">
        <f t="shared" si="43"/>
        <v>-30013.556526198368</v>
      </c>
      <c r="L211" s="12">
        <f t="shared" si="47"/>
        <v>0</v>
      </c>
      <c r="M211" s="12">
        <f t="shared" si="47"/>
        <v>0</v>
      </c>
      <c r="N211" s="37">
        <f t="shared" si="47"/>
        <v>0</v>
      </c>
      <c r="O211" s="12">
        <f t="shared" si="44"/>
        <v>0</v>
      </c>
      <c r="P211" s="37">
        <f t="shared" si="47"/>
        <v>0</v>
      </c>
      <c r="Q211" s="12">
        <f t="shared" si="45"/>
        <v>-23086.904076958381</v>
      </c>
    </row>
    <row r="212" spans="1:17" s="1" customFormat="1" ht="10.5" x14ac:dyDescent="0.25">
      <c r="A212" s="13" t="s">
        <v>175</v>
      </c>
      <c r="B212" s="12">
        <f t="shared" ref="B212:Q212" si="48">SUM(B208,B211)</f>
        <v>1139077.72</v>
      </c>
      <c r="C212" s="12">
        <f t="shared" si="48"/>
        <v>279785.90167921002</v>
      </c>
      <c r="D212" s="12">
        <f t="shared" si="48"/>
        <v>175541.35197730002</v>
      </c>
      <c r="E212" s="12">
        <f t="shared" si="48"/>
        <v>0</v>
      </c>
      <c r="F212" s="12">
        <f t="shared" si="48"/>
        <v>-78160.571874526344</v>
      </c>
      <c r="G212" s="12">
        <f t="shared" si="48"/>
        <v>0</v>
      </c>
      <c r="H212" s="12">
        <f t="shared" si="48"/>
        <v>0</v>
      </c>
      <c r="I212" s="12">
        <f t="shared" si="48"/>
        <v>68748.60854658598</v>
      </c>
      <c r="J212" s="37">
        <f t="shared" si="48"/>
        <v>0</v>
      </c>
      <c r="K212" s="12">
        <f t="shared" si="43"/>
        <v>166129.38864935964</v>
      </c>
      <c r="L212" s="12">
        <f t="shared" si="48"/>
        <v>0</v>
      </c>
      <c r="M212" s="12">
        <f t="shared" si="48"/>
        <v>0</v>
      </c>
      <c r="N212" s="37">
        <f t="shared" si="48"/>
        <v>0</v>
      </c>
      <c r="O212" s="12">
        <f t="shared" si="44"/>
        <v>0</v>
      </c>
      <c r="P212" s="37">
        <f t="shared" si="48"/>
        <v>0</v>
      </c>
      <c r="Q212" s="12">
        <f t="shared" si="45"/>
        <v>1584993.0103285694</v>
      </c>
    </row>
    <row r="213" spans="1:17" s="1" customFormat="1" ht="10" x14ac:dyDescent="0.2">
      <c r="A213" s="22" t="s">
        <v>176</v>
      </c>
      <c r="B213" s="10">
        <v>0</v>
      </c>
      <c r="C213" s="10">
        <v>0</v>
      </c>
      <c r="D213" s="10">
        <v>417.5717128</v>
      </c>
      <c r="E213" s="10">
        <v>0</v>
      </c>
      <c r="F213" s="10">
        <v>-750.37643080009457</v>
      </c>
      <c r="G213" s="10">
        <v>0</v>
      </c>
      <c r="H213" s="10">
        <v>0</v>
      </c>
      <c r="I213" s="10">
        <v>0</v>
      </c>
      <c r="J213" s="36"/>
      <c r="K213" s="10">
        <f t="shared" si="43"/>
        <v>-332.80471800009457</v>
      </c>
      <c r="L213" s="10">
        <v>0</v>
      </c>
      <c r="M213" s="10">
        <v>0</v>
      </c>
      <c r="N213" s="36"/>
      <c r="O213" s="10">
        <f t="shared" si="44"/>
        <v>0</v>
      </c>
      <c r="P213" s="36"/>
      <c r="Q213" s="10">
        <f t="shared" si="45"/>
        <v>-332.80471800009457</v>
      </c>
    </row>
    <row r="214" spans="1:17" s="1" customFormat="1" ht="10.5" x14ac:dyDescent="0.25">
      <c r="A214" s="20" t="s">
        <v>177</v>
      </c>
      <c r="B214" s="12">
        <f t="shared" ref="B214:Q214" si="49">SUM(B212:B213)</f>
        <v>1139077.72</v>
      </c>
      <c r="C214" s="12">
        <f t="shared" si="49"/>
        <v>279785.90167921002</v>
      </c>
      <c r="D214" s="12">
        <f t="shared" si="49"/>
        <v>175958.92369010003</v>
      </c>
      <c r="E214" s="12">
        <f t="shared" si="49"/>
        <v>0</v>
      </c>
      <c r="F214" s="12">
        <f t="shared" si="49"/>
        <v>-78910.948305326441</v>
      </c>
      <c r="G214" s="12">
        <f t="shared" si="49"/>
        <v>0</v>
      </c>
      <c r="H214" s="12">
        <f t="shared" si="49"/>
        <v>0</v>
      </c>
      <c r="I214" s="12">
        <f t="shared" si="49"/>
        <v>68748.60854658598</v>
      </c>
      <c r="J214" s="37">
        <f t="shared" si="49"/>
        <v>0</v>
      </c>
      <c r="K214" s="12">
        <f t="shared" si="43"/>
        <v>165796.58393135958</v>
      </c>
      <c r="L214" s="12">
        <f t="shared" si="49"/>
        <v>0</v>
      </c>
      <c r="M214" s="12">
        <f t="shared" si="49"/>
        <v>0</v>
      </c>
      <c r="N214" s="37">
        <f t="shared" si="49"/>
        <v>0</v>
      </c>
      <c r="O214" s="12">
        <f t="shared" si="44"/>
        <v>0</v>
      </c>
      <c r="P214" s="37">
        <f t="shared" si="49"/>
        <v>0</v>
      </c>
      <c r="Q214" s="12">
        <f t="shared" si="45"/>
        <v>1584660.2056105696</v>
      </c>
    </row>
    <row r="215" spans="1:17" s="1" customFormat="1" ht="10.5" x14ac:dyDescent="0.25">
      <c r="A215" s="6" t="s">
        <v>178</v>
      </c>
      <c r="B215" s="5"/>
      <c r="C215" s="5"/>
      <c r="D215" s="5"/>
      <c r="E215" s="5"/>
      <c r="F215" s="5"/>
      <c r="G215" s="5"/>
      <c r="H215" s="5"/>
      <c r="I215" s="5"/>
      <c r="J215" s="35"/>
      <c r="K215" s="5">
        <f t="shared" si="43"/>
        <v>0</v>
      </c>
      <c r="L215" s="5"/>
      <c r="M215" s="5"/>
      <c r="N215" s="35"/>
      <c r="O215" s="5">
        <f t="shared" si="44"/>
        <v>0</v>
      </c>
      <c r="P215" s="35"/>
      <c r="Q215" s="5">
        <f t="shared" si="45"/>
        <v>0</v>
      </c>
    </row>
    <row r="216" spans="1:17" s="1" customFormat="1" ht="10.5" hidden="1" x14ac:dyDescent="0.25">
      <c r="A216" s="6" t="s">
        <v>178</v>
      </c>
      <c r="B216" s="5"/>
      <c r="C216" s="5"/>
      <c r="D216" s="5"/>
      <c r="E216" s="5"/>
      <c r="F216" s="5"/>
      <c r="G216" s="5"/>
      <c r="H216" s="5"/>
      <c r="I216" s="5"/>
      <c r="J216" s="35"/>
      <c r="K216" s="5">
        <f t="shared" si="43"/>
        <v>0</v>
      </c>
      <c r="L216" s="5"/>
      <c r="M216" s="5"/>
      <c r="N216" s="35"/>
      <c r="O216" s="5">
        <f t="shared" si="44"/>
        <v>0</v>
      </c>
      <c r="P216" s="35"/>
      <c r="Q216" s="5">
        <f t="shared" si="45"/>
        <v>0</v>
      </c>
    </row>
    <row r="217" spans="1:17" s="1" customFormat="1" ht="10.5" x14ac:dyDescent="0.25">
      <c r="A217" s="7" t="s">
        <v>179</v>
      </c>
      <c r="B217" s="5"/>
      <c r="C217" s="5"/>
      <c r="D217" s="5"/>
      <c r="E217" s="5"/>
      <c r="F217" s="5"/>
      <c r="G217" s="5"/>
      <c r="H217" s="5"/>
      <c r="I217" s="5"/>
      <c r="J217" s="35"/>
      <c r="K217" s="5">
        <f t="shared" si="43"/>
        <v>0</v>
      </c>
      <c r="L217" s="5"/>
      <c r="M217" s="5"/>
      <c r="N217" s="35"/>
      <c r="O217" s="5">
        <f t="shared" si="44"/>
        <v>0</v>
      </c>
      <c r="P217" s="35"/>
      <c r="Q217" s="5">
        <f t="shared" si="45"/>
        <v>0</v>
      </c>
    </row>
    <row r="218" spans="1:17" s="1" customFormat="1" ht="10" x14ac:dyDescent="0.2">
      <c r="A218" s="17" t="s">
        <v>180</v>
      </c>
      <c r="B218" s="10">
        <v>1189461.68</v>
      </c>
      <c r="C218" s="10">
        <v>211132.69571743999</v>
      </c>
      <c r="D218" s="10">
        <v>121.54150197628459</v>
      </c>
      <c r="E218" s="10">
        <v>121.54150197628459</v>
      </c>
      <c r="F218" s="10">
        <v>1.2929715391304339</v>
      </c>
      <c r="G218" s="10">
        <v>45373.074999999997</v>
      </c>
      <c r="H218" s="10">
        <v>122.75691699604745</v>
      </c>
      <c r="I218" s="10">
        <v>0</v>
      </c>
      <c r="J218" s="36">
        <v>-45618.666390511462</v>
      </c>
      <c r="K218" s="10">
        <f t="shared" si="43"/>
        <v>121.54150197628041</v>
      </c>
      <c r="L218" s="10">
        <v>561.52173913043487</v>
      </c>
      <c r="M218" s="10">
        <v>122.75691699604745</v>
      </c>
      <c r="N218" s="36">
        <v>-122.75691699604745</v>
      </c>
      <c r="O218" s="10">
        <f t="shared" si="44"/>
        <v>561.52173913043487</v>
      </c>
      <c r="P218" s="36">
        <v>-211815.75895854671</v>
      </c>
      <c r="Q218" s="10">
        <f t="shared" si="45"/>
        <v>1189461.68</v>
      </c>
    </row>
    <row r="219" spans="1:17" s="1" customFormat="1" ht="10" x14ac:dyDescent="0.2">
      <c r="A219" s="17" t="s">
        <v>181</v>
      </c>
      <c r="B219" s="10">
        <v>1661162.77</v>
      </c>
      <c r="C219" s="10">
        <v>0</v>
      </c>
      <c r="D219" s="10">
        <v>0</v>
      </c>
      <c r="E219" s="10">
        <v>0</v>
      </c>
      <c r="F219" s="10">
        <v>0</v>
      </c>
      <c r="G219" s="10">
        <v>0</v>
      </c>
      <c r="H219" s="10">
        <v>0</v>
      </c>
      <c r="I219" s="10">
        <v>0</v>
      </c>
      <c r="J219" s="36">
        <v>0</v>
      </c>
      <c r="K219" s="10">
        <f t="shared" si="43"/>
        <v>0</v>
      </c>
      <c r="L219" s="10">
        <v>0</v>
      </c>
      <c r="M219" s="10">
        <v>0</v>
      </c>
      <c r="N219" s="36">
        <v>0</v>
      </c>
      <c r="O219" s="10">
        <f t="shared" si="44"/>
        <v>0</v>
      </c>
      <c r="P219" s="36">
        <v>0</v>
      </c>
      <c r="Q219" s="10">
        <f t="shared" si="45"/>
        <v>1661162.77</v>
      </c>
    </row>
    <row r="220" spans="1:17" s="1" customFormat="1" ht="10" x14ac:dyDescent="0.2">
      <c r="A220" s="17" t="s">
        <v>182</v>
      </c>
      <c r="B220" s="10">
        <v>5000000</v>
      </c>
      <c r="C220" s="10">
        <v>0</v>
      </c>
      <c r="D220" s="10">
        <v>0</v>
      </c>
      <c r="E220" s="10">
        <v>0</v>
      </c>
      <c r="F220" s="10">
        <v>0</v>
      </c>
      <c r="G220" s="10">
        <v>0</v>
      </c>
      <c r="H220" s="10">
        <v>0</v>
      </c>
      <c r="I220" s="10">
        <v>0</v>
      </c>
      <c r="J220" s="36">
        <v>0</v>
      </c>
      <c r="K220" s="10">
        <f t="shared" si="43"/>
        <v>0</v>
      </c>
      <c r="L220" s="10">
        <v>405806.41304347833</v>
      </c>
      <c r="M220" s="10">
        <v>0</v>
      </c>
      <c r="N220" s="36">
        <v>0</v>
      </c>
      <c r="O220" s="10">
        <f t="shared" si="44"/>
        <v>405806.41304347833</v>
      </c>
      <c r="P220" s="36">
        <v>-405806.41304347833</v>
      </c>
      <c r="Q220" s="10">
        <f t="shared" si="45"/>
        <v>5000000</v>
      </c>
    </row>
    <row r="221" spans="1:17" s="1" customFormat="1" ht="10" x14ac:dyDescent="0.2">
      <c r="A221" s="17" t="s">
        <v>183</v>
      </c>
      <c r="B221" s="10">
        <v>10172.5</v>
      </c>
      <c r="C221" s="10">
        <v>0</v>
      </c>
      <c r="D221" s="10">
        <v>1530.4296732505557</v>
      </c>
      <c r="E221" s="10">
        <v>0</v>
      </c>
      <c r="F221" s="10">
        <v>0</v>
      </c>
      <c r="G221" s="10">
        <v>0</v>
      </c>
      <c r="H221" s="10">
        <v>0.17015810276679844</v>
      </c>
      <c r="I221" s="10">
        <v>2007.3692936527343</v>
      </c>
      <c r="J221" s="36">
        <v>-2007.5394517555012</v>
      </c>
      <c r="K221" s="10">
        <f t="shared" si="43"/>
        <v>1530.4296732505557</v>
      </c>
      <c r="L221" s="10">
        <v>0</v>
      </c>
      <c r="M221" s="10">
        <v>0</v>
      </c>
      <c r="N221" s="36">
        <v>0</v>
      </c>
      <c r="O221" s="10">
        <f t="shared" si="44"/>
        <v>0</v>
      </c>
      <c r="P221" s="36">
        <v>-1530.4296732505557</v>
      </c>
      <c r="Q221" s="10">
        <f t="shared" si="45"/>
        <v>10172.5</v>
      </c>
    </row>
    <row r="222" spans="1:17" s="1" customFormat="1" ht="10.5" x14ac:dyDescent="0.25">
      <c r="A222" s="13" t="s">
        <v>184</v>
      </c>
      <c r="B222" s="12">
        <f t="shared" ref="B222:Q222" si="50">SUM(B218:B221)</f>
        <v>7860796.9500000002</v>
      </c>
      <c r="C222" s="12">
        <f t="shared" si="50"/>
        <v>211132.69571743999</v>
      </c>
      <c r="D222" s="12">
        <f t="shared" si="50"/>
        <v>1651.9711752268402</v>
      </c>
      <c r="E222" s="12">
        <f t="shared" si="50"/>
        <v>121.54150197628459</v>
      </c>
      <c r="F222" s="12">
        <f t="shared" si="50"/>
        <v>1.2929715391304339</v>
      </c>
      <c r="G222" s="12">
        <f t="shared" si="50"/>
        <v>45373.074999999997</v>
      </c>
      <c r="H222" s="12">
        <f t="shared" si="50"/>
        <v>122.92707509881424</v>
      </c>
      <c r="I222" s="12">
        <f t="shared" si="50"/>
        <v>2007.3692936527343</v>
      </c>
      <c r="J222" s="37">
        <f t="shared" si="50"/>
        <v>-47626.205842266965</v>
      </c>
      <c r="K222" s="12">
        <f t="shared" si="43"/>
        <v>1651.9711752268413</v>
      </c>
      <c r="L222" s="12">
        <f t="shared" si="50"/>
        <v>406367.93478260876</v>
      </c>
      <c r="M222" s="12">
        <f t="shared" si="50"/>
        <v>122.75691699604745</v>
      </c>
      <c r="N222" s="37">
        <f t="shared" si="50"/>
        <v>-122.75691699604745</v>
      </c>
      <c r="O222" s="12">
        <f t="shared" si="44"/>
        <v>406367.93478260876</v>
      </c>
      <c r="P222" s="37">
        <f t="shared" si="50"/>
        <v>-619152.6016752756</v>
      </c>
      <c r="Q222" s="12">
        <f t="shared" si="45"/>
        <v>7860796.9499999993</v>
      </c>
    </row>
    <row r="223" spans="1:17" s="1" customFormat="1" ht="10.5" hidden="1" x14ac:dyDescent="0.25">
      <c r="A223" s="20" t="s">
        <v>185</v>
      </c>
      <c r="B223" s="12">
        <f t="shared" ref="B223:Q223" si="51">SUM(B222)</f>
        <v>7860796.9500000002</v>
      </c>
      <c r="C223" s="12">
        <f t="shared" si="51"/>
        <v>211132.69571743999</v>
      </c>
      <c r="D223" s="12">
        <f t="shared" si="51"/>
        <v>1651.9711752268402</v>
      </c>
      <c r="E223" s="12">
        <f t="shared" si="51"/>
        <v>121.54150197628459</v>
      </c>
      <c r="F223" s="12">
        <f t="shared" si="51"/>
        <v>1.2929715391304339</v>
      </c>
      <c r="G223" s="12">
        <f t="shared" si="51"/>
        <v>45373.074999999997</v>
      </c>
      <c r="H223" s="12">
        <f t="shared" si="51"/>
        <v>122.92707509881424</v>
      </c>
      <c r="I223" s="12">
        <f t="shared" si="51"/>
        <v>2007.3692936527343</v>
      </c>
      <c r="J223" s="37">
        <f t="shared" si="51"/>
        <v>-47626.205842266965</v>
      </c>
      <c r="K223" s="12">
        <f t="shared" si="43"/>
        <v>1651.9711752268413</v>
      </c>
      <c r="L223" s="12">
        <f t="shared" si="51"/>
        <v>406367.93478260876</v>
      </c>
      <c r="M223" s="12">
        <f t="shared" si="51"/>
        <v>122.75691699604745</v>
      </c>
      <c r="N223" s="37">
        <f t="shared" si="51"/>
        <v>-122.75691699604745</v>
      </c>
      <c r="O223" s="12">
        <f t="shared" si="44"/>
        <v>406367.93478260876</v>
      </c>
      <c r="P223" s="37">
        <f t="shared" si="51"/>
        <v>-619152.6016752756</v>
      </c>
      <c r="Q223" s="12">
        <f t="shared" si="45"/>
        <v>7860796.9499999993</v>
      </c>
    </row>
    <row r="224" spans="1:17" s="1" customFormat="1" ht="10" x14ac:dyDescent="0.2">
      <c r="A224" s="22" t="s">
        <v>4</v>
      </c>
      <c r="B224" s="10">
        <v>-736330.22</v>
      </c>
      <c r="C224" s="10">
        <v>-296483.91424128</v>
      </c>
      <c r="D224" s="10">
        <v>416808.98590212758</v>
      </c>
      <c r="E224" s="10">
        <v>600176.28223564534</v>
      </c>
      <c r="F224" s="10">
        <v>-423090.96589314705</v>
      </c>
      <c r="G224" s="10">
        <v>0</v>
      </c>
      <c r="H224" s="10">
        <v>-56661.546440357939</v>
      </c>
      <c r="I224" s="10">
        <v>-284608.20638218313</v>
      </c>
      <c r="J224" s="36">
        <f xml:space="preserve"> - InternalSales!C7 - InternalSales!D7</f>
        <v>-15446.877983054075</v>
      </c>
      <c r="K224" s="10">
        <f t="shared" si="43"/>
        <v>237177.67143903073</v>
      </c>
      <c r="L224" s="10">
        <v>-504342.57237000007</v>
      </c>
      <c r="M224" s="10">
        <v>-8170.0443052173914</v>
      </c>
      <c r="N224" s="36"/>
      <c r="O224" s="10">
        <f t="shared" si="44"/>
        <v>-512512.61667521746</v>
      </c>
      <c r="P224" s="36">
        <f xml:space="preserve"> - InternalSales!B7 - Goodwill!B2</f>
        <v>-36015.825999999994</v>
      </c>
      <c r="Q224" s="10">
        <f t="shared" si="45"/>
        <v>-1344164.9054774668</v>
      </c>
    </row>
    <row r="225" spans="1:17" s="1" customFormat="1" ht="10" x14ac:dyDescent="0.2">
      <c r="A225" s="22" t="s">
        <v>186</v>
      </c>
      <c r="B225" s="10">
        <v>-911018.09</v>
      </c>
      <c r="C225" s="10">
        <v>-1567.70235</v>
      </c>
      <c r="D225" s="10">
        <v>-470608.57669022854</v>
      </c>
      <c r="E225" s="10">
        <v>-10550.209923459288</v>
      </c>
      <c r="F225" s="10">
        <v>-53512.921252907989</v>
      </c>
      <c r="G225" s="10">
        <v>-149889.32087028879</v>
      </c>
      <c r="H225" s="10">
        <v>-5.5918942619270391</v>
      </c>
      <c r="I225" s="10">
        <v>-616368.44973232341</v>
      </c>
      <c r="J225" s="36">
        <v>-117434.62120175653</v>
      </c>
      <c r="K225" s="10">
        <f t="shared" si="43"/>
        <v>-1418369.6915652263</v>
      </c>
      <c r="L225" s="10">
        <v>0</v>
      </c>
      <c r="M225" s="10">
        <v>0</v>
      </c>
      <c r="N225" s="36"/>
      <c r="O225" s="10">
        <f t="shared" si="44"/>
        <v>0</v>
      </c>
      <c r="P225" s="36">
        <f>0 -Goodwill!B3</f>
        <v>0</v>
      </c>
      <c r="Q225" s="10">
        <f t="shared" si="45"/>
        <v>-2330955.4839152261</v>
      </c>
    </row>
    <row r="226" spans="1:17" s="1" customFormat="1" ht="10" x14ac:dyDescent="0.2">
      <c r="A226" s="22" t="s">
        <v>187</v>
      </c>
      <c r="B226" s="10">
        <v>0</v>
      </c>
      <c r="C226" s="10">
        <v>-22.531541000000001</v>
      </c>
      <c r="D226" s="10">
        <v>75227.414741000001</v>
      </c>
      <c r="E226" s="10">
        <v>-41199.944445000001</v>
      </c>
      <c r="F226" s="10">
        <v>-46922.361322999997</v>
      </c>
      <c r="G226" s="10">
        <v>1353.882468</v>
      </c>
      <c r="H226" s="10">
        <v>-784.90136900000005</v>
      </c>
      <c r="I226" s="10">
        <v>-10599.659072</v>
      </c>
      <c r="J226" s="36"/>
      <c r="K226" s="10">
        <f t="shared" si="43"/>
        <v>-22925.568999999996</v>
      </c>
      <c r="L226" s="10">
        <v>2698.4422169999998</v>
      </c>
      <c r="M226" s="10">
        <v>85.192648000000005</v>
      </c>
      <c r="N226" s="36"/>
      <c r="O226" s="10">
        <f t="shared" si="44"/>
        <v>2783.634865</v>
      </c>
      <c r="P226" s="36"/>
      <c r="Q226" s="10">
        <f t="shared" si="45"/>
        <v>-20164.465675999996</v>
      </c>
    </row>
    <row r="227" spans="1:17" s="1" customFormat="1" ht="10.5" x14ac:dyDescent="0.25">
      <c r="A227" s="18" t="s">
        <v>188</v>
      </c>
      <c r="B227" s="19">
        <f t="shared" ref="B227:Q227" si="52">B223+B224+B225+B226</f>
        <v>6213448.6400000006</v>
      </c>
      <c r="C227" s="19">
        <f t="shared" si="52"/>
        <v>-86941.452414840023</v>
      </c>
      <c r="D227" s="19">
        <f t="shared" si="52"/>
        <v>23079.795128125887</v>
      </c>
      <c r="E227" s="19">
        <f t="shared" si="52"/>
        <v>548547.66936916229</v>
      </c>
      <c r="F227" s="19">
        <f t="shared" si="52"/>
        <v>-523524.95549751591</v>
      </c>
      <c r="G227" s="19">
        <f t="shared" si="52"/>
        <v>-103162.3634022888</v>
      </c>
      <c r="H227" s="19">
        <f t="shared" si="52"/>
        <v>-57329.112628521048</v>
      </c>
      <c r="I227" s="19">
        <f t="shared" si="52"/>
        <v>-909568.94589285378</v>
      </c>
      <c r="J227" s="38">
        <f t="shared" si="52"/>
        <v>-180507.70502707758</v>
      </c>
      <c r="K227" s="19">
        <f t="shared" si="43"/>
        <v>-1202465.6179509689</v>
      </c>
      <c r="L227" s="19">
        <f t="shared" si="52"/>
        <v>-95276.195370391302</v>
      </c>
      <c r="M227" s="19">
        <f t="shared" si="52"/>
        <v>-7962.0947402213442</v>
      </c>
      <c r="N227" s="38">
        <f t="shared" si="52"/>
        <v>-122.75691699604745</v>
      </c>
      <c r="O227" s="19">
        <f t="shared" si="44"/>
        <v>-103361.0470276087</v>
      </c>
      <c r="P227" s="38">
        <f t="shared" si="52"/>
        <v>-655168.4276752756</v>
      </c>
      <c r="Q227" s="19">
        <f t="shared" si="45"/>
        <v>4165512.0949313086</v>
      </c>
    </row>
    <row r="228" spans="1:17" s="1" customFormat="1" ht="10.5" x14ac:dyDescent="0.2">
      <c r="A228" s="21" t="s">
        <v>189</v>
      </c>
      <c r="B228" s="19">
        <f t="shared" ref="B228:Q228" si="53">B197+B214+B227</f>
        <v>4200275.8500000006</v>
      </c>
      <c r="C228" s="19">
        <f t="shared" si="53"/>
        <v>-1466.4997441500309</v>
      </c>
      <c r="D228" s="19">
        <f t="shared" si="53"/>
        <v>4707894.1674485262</v>
      </c>
      <c r="E228" s="19">
        <f t="shared" si="53"/>
        <v>-8155.3436125376029</v>
      </c>
      <c r="F228" s="19">
        <f t="shared" si="53"/>
        <v>455482.52278190973</v>
      </c>
      <c r="G228" s="19">
        <f t="shared" si="53"/>
        <v>166684.64905615919</v>
      </c>
      <c r="H228" s="19">
        <f t="shared" si="53"/>
        <v>-16153.735436221054</v>
      </c>
      <c r="I228" s="19">
        <f t="shared" si="53"/>
        <v>80766.927164540975</v>
      </c>
      <c r="J228" s="38">
        <f t="shared" si="53"/>
        <v>-4027891.3942891248</v>
      </c>
      <c r="K228" s="19">
        <f t="shared" si="43"/>
        <v>1358627.7931132521</v>
      </c>
      <c r="L228" s="19">
        <f t="shared" si="53"/>
        <v>238.46099960870924</v>
      </c>
      <c r="M228" s="19">
        <f t="shared" si="53"/>
        <v>-2.2134372557047755E-7</v>
      </c>
      <c r="N228" s="38">
        <f t="shared" si="53"/>
        <v>-97802.308626996048</v>
      </c>
      <c r="O228" s="19">
        <f t="shared" si="44"/>
        <v>-97563.847627608688</v>
      </c>
      <c r="P228" s="38">
        <f t="shared" si="53"/>
        <v>2865785.378547594</v>
      </c>
      <c r="Q228" s="19">
        <f t="shared" si="45"/>
        <v>8325658.6742890878</v>
      </c>
    </row>
  </sheetData>
  <mergeCells count="14">
    <mergeCell ref="Q9:Q10"/>
    <mergeCell ref="B7:Q7"/>
    <mergeCell ref="B8:B10"/>
    <mergeCell ref="D8:K8"/>
    <mergeCell ref="L8:O8"/>
    <mergeCell ref="C9:C10"/>
    <mergeCell ref="D9:D10"/>
    <mergeCell ref="L9:L10"/>
    <mergeCell ref="A1:Q1"/>
    <mergeCell ref="A2:Q2"/>
    <mergeCell ref="A3:Q3"/>
    <mergeCell ref="A4:Q4"/>
    <mergeCell ref="A5:Q5"/>
    <mergeCell ref="A6:Q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FF17F-2615-4DBB-9BBC-9697E826F311}">
  <sheetPr codeName="Sheet3"/>
  <dimension ref="A1:M181"/>
  <sheetViews>
    <sheetView workbookViewId="0">
      <selection activeCell="L12" sqref="L12:L182"/>
    </sheetView>
  </sheetViews>
  <sheetFormatPr defaultRowHeight="14.5" x14ac:dyDescent="0.35"/>
  <cols>
    <col min="1" max="1" width="41.1796875" bestFit="1" customWidth="1"/>
    <col min="2" max="2" width="9.81640625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0" width="9.81640625" customWidth="1"/>
    <col min="11" max="11" width="11" bestFit="1" customWidth="1"/>
    <col min="12" max="12" width="7.81640625" bestFit="1" customWidth="1"/>
    <col min="13" max="13" width="11" bestFit="1" customWidth="1"/>
  </cols>
  <sheetData>
    <row r="1" spans="1:13" s="1" customFormat="1" ht="15.5" x14ac:dyDescent="0.35">
      <c r="A1" s="43" t="s">
        <v>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3" s="1" customFormat="1" ht="15.5" x14ac:dyDescent="0.35">
      <c r="A2" s="43" t="s">
        <v>6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</row>
    <row r="3" spans="1:13" s="1" customFormat="1" ht="18" x14ac:dyDescent="0.4">
      <c r="A3" s="42" t="s">
        <v>238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1:13" s="1" customFormat="1" ht="18" x14ac:dyDescent="0.4">
      <c r="A4" s="42" t="s">
        <v>430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1:13" s="1" customFormat="1" ht="18" x14ac:dyDescent="0.4">
      <c r="A5" s="42" t="s">
        <v>8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</row>
    <row r="6" spans="1:13" s="1" customFormat="1" ht="18" x14ac:dyDescent="0.4">
      <c r="A6" s="42" t="s">
        <v>8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</row>
    <row r="7" spans="1:13" s="1" customFormat="1" ht="10" x14ac:dyDescent="0.2">
      <c r="A7" s="33" t="s">
        <v>10</v>
      </c>
      <c r="B7" s="45" t="s">
        <v>12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</row>
    <row r="8" spans="1:13" s="1" customFormat="1" ht="10" x14ac:dyDescent="0.2">
      <c r="A8" s="33" t="s">
        <v>10</v>
      </c>
      <c r="B8" s="44" t="s">
        <v>11</v>
      </c>
      <c r="C8" s="40" t="s">
        <v>14</v>
      </c>
      <c r="D8" s="45" t="s">
        <v>5</v>
      </c>
      <c r="E8" s="45"/>
      <c r="F8" s="45"/>
      <c r="G8" s="45"/>
      <c r="H8" s="45"/>
      <c r="I8" s="45"/>
      <c r="J8" s="45"/>
      <c r="K8" s="45"/>
      <c r="L8" s="41"/>
      <c r="M8" s="40" t="s">
        <v>13</v>
      </c>
    </row>
    <row r="9" spans="1:13" s="1" customFormat="1" ht="10" x14ac:dyDescent="0.2">
      <c r="A9" s="33" t="s">
        <v>10</v>
      </c>
      <c r="B9" s="44"/>
      <c r="C9" s="44" t="s">
        <v>11</v>
      </c>
      <c r="D9" s="44" t="s">
        <v>11</v>
      </c>
      <c r="E9" s="40" t="s">
        <v>16</v>
      </c>
      <c r="F9" s="40" t="s">
        <v>17</v>
      </c>
      <c r="G9" s="40" t="s">
        <v>350</v>
      </c>
      <c r="H9" s="40" t="s">
        <v>319</v>
      </c>
      <c r="I9" s="40" t="s">
        <v>18</v>
      </c>
      <c r="J9" s="40"/>
      <c r="K9" s="40" t="s">
        <v>13</v>
      </c>
      <c r="L9" s="40"/>
      <c r="M9" s="44" t="s">
        <v>11</v>
      </c>
    </row>
    <row r="10" spans="1:13" s="1" customFormat="1" ht="10" x14ac:dyDescent="0.2">
      <c r="A10" s="33" t="s">
        <v>10</v>
      </c>
      <c r="B10" s="44"/>
      <c r="C10" s="44"/>
      <c r="D10" s="44"/>
      <c r="E10" s="40" t="s">
        <v>11</v>
      </c>
      <c r="F10" s="40" t="s">
        <v>11</v>
      </c>
      <c r="G10" s="40" t="s">
        <v>11</v>
      </c>
      <c r="H10" s="40" t="s">
        <v>11</v>
      </c>
      <c r="I10" s="40" t="s">
        <v>11</v>
      </c>
      <c r="J10" s="34" t="s">
        <v>341</v>
      </c>
      <c r="K10" s="40" t="s">
        <v>11</v>
      </c>
      <c r="L10" s="34" t="s">
        <v>341</v>
      </c>
      <c r="M10" s="44"/>
    </row>
    <row r="11" spans="1:13" s="1" customFormat="1" ht="10.5" x14ac:dyDescent="0.2">
      <c r="A11" s="4" t="s">
        <v>231</v>
      </c>
      <c r="B11" s="5"/>
      <c r="C11" s="5"/>
      <c r="D11" s="5"/>
      <c r="E11" s="5"/>
      <c r="F11" s="5"/>
      <c r="G11" s="5"/>
      <c r="H11" s="5"/>
      <c r="I11" s="5"/>
      <c r="J11" s="35"/>
      <c r="K11" s="5"/>
      <c r="L11" s="35"/>
      <c r="M11" s="5"/>
    </row>
    <row r="12" spans="1:13" s="1" customFormat="1" ht="10.5" x14ac:dyDescent="0.25">
      <c r="A12" s="6" t="s">
        <v>239</v>
      </c>
      <c r="B12" s="5"/>
      <c r="C12" s="5"/>
      <c r="D12" s="5"/>
      <c r="E12" s="5"/>
      <c r="F12" s="5"/>
      <c r="G12" s="5"/>
      <c r="H12" s="5"/>
      <c r="I12" s="5"/>
      <c r="J12" s="35"/>
      <c r="K12" s="5"/>
      <c r="L12" s="35"/>
      <c r="M12" s="5"/>
    </row>
    <row r="13" spans="1:13" s="1" customFormat="1" ht="10.5" x14ac:dyDescent="0.25">
      <c r="A13" s="7" t="s">
        <v>240</v>
      </c>
      <c r="B13" s="5"/>
      <c r="C13" s="5"/>
      <c r="D13" s="5"/>
      <c r="E13" s="5"/>
      <c r="F13" s="5"/>
      <c r="G13" s="5"/>
      <c r="H13" s="5"/>
      <c r="I13" s="5"/>
      <c r="J13" s="35"/>
      <c r="K13" s="5">
        <f t="shared" ref="K13:K44" si="0">SUM(D13:J13)</f>
        <v>0</v>
      </c>
      <c r="L13" s="35"/>
      <c r="M13" s="5">
        <f t="shared" ref="M13:M44" si="1">SUM(B13,K13,L13)+C13</f>
        <v>0</v>
      </c>
    </row>
    <row r="14" spans="1:13" s="1" customFormat="1" ht="10" x14ac:dyDescent="0.2">
      <c r="A14" s="17" t="s">
        <v>1</v>
      </c>
      <c r="B14" s="10">
        <v>0</v>
      </c>
      <c r="C14" s="10">
        <v>0</v>
      </c>
      <c r="D14" s="10">
        <v>6330634.4425999355</v>
      </c>
      <c r="E14" s="10">
        <v>0</v>
      </c>
      <c r="F14" s="10">
        <v>462541.11786111997</v>
      </c>
      <c r="G14" s="10">
        <v>0</v>
      </c>
      <c r="H14" s="10">
        <v>0</v>
      </c>
      <c r="I14" s="10">
        <v>347622.91367801721</v>
      </c>
      <c r="J14" s="36">
        <v>-727172.95771585836</v>
      </c>
      <c r="K14" s="10">
        <f t="shared" si="0"/>
        <v>6413625.5164232142</v>
      </c>
      <c r="L14" s="36">
        <v>0</v>
      </c>
      <c r="M14" s="10">
        <f t="shared" si="1"/>
        <v>6413625.5164232142</v>
      </c>
    </row>
    <row r="15" spans="1:13" s="1" customFormat="1" ht="10" x14ac:dyDescent="0.2">
      <c r="A15" s="17" t="s">
        <v>241</v>
      </c>
      <c r="B15" s="10">
        <v>0</v>
      </c>
      <c r="C15" s="10">
        <v>0</v>
      </c>
      <c r="D15" s="10">
        <v>313508.72881052166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36"/>
      <c r="K15" s="10">
        <f t="shared" si="0"/>
        <v>313508.72881052166</v>
      </c>
      <c r="L15" s="36"/>
      <c r="M15" s="10">
        <f t="shared" si="1"/>
        <v>313508.72881052166</v>
      </c>
    </row>
    <row r="16" spans="1:13" s="1" customFormat="1" ht="10" x14ac:dyDescent="0.2">
      <c r="A16" s="17" t="s">
        <v>317</v>
      </c>
      <c r="B16" s="10">
        <v>0</v>
      </c>
      <c r="C16" s="10">
        <v>0</v>
      </c>
      <c r="D16" s="10">
        <v>-20975.228034747306</v>
      </c>
      <c r="E16" s="10">
        <v>0</v>
      </c>
      <c r="F16" s="10">
        <v>249.60661607869838</v>
      </c>
      <c r="G16" s="10">
        <v>0</v>
      </c>
      <c r="H16" s="10">
        <v>0</v>
      </c>
      <c r="I16" s="10">
        <v>0</v>
      </c>
      <c r="J16" s="36"/>
      <c r="K16" s="10">
        <f t="shared" si="0"/>
        <v>-20725.621418668608</v>
      </c>
      <c r="L16" s="36"/>
      <c r="M16" s="10">
        <f t="shared" si="1"/>
        <v>-20725.621418668608</v>
      </c>
    </row>
    <row r="17" spans="1:13" s="1" customFormat="1" ht="10" x14ac:dyDescent="0.2">
      <c r="A17" s="17" t="s">
        <v>431</v>
      </c>
      <c r="B17" s="10">
        <v>0</v>
      </c>
      <c r="C17" s="10">
        <v>0</v>
      </c>
      <c r="D17" s="10">
        <v>29664.850323166957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36"/>
      <c r="K17" s="10">
        <f t="shared" si="0"/>
        <v>29664.850323166957</v>
      </c>
      <c r="L17" s="36"/>
      <c r="M17" s="10">
        <f t="shared" si="1"/>
        <v>29664.850323166957</v>
      </c>
    </row>
    <row r="18" spans="1:13" s="1" customFormat="1" ht="10.5" x14ac:dyDescent="0.25">
      <c r="A18" s="13" t="s">
        <v>242</v>
      </c>
      <c r="B18" s="12">
        <f t="shared" ref="B18:M18" si="2">SUM(B14:B17)</f>
        <v>0</v>
      </c>
      <c r="C18" s="12">
        <f t="shared" si="2"/>
        <v>0</v>
      </c>
      <c r="D18" s="12">
        <f t="shared" si="2"/>
        <v>6652832.7936988762</v>
      </c>
      <c r="E18" s="12">
        <f t="shared" si="2"/>
        <v>0</v>
      </c>
      <c r="F18" s="12">
        <f t="shared" si="2"/>
        <v>462790.72447719867</v>
      </c>
      <c r="G18" s="12">
        <f t="shared" si="2"/>
        <v>0</v>
      </c>
      <c r="H18" s="12">
        <f t="shared" si="2"/>
        <v>0</v>
      </c>
      <c r="I18" s="12">
        <f t="shared" si="2"/>
        <v>347622.91367801721</v>
      </c>
      <c r="J18" s="37">
        <f t="shared" si="2"/>
        <v>-727172.95771585836</v>
      </c>
      <c r="K18" s="12">
        <f t="shared" si="0"/>
        <v>6736073.4741382338</v>
      </c>
      <c r="L18" s="37">
        <f t="shared" si="2"/>
        <v>0</v>
      </c>
      <c r="M18" s="12">
        <f t="shared" si="1"/>
        <v>6736073.4741382338</v>
      </c>
    </row>
    <row r="19" spans="1:13" s="1" customFormat="1" ht="10.5" x14ac:dyDescent="0.25">
      <c r="A19" s="20" t="s">
        <v>243</v>
      </c>
      <c r="B19" s="12">
        <f t="shared" ref="B19:M19" si="3">SUM(B18)</f>
        <v>0</v>
      </c>
      <c r="C19" s="12">
        <f t="shared" si="3"/>
        <v>0</v>
      </c>
      <c r="D19" s="12">
        <f t="shared" si="3"/>
        <v>6652832.7936988762</v>
      </c>
      <c r="E19" s="12">
        <f t="shared" si="3"/>
        <v>0</v>
      </c>
      <c r="F19" s="12">
        <f t="shared" si="3"/>
        <v>462790.72447719867</v>
      </c>
      <c r="G19" s="12">
        <f t="shared" si="3"/>
        <v>0</v>
      </c>
      <c r="H19" s="12">
        <f t="shared" si="3"/>
        <v>0</v>
      </c>
      <c r="I19" s="12">
        <f t="shared" si="3"/>
        <v>347622.91367801721</v>
      </c>
      <c r="J19" s="37">
        <f t="shared" si="3"/>
        <v>-727172.95771585836</v>
      </c>
      <c r="K19" s="12">
        <f t="shared" si="0"/>
        <v>6736073.4741382338</v>
      </c>
      <c r="L19" s="37">
        <f t="shared" si="3"/>
        <v>0</v>
      </c>
      <c r="M19" s="12">
        <f t="shared" si="1"/>
        <v>6736073.4741382338</v>
      </c>
    </row>
    <row r="20" spans="1:13" s="1" customFormat="1" ht="10.5" x14ac:dyDescent="0.25">
      <c r="A20" s="6" t="s">
        <v>232</v>
      </c>
      <c r="B20" s="5"/>
      <c r="C20" s="5"/>
      <c r="D20" s="5"/>
      <c r="E20" s="5"/>
      <c r="F20" s="5"/>
      <c r="G20" s="5"/>
      <c r="H20" s="5"/>
      <c r="I20" s="5"/>
      <c r="J20" s="35"/>
      <c r="K20" s="5">
        <f t="shared" si="0"/>
        <v>0</v>
      </c>
      <c r="L20" s="35"/>
      <c r="M20" s="5">
        <f t="shared" si="1"/>
        <v>0</v>
      </c>
    </row>
    <row r="21" spans="1:13" s="1" customFormat="1" ht="10.5" x14ac:dyDescent="0.25">
      <c r="A21" s="7" t="s">
        <v>233</v>
      </c>
      <c r="B21" s="5"/>
      <c r="C21" s="5"/>
      <c r="D21" s="5"/>
      <c r="E21" s="5"/>
      <c r="F21" s="5"/>
      <c r="G21" s="5"/>
      <c r="H21" s="5"/>
      <c r="I21" s="5"/>
      <c r="J21" s="35"/>
      <c r="K21" s="5">
        <f t="shared" si="0"/>
        <v>0</v>
      </c>
      <c r="L21" s="35"/>
      <c r="M21" s="5">
        <f t="shared" si="1"/>
        <v>0</v>
      </c>
    </row>
    <row r="22" spans="1:13" s="1" customFormat="1" ht="10" x14ac:dyDescent="0.2">
      <c r="A22" s="17" t="s">
        <v>2</v>
      </c>
      <c r="B22" s="10">
        <v>0</v>
      </c>
      <c r="C22" s="10">
        <v>0</v>
      </c>
      <c r="D22" s="10">
        <v>1877345.0306132524</v>
      </c>
      <c r="E22" s="10">
        <v>0</v>
      </c>
      <c r="F22" s="10">
        <v>302902.62513716414</v>
      </c>
      <c r="G22" s="10">
        <v>0</v>
      </c>
      <c r="H22" s="10">
        <v>0</v>
      </c>
      <c r="I22" s="10">
        <v>0</v>
      </c>
      <c r="J22" s="36">
        <v>-262115.42283608465</v>
      </c>
      <c r="K22" s="10">
        <f t="shared" si="0"/>
        <v>1918132.2329143321</v>
      </c>
      <c r="L22" s="36">
        <v>0</v>
      </c>
      <c r="M22" s="10">
        <f t="shared" si="1"/>
        <v>1918132.2329143321</v>
      </c>
    </row>
    <row r="23" spans="1:13" s="1" customFormat="1" ht="10" x14ac:dyDescent="0.2">
      <c r="A23" s="17" t="s">
        <v>432</v>
      </c>
      <c r="B23" s="10">
        <v>0</v>
      </c>
      <c r="C23" s="10">
        <v>0</v>
      </c>
      <c r="D23" s="10">
        <v>43851.451245425349</v>
      </c>
      <c r="E23" s="10">
        <v>0</v>
      </c>
      <c r="F23" s="10">
        <v>5563.5989187491004</v>
      </c>
      <c r="G23" s="10">
        <v>0</v>
      </c>
      <c r="H23" s="10">
        <v>0</v>
      </c>
      <c r="I23" s="10">
        <v>0</v>
      </c>
      <c r="J23" s="36"/>
      <c r="K23" s="10">
        <f t="shared" si="0"/>
        <v>49415.050164174449</v>
      </c>
      <c r="L23" s="36"/>
      <c r="M23" s="10">
        <f t="shared" si="1"/>
        <v>49415.050164174449</v>
      </c>
    </row>
    <row r="24" spans="1:13" s="1" customFormat="1" ht="10" x14ac:dyDescent="0.2">
      <c r="A24" s="17" t="s">
        <v>244</v>
      </c>
      <c r="B24" s="10">
        <v>0</v>
      </c>
      <c r="C24" s="10">
        <v>0</v>
      </c>
      <c r="D24" s="10">
        <v>238602.52626299515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36"/>
      <c r="K24" s="10">
        <f t="shared" si="0"/>
        <v>238602.52626299515</v>
      </c>
      <c r="L24" s="36"/>
      <c r="M24" s="10">
        <f t="shared" si="1"/>
        <v>238602.52626299515</v>
      </c>
    </row>
    <row r="25" spans="1:13" s="1" customFormat="1" ht="10" x14ac:dyDescent="0.2">
      <c r="A25" s="17" t="s">
        <v>433</v>
      </c>
      <c r="B25" s="10">
        <v>0</v>
      </c>
      <c r="C25" s="10">
        <v>0</v>
      </c>
      <c r="D25" s="10">
        <v>19279.382707593541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36"/>
      <c r="K25" s="10">
        <f t="shared" si="0"/>
        <v>19279.382707593541</v>
      </c>
      <c r="L25" s="36"/>
      <c r="M25" s="10">
        <f t="shared" si="1"/>
        <v>19279.382707593541</v>
      </c>
    </row>
    <row r="26" spans="1:13" s="1" customFormat="1" ht="10" x14ac:dyDescent="0.2">
      <c r="A26" s="17" t="s">
        <v>245</v>
      </c>
      <c r="B26" s="10">
        <v>0</v>
      </c>
      <c r="C26" s="10">
        <v>0</v>
      </c>
      <c r="D26" s="10">
        <v>57206.853822918805</v>
      </c>
      <c r="E26" s="10">
        <v>0</v>
      </c>
      <c r="F26" s="10">
        <v>946.15933198097196</v>
      </c>
      <c r="G26" s="10">
        <v>0</v>
      </c>
      <c r="H26" s="10">
        <v>0</v>
      </c>
      <c r="I26" s="10">
        <v>0</v>
      </c>
      <c r="J26" s="36"/>
      <c r="K26" s="10">
        <f t="shared" si="0"/>
        <v>58153.013154899774</v>
      </c>
      <c r="L26" s="36"/>
      <c r="M26" s="10">
        <f t="shared" si="1"/>
        <v>58153.013154899774</v>
      </c>
    </row>
    <row r="27" spans="1:13" s="1" customFormat="1" ht="10.5" x14ac:dyDescent="0.25">
      <c r="A27" s="8" t="s">
        <v>408</v>
      </c>
      <c r="B27" s="5"/>
      <c r="C27" s="5"/>
      <c r="D27" s="5"/>
      <c r="E27" s="5"/>
      <c r="F27" s="5"/>
      <c r="G27" s="5"/>
      <c r="H27" s="5"/>
      <c r="I27" s="5"/>
      <c r="J27" s="35"/>
      <c r="K27" s="5">
        <f t="shared" si="0"/>
        <v>0</v>
      </c>
      <c r="L27" s="35"/>
      <c r="M27" s="5">
        <f t="shared" si="1"/>
        <v>0</v>
      </c>
    </row>
    <row r="28" spans="1:13" s="1" customFormat="1" ht="10" x14ac:dyDescent="0.2">
      <c r="A28" s="9" t="s">
        <v>434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8.7881204466089997</v>
      </c>
      <c r="H28" s="10">
        <v>0</v>
      </c>
      <c r="I28" s="10">
        <v>0</v>
      </c>
      <c r="J28" s="36"/>
      <c r="K28" s="10">
        <f t="shared" si="0"/>
        <v>8.7881204466089997</v>
      </c>
      <c r="L28" s="36"/>
      <c r="M28" s="10">
        <f t="shared" si="1"/>
        <v>8.7881204466089997</v>
      </c>
    </row>
    <row r="29" spans="1:13" s="1" customFormat="1" ht="10" x14ac:dyDescent="0.2">
      <c r="A29" s="9" t="s">
        <v>435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8.858619570339</v>
      </c>
      <c r="H29" s="10">
        <v>0</v>
      </c>
      <c r="I29" s="10">
        <v>0</v>
      </c>
      <c r="J29" s="36"/>
      <c r="K29" s="10">
        <f t="shared" si="0"/>
        <v>8.858619570339</v>
      </c>
      <c r="L29" s="36"/>
      <c r="M29" s="10">
        <f t="shared" si="1"/>
        <v>8.858619570339</v>
      </c>
    </row>
    <row r="30" spans="1:13" s="1" customFormat="1" ht="10" x14ac:dyDescent="0.2">
      <c r="A30" s="9" t="s">
        <v>409</v>
      </c>
      <c r="B30" s="10">
        <v>0</v>
      </c>
      <c r="C30" s="10">
        <v>0</v>
      </c>
      <c r="D30" s="10">
        <v>14539.15534933526</v>
      </c>
      <c r="E30" s="10">
        <v>0</v>
      </c>
      <c r="F30" s="10">
        <v>0</v>
      </c>
      <c r="G30" s="10">
        <v>127.4277464758305</v>
      </c>
      <c r="H30" s="10">
        <v>0</v>
      </c>
      <c r="I30" s="10">
        <v>0</v>
      </c>
      <c r="J30" s="36"/>
      <c r="K30" s="10">
        <f t="shared" si="0"/>
        <v>14666.583095811091</v>
      </c>
      <c r="L30" s="36"/>
      <c r="M30" s="10">
        <f t="shared" si="1"/>
        <v>14666.583095811091</v>
      </c>
    </row>
    <row r="31" spans="1:13" s="1" customFormat="1" ht="10.5" x14ac:dyDescent="0.25">
      <c r="A31" s="14" t="s">
        <v>436</v>
      </c>
      <c r="B31" s="5"/>
      <c r="C31" s="5"/>
      <c r="D31" s="5"/>
      <c r="E31" s="5"/>
      <c r="F31" s="5"/>
      <c r="G31" s="5"/>
      <c r="H31" s="5"/>
      <c r="I31" s="5"/>
      <c r="J31" s="35"/>
      <c r="K31" s="5">
        <f t="shared" si="0"/>
        <v>0</v>
      </c>
      <c r="L31" s="35"/>
      <c r="M31" s="5">
        <f t="shared" si="1"/>
        <v>0</v>
      </c>
    </row>
    <row r="32" spans="1:13" s="1" customFormat="1" ht="10" x14ac:dyDescent="0.2">
      <c r="A32" s="15" t="s">
        <v>437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68.547339483550203</v>
      </c>
      <c r="H32" s="10">
        <v>0</v>
      </c>
      <c r="I32" s="10">
        <v>0</v>
      </c>
      <c r="J32" s="36"/>
      <c r="K32" s="10">
        <f t="shared" si="0"/>
        <v>68.547339483550203</v>
      </c>
      <c r="L32" s="36"/>
      <c r="M32" s="10">
        <f t="shared" si="1"/>
        <v>68.547339483550203</v>
      </c>
    </row>
    <row r="33" spans="1:13" s="1" customFormat="1" ht="10" x14ac:dyDescent="0.2">
      <c r="A33" s="15" t="s">
        <v>438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18.4550529378789</v>
      </c>
      <c r="H33" s="10">
        <v>0</v>
      </c>
      <c r="I33" s="10">
        <v>0</v>
      </c>
      <c r="J33" s="36"/>
      <c r="K33" s="10">
        <f t="shared" si="0"/>
        <v>18.4550529378789</v>
      </c>
      <c r="L33" s="36"/>
      <c r="M33" s="10">
        <f t="shared" si="1"/>
        <v>18.4550529378789</v>
      </c>
    </row>
    <row r="34" spans="1:13" s="1" customFormat="1" ht="10.5" x14ac:dyDescent="0.25">
      <c r="A34" s="16" t="s">
        <v>439</v>
      </c>
      <c r="B34" s="12">
        <f t="shared" ref="B34:M34" si="4">SUM(B32:B33)</f>
        <v>0</v>
      </c>
      <c r="C34" s="12">
        <f t="shared" si="4"/>
        <v>0</v>
      </c>
      <c r="D34" s="12">
        <f t="shared" si="4"/>
        <v>0</v>
      </c>
      <c r="E34" s="12">
        <f t="shared" si="4"/>
        <v>0</v>
      </c>
      <c r="F34" s="12">
        <f t="shared" si="4"/>
        <v>0</v>
      </c>
      <c r="G34" s="12">
        <f t="shared" si="4"/>
        <v>87.002392421429107</v>
      </c>
      <c r="H34" s="12">
        <f t="shared" si="4"/>
        <v>0</v>
      </c>
      <c r="I34" s="12">
        <f t="shared" si="4"/>
        <v>0</v>
      </c>
      <c r="J34" s="37">
        <f t="shared" si="4"/>
        <v>0</v>
      </c>
      <c r="K34" s="12">
        <f t="shared" si="0"/>
        <v>87.002392421429107</v>
      </c>
      <c r="L34" s="37">
        <f t="shared" si="4"/>
        <v>0</v>
      </c>
      <c r="M34" s="12">
        <f t="shared" si="1"/>
        <v>87.002392421429107</v>
      </c>
    </row>
    <row r="35" spans="1:13" s="1" customFormat="1" ht="10.5" x14ac:dyDescent="0.25">
      <c r="A35" s="11" t="s">
        <v>410</v>
      </c>
      <c r="B35" s="12">
        <f t="shared" ref="B35:M35" si="5">SUM(B28:B30,B34)</f>
        <v>0</v>
      </c>
      <c r="C35" s="12">
        <f t="shared" si="5"/>
        <v>0</v>
      </c>
      <c r="D35" s="12">
        <f t="shared" si="5"/>
        <v>14539.15534933526</v>
      </c>
      <c r="E35" s="12">
        <f t="shared" si="5"/>
        <v>0</v>
      </c>
      <c r="F35" s="12">
        <f t="shared" si="5"/>
        <v>0</v>
      </c>
      <c r="G35" s="12">
        <f t="shared" si="5"/>
        <v>232.07687891420761</v>
      </c>
      <c r="H35" s="12">
        <f t="shared" si="5"/>
        <v>0</v>
      </c>
      <c r="I35" s="12">
        <f t="shared" si="5"/>
        <v>0</v>
      </c>
      <c r="J35" s="37">
        <f t="shared" si="5"/>
        <v>0</v>
      </c>
      <c r="K35" s="12">
        <f t="shared" si="0"/>
        <v>14771.232228249468</v>
      </c>
      <c r="L35" s="37">
        <f t="shared" si="5"/>
        <v>0</v>
      </c>
      <c r="M35" s="12">
        <f t="shared" si="1"/>
        <v>14771.232228249468</v>
      </c>
    </row>
    <row r="36" spans="1:13" s="1" customFormat="1" ht="10.5" x14ac:dyDescent="0.25">
      <c r="A36" s="13" t="s">
        <v>234</v>
      </c>
      <c r="B36" s="12">
        <f t="shared" ref="B36:M36" si="6">SUM(B22:B26,B35)</f>
        <v>0</v>
      </c>
      <c r="C36" s="12">
        <f t="shared" si="6"/>
        <v>0</v>
      </c>
      <c r="D36" s="12">
        <f t="shared" si="6"/>
        <v>2250824.4000015203</v>
      </c>
      <c r="E36" s="12">
        <f t="shared" si="6"/>
        <v>0</v>
      </c>
      <c r="F36" s="12">
        <f t="shared" si="6"/>
        <v>309412.3833878942</v>
      </c>
      <c r="G36" s="12">
        <f t="shared" si="6"/>
        <v>232.07687891420761</v>
      </c>
      <c r="H36" s="12">
        <f t="shared" si="6"/>
        <v>0</v>
      </c>
      <c r="I36" s="12">
        <f t="shared" si="6"/>
        <v>0</v>
      </c>
      <c r="J36" s="37">
        <f t="shared" si="6"/>
        <v>-262115.42283608465</v>
      </c>
      <c r="K36" s="12">
        <f t="shared" si="0"/>
        <v>2298353.437432244</v>
      </c>
      <c r="L36" s="37">
        <f t="shared" si="6"/>
        <v>0</v>
      </c>
      <c r="M36" s="12">
        <f t="shared" si="1"/>
        <v>2298353.437432244</v>
      </c>
    </row>
    <row r="37" spans="1:13" s="1" customFormat="1" ht="10.5" x14ac:dyDescent="0.25">
      <c r="A37" s="20" t="s">
        <v>235</v>
      </c>
      <c r="B37" s="12">
        <f t="shared" ref="B37:M37" si="7">SUM(B36)</f>
        <v>0</v>
      </c>
      <c r="C37" s="12">
        <f t="shared" si="7"/>
        <v>0</v>
      </c>
      <c r="D37" s="12">
        <f t="shared" si="7"/>
        <v>2250824.4000015203</v>
      </c>
      <c r="E37" s="12">
        <f t="shared" si="7"/>
        <v>0</v>
      </c>
      <c r="F37" s="12">
        <f t="shared" si="7"/>
        <v>309412.3833878942</v>
      </c>
      <c r="G37" s="12">
        <f t="shared" si="7"/>
        <v>232.07687891420761</v>
      </c>
      <c r="H37" s="12">
        <f t="shared" si="7"/>
        <v>0</v>
      </c>
      <c r="I37" s="12">
        <f t="shared" si="7"/>
        <v>0</v>
      </c>
      <c r="J37" s="37">
        <f t="shared" si="7"/>
        <v>-262115.42283608465</v>
      </c>
      <c r="K37" s="12">
        <f t="shared" si="0"/>
        <v>2298353.437432244</v>
      </c>
      <c r="L37" s="37">
        <f t="shared" si="7"/>
        <v>0</v>
      </c>
      <c r="M37" s="12">
        <f t="shared" si="1"/>
        <v>2298353.437432244</v>
      </c>
    </row>
    <row r="38" spans="1:13" s="1" customFormat="1" ht="10.5" x14ac:dyDescent="0.25">
      <c r="A38" s="18" t="s">
        <v>236</v>
      </c>
      <c r="B38" s="19">
        <f t="shared" ref="B38:M38" si="8">B19-B37</f>
        <v>0</v>
      </c>
      <c r="C38" s="19">
        <f t="shared" si="8"/>
        <v>0</v>
      </c>
      <c r="D38" s="19">
        <f t="shared" si="8"/>
        <v>4402008.3936973559</v>
      </c>
      <c r="E38" s="19">
        <f t="shared" si="8"/>
        <v>0</v>
      </c>
      <c r="F38" s="19">
        <f t="shared" si="8"/>
        <v>153378.34108930448</v>
      </c>
      <c r="G38" s="19">
        <f t="shared" si="8"/>
        <v>-232.07687891420761</v>
      </c>
      <c r="H38" s="19">
        <f t="shared" si="8"/>
        <v>0</v>
      </c>
      <c r="I38" s="19">
        <f t="shared" si="8"/>
        <v>347622.91367801721</v>
      </c>
      <c r="J38" s="38">
        <f t="shared" si="8"/>
        <v>-465057.53487977374</v>
      </c>
      <c r="K38" s="19">
        <f t="shared" si="0"/>
        <v>4437720.0367059894</v>
      </c>
      <c r="L38" s="38">
        <f t="shared" si="8"/>
        <v>0</v>
      </c>
      <c r="M38" s="19">
        <f t="shared" si="1"/>
        <v>4437720.0367059894</v>
      </c>
    </row>
    <row r="39" spans="1:13" s="1" customFormat="1" ht="10.5" x14ac:dyDescent="0.25">
      <c r="A39" s="6" t="s">
        <v>246</v>
      </c>
      <c r="B39" s="5"/>
      <c r="C39" s="5"/>
      <c r="D39" s="5"/>
      <c r="E39" s="5"/>
      <c r="F39" s="5"/>
      <c r="G39" s="5"/>
      <c r="H39" s="5"/>
      <c r="I39" s="5"/>
      <c r="J39" s="35"/>
      <c r="K39" s="5">
        <f t="shared" si="0"/>
        <v>0</v>
      </c>
      <c r="L39" s="35"/>
      <c r="M39" s="5">
        <f t="shared" si="1"/>
        <v>0</v>
      </c>
    </row>
    <row r="40" spans="1:13" s="1" customFormat="1" ht="10.5" x14ac:dyDescent="0.25">
      <c r="A40" s="7" t="s">
        <v>247</v>
      </c>
      <c r="B40" s="5"/>
      <c r="C40" s="5"/>
      <c r="D40" s="5"/>
      <c r="E40" s="5"/>
      <c r="F40" s="5"/>
      <c r="G40" s="5"/>
      <c r="H40" s="5"/>
      <c r="I40" s="5"/>
      <c r="J40" s="35"/>
      <c r="K40" s="5">
        <f t="shared" si="0"/>
        <v>0</v>
      </c>
      <c r="L40" s="35"/>
      <c r="M40" s="5">
        <f t="shared" si="1"/>
        <v>0</v>
      </c>
    </row>
    <row r="41" spans="1:13" s="1" customFormat="1" ht="10" x14ac:dyDescent="0.2">
      <c r="A41" s="17" t="s">
        <v>411</v>
      </c>
      <c r="B41" s="10">
        <v>0</v>
      </c>
      <c r="C41" s="10">
        <v>0</v>
      </c>
      <c r="D41" s="10">
        <v>2690.4585882132278</v>
      </c>
      <c r="E41" s="10">
        <v>-8.825307236859727</v>
      </c>
      <c r="F41" s="10">
        <v>31.942533747975371</v>
      </c>
      <c r="G41" s="10">
        <v>0</v>
      </c>
      <c r="H41" s="10">
        <v>0</v>
      </c>
      <c r="I41" s="10">
        <v>649.03805217454578</v>
      </c>
      <c r="J41" s="36"/>
      <c r="K41" s="10">
        <f t="shared" si="0"/>
        <v>3362.6138668988888</v>
      </c>
      <c r="L41" s="36"/>
      <c r="M41" s="10">
        <f t="shared" si="1"/>
        <v>3362.6138668988888</v>
      </c>
    </row>
    <row r="42" spans="1:13" s="1" customFormat="1" ht="10.5" x14ac:dyDescent="0.25">
      <c r="A42" s="8" t="s">
        <v>248</v>
      </c>
      <c r="B42" s="5"/>
      <c r="C42" s="5"/>
      <c r="D42" s="5"/>
      <c r="E42" s="5"/>
      <c r="F42" s="5"/>
      <c r="G42" s="5"/>
      <c r="H42" s="5"/>
      <c r="I42" s="5"/>
      <c r="J42" s="35"/>
      <c r="K42" s="5">
        <f t="shared" si="0"/>
        <v>0</v>
      </c>
      <c r="L42" s="35"/>
      <c r="M42" s="5">
        <f t="shared" si="1"/>
        <v>0</v>
      </c>
    </row>
    <row r="43" spans="1:13" s="1" customFormat="1" ht="10" x14ac:dyDescent="0.2">
      <c r="A43" s="9" t="s">
        <v>249</v>
      </c>
      <c r="B43" s="10">
        <v>0</v>
      </c>
      <c r="C43" s="10">
        <v>0</v>
      </c>
      <c r="D43" s="10">
        <v>326372.12229492766</v>
      </c>
      <c r="E43" s="10">
        <v>0</v>
      </c>
      <c r="F43" s="10">
        <v>0</v>
      </c>
      <c r="G43" s="10">
        <v>13174.834312806501</v>
      </c>
      <c r="H43" s="10">
        <v>0</v>
      </c>
      <c r="I43" s="10">
        <v>62333.568812028963</v>
      </c>
      <c r="J43" s="36"/>
      <c r="K43" s="10">
        <f t="shared" si="0"/>
        <v>401880.52541976311</v>
      </c>
      <c r="L43" s="36"/>
      <c r="M43" s="10">
        <f t="shared" si="1"/>
        <v>401880.52541976311</v>
      </c>
    </row>
    <row r="44" spans="1:13" s="1" customFormat="1" ht="10" x14ac:dyDescent="0.2">
      <c r="A44" s="9" t="s">
        <v>250</v>
      </c>
      <c r="B44" s="10">
        <v>0</v>
      </c>
      <c r="C44" s="10">
        <v>0</v>
      </c>
      <c r="D44" s="10">
        <v>869684.6960042658</v>
      </c>
      <c r="E44" s="10">
        <v>0</v>
      </c>
      <c r="F44" s="10">
        <v>0</v>
      </c>
      <c r="G44" s="10">
        <v>53560.601423302003</v>
      </c>
      <c r="H44" s="10">
        <v>0</v>
      </c>
      <c r="I44" s="10">
        <v>187000.97654848851</v>
      </c>
      <c r="J44" s="36"/>
      <c r="K44" s="10">
        <f t="shared" si="0"/>
        <v>1110246.2739760564</v>
      </c>
      <c r="L44" s="36"/>
      <c r="M44" s="10">
        <f t="shared" si="1"/>
        <v>1110246.2739760564</v>
      </c>
    </row>
    <row r="45" spans="1:13" s="1" customFormat="1" ht="10" x14ac:dyDescent="0.2">
      <c r="A45" s="9" t="s">
        <v>251</v>
      </c>
      <c r="B45" s="10">
        <v>0</v>
      </c>
      <c r="C45" s="10">
        <v>0</v>
      </c>
      <c r="D45" s="10">
        <v>109825.72561034645</v>
      </c>
      <c r="E45" s="10">
        <v>0</v>
      </c>
      <c r="F45" s="10">
        <v>0</v>
      </c>
      <c r="G45" s="10">
        <v>118.57350881525851</v>
      </c>
      <c r="H45" s="10">
        <v>0</v>
      </c>
      <c r="I45" s="10">
        <v>27052.757009345292</v>
      </c>
      <c r="J45" s="36"/>
      <c r="K45" s="10">
        <f t="shared" ref="K45:K76" si="9">SUM(D45:J45)</f>
        <v>136997.05612850699</v>
      </c>
      <c r="L45" s="36"/>
      <c r="M45" s="10">
        <f t="shared" ref="M45:M76" si="10">SUM(B45,K45,L45)+C45</f>
        <v>136997.05612850699</v>
      </c>
    </row>
    <row r="46" spans="1:13" s="1" customFormat="1" ht="10" x14ac:dyDescent="0.2">
      <c r="A46" s="9" t="s">
        <v>252</v>
      </c>
      <c r="B46" s="10">
        <v>0</v>
      </c>
      <c r="C46" s="10">
        <v>0</v>
      </c>
      <c r="D46" s="10">
        <v>28760.998489022742</v>
      </c>
      <c r="E46" s="10">
        <v>0</v>
      </c>
      <c r="F46" s="10">
        <v>0</v>
      </c>
      <c r="G46" s="10">
        <v>6552.0622209025732</v>
      </c>
      <c r="H46" s="10">
        <v>0</v>
      </c>
      <c r="I46" s="10">
        <v>4831.5017631427318</v>
      </c>
      <c r="J46" s="36"/>
      <c r="K46" s="10">
        <f t="shared" si="9"/>
        <v>40144.56247306805</v>
      </c>
      <c r="L46" s="36"/>
      <c r="M46" s="10">
        <f t="shared" si="10"/>
        <v>40144.56247306805</v>
      </c>
    </row>
    <row r="47" spans="1:13" s="1" customFormat="1" ht="10.5" x14ac:dyDescent="0.25">
      <c r="A47" s="11" t="s">
        <v>253</v>
      </c>
      <c r="B47" s="12">
        <f t="shared" ref="B47:M47" si="11">SUM(B43:B46)</f>
        <v>0</v>
      </c>
      <c r="C47" s="12">
        <f t="shared" si="11"/>
        <v>0</v>
      </c>
      <c r="D47" s="12">
        <f t="shared" si="11"/>
        <v>1334643.5423985627</v>
      </c>
      <c r="E47" s="12">
        <f t="shared" si="11"/>
        <v>0</v>
      </c>
      <c r="F47" s="12">
        <f t="shared" si="11"/>
        <v>0</v>
      </c>
      <c r="G47" s="12">
        <f t="shared" si="11"/>
        <v>73406.071465826331</v>
      </c>
      <c r="H47" s="12">
        <f t="shared" si="11"/>
        <v>0</v>
      </c>
      <c r="I47" s="12">
        <f t="shared" si="11"/>
        <v>281218.8041330055</v>
      </c>
      <c r="J47" s="37">
        <f t="shared" si="11"/>
        <v>0</v>
      </c>
      <c r="K47" s="12">
        <f t="shared" si="9"/>
        <v>1689268.4179973945</v>
      </c>
      <c r="L47" s="37">
        <f t="shared" si="11"/>
        <v>0</v>
      </c>
      <c r="M47" s="12">
        <f t="shared" si="10"/>
        <v>1689268.4179973945</v>
      </c>
    </row>
    <row r="48" spans="1:13" s="1" customFormat="1" ht="10.5" x14ac:dyDescent="0.25">
      <c r="A48" s="8" t="s">
        <v>254</v>
      </c>
      <c r="B48" s="5"/>
      <c r="C48" s="5"/>
      <c r="D48" s="5"/>
      <c r="E48" s="5"/>
      <c r="F48" s="5"/>
      <c r="G48" s="5"/>
      <c r="H48" s="5"/>
      <c r="I48" s="5"/>
      <c r="J48" s="35"/>
      <c r="K48" s="5">
        <f t="shared" si="9"/>
        <v>0</v>
      </c>
      <c r="L48" s="35"/>
      <c r="M48" s="5">
        <f t="shared" si="10"/>
        <v>0</v>
      </c>
    </row>
    <row r="49" spans="1:13" s="1" customFormat="1" ht="10" x14ac:dyDescent="0.2">
      <c r="A49" s="9" t="s">
        <v>398</v>
      </c>
      <c r="B49" s="10">
        <v>0</v>
      </c>
      <c r="C49" s="10">
        <v>0</v>
      </c>
      <c r="D49" s="10">
        <v>8713.2775933916928</v>
      </c>
      <c r="E49" s="10">
        <v>0</v>
      </c>
      <c r="F49" s="10">
        <v>0</v>
      </c>
      <c r="G49" s="10">
        <v>665.61224262616565</v>
      </c>
      <c r="H49" s="10">
        <v>0</v>
      </c>
      <c r="I49" s="10">
        <v>0</v>
      </c>
      <c r="J49" s="36"/>
      <c r="K49" s="10">
        <f t="shared" si="9"/>
        <v>9378.8898360178591</v>
      </c>
      <c r="L49" s="36"/>
      <c r="M49" s="10">
        <f t="shared" si="10"/>
        <v>9378.8898360178591</v>
      </c>
    </row>
    <row r="50" spans="1:13" s="1" customFormat="1" ht="10" x14ac:dyDescent="0.2">
      <c r="A50" s="9" t="s">
        <v>312</v>
      </c>
      <c r="B50" s="10">
        <v>0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19358.85578515815</v>
      </c>
      <c r="J50" s="36"/>
      <c r="K50" s="10">
        <f t="shared" si="9"/>
        <v>19358.85578515815</v>
      </c>
      <c r="L50" s="36"/>
      <c r="M50" s="10">
        <f t="shared" si="10"/>
        <v>19358.85578515815</v>
      </c>
    </row>
    <row r="51" spans="1:13" s="1" customFormat="1" ht="10" x14ac:dyDescent="0.2">
      <c r="A51" s="9" t="s">
        <v>440</v>
      </c>
      <c r="B51" s="10">
        <v>0</v>
      </c>
      <c r="C51" s="10">
        <v>0</v>
      </c>
      <c r="D51" s="10">
        <v>21492.120991764608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36"/>
      <c r="K51" s="10">
        <f t="shared" si="9"/>
        <v>21492.120991764608</v>
      </c>
      <c r="L51" s="36"/>
      <c r="M51" s="10">
        <f t="shared" si="10"/>
        <v>21492.120991764608</v>
      </c>
    </row>
    <row r="52" spans="1:13" s="1" customFormat="1" ht="10" x14ac:dyDescent="0.2">
      <c r="A52" s="9" t="s">
        <v>399</v>
      </c>
      <c r="B52" s="10">
        <v>0</v>
      </c>
      <c r="C52" s="10">
        <v>0</v>
      </c>
      <c r="D52" s="10">
        <v>-1082.8501568622787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36"/>
      <c r="K52" s="10">
        <f t="shared" si="9"/>
        <v>-1082.8501568622787</v>
      </c>
      <c r="L52" s="36"/>
      <c r="M52" s="10">
        <f t="shared" si="10"/>
        <v>-1082.8501568622787</v>
      </c>
    </row>
    <row r="53" spans="1:13" s="1" customFormat="1" ht="10.5" x14ac:dyDescent="0.25">
      <c r="A53" s="11" t="s">
        <v>255</v>
      </c>
      <c r="B53" s="12">
        <f t="shared" ref="B53:M53" si="12">SUM(B49:B52)</f>
        <v>0</v>
      </c>
      <c r="C53" s="12">
        <f t="shared" si="12"/>
        <v>0</v>
      </c>
      <c r="D53" s="12">
        <f t="shared" si="12"/>
        <v>29122.548428294023</v>
      </c>
      <c r="E53" s="12">
        <f t="shared" si="12"/>
        <v>0</v>
      </c>
      <c r="F53" s="12">
        <f t="shared" si="12"/>
        <v>0</v>
      </c>
      <c r="G53" s="12">
        <f t="shared" si="12"/>
        <v>665.61224262616565</v>
      </c>
      <c r="H53" s="12">
        <f t="shared" si="12"/>
        <v>0</v>
      </c>
      <c r="I53" s="12">
        <f t="shared" si="12"/>
        <v>19358.85578515815</v>
      </c>
      <c r="J53" s="37">
        <f t="shared" si="12"/>
        <v>0</v>
      </c>
      <c r="K53" s="12">
        <f t="shared" si="9"/>
        <v>49147.016456078338</v>
      </c>
      <c r="L53" s="37">
        <f t="shared" si="12"/>
        <v>0</v>
      </c>
      <c r="M53" s="12">
        <f t="shared" si="10"/>
        <v>49147.016456078338</v>
      </c>
    </row>
    <row r="54" spans="1:13" s="1" customFormat="1" ht="10.5" x14ac:dyDescent="0.25">
      <c r="A54" s="8" t="s">
        <v>256</v>
      </c>
      <c r="B54" s="5"/>
      <c r="C54" s="5"/>
      <c r="D54" s="5"/>
      <c r="E54" s="5"/>
      <c r="F54" s="5"/>
      <c r="G54" s="5"/>
      <c r="H54" s="5"/>
      <c r="I54" s="5"/>
      <c r="J54" s="35"/>
      <c r="K54" s="5">
        <f t="shared" si="9"/>
        <v>0</v>
      </c>
      <c r="L54" s="35"/>
      <c r="M54" s="5">
        <f t="shared" si="10"/>
        <v>0</v>
      </c>
    </row>
    <row r="55" spans="1:13" s="1" customFormat="1" ht="10" x14ac:dyDescent="0.2">
      <c r="A55" s="9" t="s">
        <v>257</v>
      </c>
      <c r="B55" s="10">
        <v>0</v>
      </c>
      <c r="C55" s="10">
        <v>0</v>
      </c>
      <c r="D55" s="10">
        <v>59002.080265316123</v>
      </c>
      <c r="E55" s="10">
        <v>0</v>
      </c>
      <c r="F55" s="10">
        <v>0</v>
      </c>
      <c r="G55" s="10">
        <v>1956.5661784137039</v>
      </c>
      <c r="H55" s="10">
        <v>0</v>
      </c>
      <c r="I55" s="10">
        <v>44504.095374964512</v>
      </c>
      <c r="J55" s="36"/>
      <c r="K55" s="10">
        <f t="shared" si="9"/>
        <v>105462.74181869434</v>
      </c>
      <c r="L55" s="36"/>
      <c r="M55" s="10">
        <f t="shared" si="10"/>
        <v>105462.74181869434</v>
      </c>
    </row>
    <row r="56" spans="1:13" s="1" customFormat="1" ht="10" x14ac:dyDescent="0.2">
      <c r="A56" s="9" t="s">
        <v>258</v>
      </c>
      <c r="B56" s="10">
        <v>0</v>
      </c>
      <c r="C56" s="10">
        <v>0</v>
      </c>
      <c r="D56" s="10">
        <v>218640.93129316918</v>
      </c>
      <c r="E56" s="10">
        <v>0</v>
      </c>
      <c r="F56" s="10">
        <v>18689.252541921236</v>
      </c>
      <c r="G56" s="10">
        <v>697.86093955684225</v>
      </c>
      <c r="H56" s="10">
        <v>0</v>
      </c>
      <c r="I56" s="10">
        <v>31310.747575076897</v>
      </c>
      <c r="J56" s="36"/>
      <c r="K56" s="10">
        <f t="shared" si="9"/>
        <v>269338.79234972416</v>
      </c>
      <c r="L56" s="36"/>
      <c r="M56" s="10">
        <f t="shared" si="10"/>
        <v>269338.79234972416</v>
      </c>
    </row>
    <row r="57" spans="1:13" s="1" customFormat="1" ht="10.5" x14ac:dyDescent="0.25">
      <c r="A57" s="11" t="s">
        <v>259</v>
      </c>
      <c r="B57" s="12">
        <f t="shared" ref="B57:M57" si="13">SUM(B55:B56)</f>
        <v>0</v>
      </c>
      <c r="C57" s="12">
        <f t="shared" si="13"/>
        <v>0</v>
      </c>
      <c r="D57" s="12">
        <f t="shared" si="13"/>
        <v>277643.01155848533</v>
      </c>
      <c r="E57" s="12">
        <f t="shared" si="13"/>
        <v>0</v>
      </c>
      <c r="F57" s="12">
        <f t="shared" si="13"/>
        <v>18689.252541921236</v>
      </c>
      <c r="G57" s="12">
        <f t="shared" si="13"/>
        <v>2654.4271179705461</v>
      </c>
      <c r="H57" s="12">
        <f t="shared" si="13"/>
        <v>0</v>
      </c>
      <c r="I57" s="12">
        <f t="shared" si="13"/>
        <v>75814.842950041406</v>
      </c>
      <c r="J57" s="37">
        <f t="shared" si="13"/>
        <v>0</v>
      </c>
      <c r="K57" s="12">
        <f t="shared" si="9"/>
        <v>374801.5341684185</v>
      </c>
      <c r="L57" s="37">
        <f t="shared" si="13"/>
        <v>0</v>
      </c>
      <c r="M57" s="12">
        <f t="shared" si="10"/>
        <v>374801.5341684185</v>
      </c>
    </row>
    <row r="58" spans="1:13" s="1" customFormat="1" ht="10.5" x14ac:dyDescent="0.25">
      <c r="A58" s="8" t="s">
        <v>412</v>
      </c>
      <c r="B58" s="5"/>
      <c r="C58" s="5"/>
      <c r="D58" s="5"/>
      <c r="E58" s="5"/>
      <c r="F58" s="5"/>
      <c r="G58" s="5"/>
      <c r="H58" s="5"/>
      <c r="I58" s="5"/>
      <c r="J58" s="35"/>
      <c r="K58" s="5">
        <f t="shared" si="9"/>
        <v>0</v>
      </c>
      <c r="L58" s="35"/>
      <c r="M58" s="5">
        <f t="shared" si="10"/>
        <v>0</v>
      </c>
    </row>
    <row r="59" spans="1:13" s="1" customFormat="1" ht="10" x14ac:dyDescent="0.2">
      <c r="A59" s="9" t="s">
        <v>413</v>
      </c>
      <c r="B59" s="10">
        <v>0</v>
      </c>
      <c r="C59" s="10">
        <v>0</v>
      </c>
      <c r="D59" s="10">
        <v>3963.1436239735185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36"/>
      <c r="K59" s="10">
        <f t="shared" si="9"/>
        <v>3963.1436239735185</v>
      </c>
      <c r="L59" s="36"/>
      <c r="M59" s="10">
        <f t="shared" si="10"/>
        <v>3963.1436239735185</v>
      </c>
    </row>
    <row r="60" spans="1:13" s="1" customFormat="1" ht="10" x14ac:dyDescent="0.2">
      <c r="A60" s="9" t="s">
        <v>441</v>
      </c>
      <c r="B60" s="10">
        <v>0</v>
      </c>
      <c r="C60" s="10">
        <v>0</v>
      </c>
      <c r="D60" s="10">
        <v>1311.7760848536568</v>
      </c>
      <c r="E60" s="10">
        <v>0</v>
      </c>
      <c r="F60" s="10">
        <v>0</v>
      </c>
      <c r="G60" s="10">
        <v>0</v>
      </c>
      <c r="H60" s="10">
        <v>0</v>
      </c>
      <c r="I60" s="10">
        <v>19.205683483946547</v>
      </c>
      <c r="J60" s="36"/>
      <c r="K60" s="10">
        <f t="shared" si="9"/>
        <v>1330.9817683376034</v>
      </c>
      <c r="L60" s="36"/>
      <c r="M60" s="10">
        <f t="shared" si="10"/>
        <v>1330.9817683376034</v>
      </c>
    </row>
    <row r="61" spans="1:13" s="1" customFormat="1" ht="10.5" x14ac:dyDescent="0.25">
      <c r="A61" s="11" t="s">
        <v>414</v>
      </c>
      <c r="B61" s="12">
        <f t="shared" ref="B61:M61" si="14">SUM(B59:B60)</f>
        <v>0</v>
      </c>
      <c r="C61" s="12">
        <f t="shared" si="14"/>
        <v>0</v>
      </c>
      <c r="D61" s="12">
        <f t="shared" si="14"/>
        <v>5274.9197088271758</v>
      </c>
      <c r="E61" s="12">
        <f t="shared" si="14"/>
        <v>0</v>
      </c>
      <c r="F61" s="12">
        <f t="shared" si="14"/>
        <v>0</v>
      </c>
      <c r="G61" s="12">
        <f t="shared" si="14"/>
        <v>0</v>
      </c>
      <c r="H61" s="12">
        <f t="shared" si="14"/>
        <v>0</v>
      </c>
      <c r="I61" s="12">
        <f t="shared" si="14"/>
        <v>19.205683483946547</v>
      </c>
      <c r="J61" s="37">
        <f t="shared" si="14"/>
        <v>0</v>
      </c>
      <c r="K61" s="12">
        <f t="shared" si="9"/>
        <v>5294.1253923111226</v>
      </c>
      <c r="L61" s="37">
        <f t="shared" si="14"/>
        <v>0</v>
      </c>
      <c r="M61" s="12">
        <f t="shared" si="10"/>
        <v>5294.1253923111226</v>
      </c>
    </row>
    <row r="62" spans="1:13" s="1" customFormat="1" ht="10.5" x14ac:dyDescent="0.25">
      <c r="A62" s="8" t="s">
        <v>260</v>
      </c>
      <c r="B62" s="5"/>
      <c r="C62" s="5"/>
      <c r="D62" s="5"/>
      <c r="E62" s="5"/>
      <c r="F62" s="5"/>
      <c r="G62" s="5"/>
      <c r="H62" s="5"/>
      <c r="I62" s="5"/>
      <c r="J62" s="35"/>
      <c r="K62" s="5">
        <f t="shared" si="9"/>
        <v>0</v>
      </c>
      <c r="L62" s="35"/>
      <c r="M62" s="5">
        <f t="shared" si="10"/>
        <v>0</v>
      </c>
    </row>
    <row r="63" spans="1:13" s="1" customFormat="1" ht="10" x14ac:dyDescent="0.2">
      <c r="A63" s="9" t="s">
        <v>261</v>
      </c>
      <c r="B63" s="10">
        <v>0</v>
      </c>
      <c r="C63" s="10">
        <v>0</v>
      </c>
      <c r="D63" s="10">
        <v>3158.6112544904563</v>
      </c>
      <c r="E63" s="10">
        <v>0</v>
      </c>
      <c r="F63" s="10">
        <v>1458.3878321070454</v>
      </c>
      <c r="G63" s="10">
        <v>4437.9962342501167</v>
      </c>
      <c r="H63" s="10">
        <v>0</v>
      </c>
      <c r="I63" s="10">
        <v>12648.306578323729</v>
      </c>
      <c r="J63" s="36"/>
      <c r="K63" s="10">
        <f t="shared" si="9"/>
        <v>21703.301899171347</v>
      </c>
      <c r="L63" s="36"/>
      <c r="M63" s="10">
        <f t="shared" si="10"/>
        <v>21703.301899171347</v>
      </c>
    </row>
    <row r="64" spans="1:13" s="1" customFormat="1" ht="10" x14ac:dyDescent="0.2">
      <c r="A64" s="9" t="s">
        <v>262</v>
      </c>
      <c r="B64" s="10">
        <v>0</v>
      </c>
      <c r="C64" s="10">
        <v>0</v>
      </c>
      <c r="D64" s="10">
        <v>8650.2284050155122</v>
      </c>
      <c r="E64" s="10">
        <v>0</v>
      </c>
      <c r="F64" s="10">
        <v>2102.3709210307829</v>
      </c>
      <c r="G64" s="10">
        <v>230.14859530443616</v>
      </c>
      <c r="H64" s="10">
        <v>0</v>
      </c>
      <c r="I64" s="10">
        <v>36481.672318168567</v>
      </c>
      <c r="J64" s="36"/>
      <c r="K64" s="10">
        <f t="shared" si="9"/>
        <v>47464.420239519299</v>
      </c>
      <c r="L64" s="36"/>
      <c r="M64" s="10">
        <f t="shared" si="10"/>
        <v>47464.420239519299</v>
      </c>
    </row>
    <row r="65" spans="1:13" s="1" customFormat="1" ht="10" x14ac:dyDescent="0.2">
      <c r="A65" s="9" t="s">
        <v>263</v>
      </c>
      <c r="B65" s="10">
        <v>0</v>
      </c>
      <c r="C65" s="10">
        <v>0</v>
      </c>
      <c r="D65" s="10">
        <v>3439.8100364817192</v>
      </c>
      <c r="E65" s="10">
        <v>0</v>
      </c>
      <c r="F65" s="10">
        <v>831.05641308793247</v>
      </c>
      <c r="G65" s="10">
        <v>4272.7533412534913</v>
      </c>
      <c r="H65" s="10">
        <v>0</v>
      </c>
      <c r="I65" s="10">
        <v>29644.666473314694</v>
      </c>
      <c r="J65" s="36"/>
      <c r="K65" s="10">
        <f t="shared" si="9"/>
        <v>38188.286264137838</v>
      </c>
      <c r="L65" s="36"/>
      <c r="M65" s="10">
        <f t="shared" si="10"/>
        <v>38188.286264137838</v>
      </c>
    </row>
    <row r="66" spans="1:13" s="1" customFormat="1" ht="10" x14ac:dyDescent="0.2">
      <c r="A66" s="9" t="s">
        <v>264</v>
      </c>
      <c r="B66" s="10">
        <v>0</v>
      </c>
      <c r="C66" s="10">
        <v>0</v>
      </c>
      <c r="D66" s="10">
        <v>-3736.2126506089371</v>
      </c>
      <c r="E66" s="10">
        <v>0</v>
      </c>
      <c r="F66" s="10">
        <v>2052.2456872125827</v>
      </c>
      <c r="G66" s="10">
        <v>0</v>
      </c>
      <c r="H66" s="10">
        <v>0</v>
      </c>
      <c r="I66" s="10">
        <v>-38248.127857391279</v>
      </c>
      <c r="J66" s="36"/>
      <c r="K66" s="10">
        <f t="shared" si="9"/>
        <v>-39932.094820787635</v>
      </c>
      <c r="L66" s="36"/>
      <c r="M66" s="10">
        <f t="shared" si="10"/>
        <v>-39932.094820787635</v>
      </c>
    </row>
    <row r="67" spans="1:13" s="1" customFormat="1" ht="10" x14ac:dyDescent="0.2">
      <c r="A67" s="9" t="s">
        <v>442</v>
      </c>
      <c r="B67" s="10">
        <v>0</v>
      </c>
      <c r="C67" s="10">
        <v>0</v>
      </c>
      <c r="D67" s="10">
        <v>24.538659146390458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36"/>
      <c r="K67" s="10">
        <f t="shared" si="9"/>
        <v>24.538659146390458</v>
      </c>
      <c r="L67" s="36"/>
      <c r="M67" s="10">
        <f t="shared" si="10"/>
        <v>24.538659146390458</v>
      </c>
    </row>
    <row r="68" spans="1:13" s="1" customFormat="1" ht="10" x14ac:dyDescent="0.2">
      <c r="A68" s="9" t="s">
        <v>443</v>
      </c>
      <c r="B68" s="10">
        <v>0</v>
      </c>
      <c r="C68" s="10">
        <v>0</v>
      </c>
      <c r="D68" s="10">
        <v>0</v>
      </c>
      <c r="E68" s="10">
        <v>0</v>
      </c>
      <c r="F68" s="10">
        <v>157.26119906124055</v>
      </c>
      <c r="G68" s="10">
        <v>0</v>
      </c>
      <c r="H68" s="10">
        <v>0</v>
      </c>
      <c r="I68" s="10">
        <v>5034.6081758238661</v>
      </c>
      <c r="J68" s="36"/>
      <c r="K68" s="10">
        <f t="shared" si="9"/>
        <v>5191.8693748851065</v>
      </c>
      <c r="L68" s="36"/>
      <c r="M68" s="10">
        <f t="shared" si="10"/>
        <v>5191.8693748851065</v>
      </c>
    </row>
    <row r="69" spans="1:13" s="1" customFormat="1" ht="10" x14ac:dyDescent="0.2">
      <c r="A69" s="9" t="s">
        <v>265</v>
      </c>
      <c r="B69" s="10">
        <v>0</v>
      </c>
      <c r="C69" s="10">
        <v>0</v>
      </c>
      <c r="D69" s="10">
        <v>11808.534941339365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36"/>
      <c r="K69" s="10">
        <f t="shared" si="9"/>
        <v>11808.534941339365</v>
      </c>
      <c r="L69" s="36"/>
      <c r="M69" s="10">
        <f t="shared" si="10"/>
        <v>11808.534941339365</v>
      </c>
    </row>
    <row r="70" spans="1:13" s="1" customFormat="1" ht="10" x14ac:dyDescent="0.2">
      <c r="A70" s="9" t="s">
        <v>266</v>
      </c>
      <c r="B70" s="10">
        <v>0</v>
      </c>
      <c r="C70" s="10">
        <v>0</v>
      </c>
      <c r="D70" s="10">
        <v>5301.1149446856207</v>
      </c>
      <c r="E70" s="10">
        <v>0</v>
      </c>
      <c r="F70" s="10">
        <v>0</v>
      </c>
      <c r="G70" s="10">
        <v>392.7129818149881</v>
      </c>
      <c r="H70" s="10">
        <v>0</v>
      </c>
      <c r="I70" s="10">
        <v>5421.9653869589038</v>
      </c>
      <c r="J70" s="36"/>
      <c r="K70" s="10">
        <f t="shared" si="9"/>
        <v>11115.793313459511</v>
      </c>
      <c r="L70" s="36"/>
      <c r="M70" s="10">
        <f t="shared" si="10"/>
        <v>11115.793313459511</v>
      </c>
    </row>
    <row r="71" spans="1:13" s="1" customFormat="1" ht="10" x14ac:dyDescent="0.2">
      <c r="A71" s="9" t="s">
        <v>267</v>
      </c>
      <c r="B71" s="10">
        <v>0</v>
      </c>
      <c r="C71" s="10">
        <v>0</v>
      </c>
      <c r="D71" s="10">
        <v>4120.0835755296894</v>
      </c>
      <c r="E71" s="10">
        <v>0</v>
      </c>
      <c r="F71" s="10">
        <v>352.11365754298077</v>
      </c>
      <c r="G71" s="10">
        <v>2418.8973011846729</v>
      </c>
      <c r="H71" s="10">
        <v>0</v>
      </c>
      <c r="I71" s="10">
        <v>6591.190026573161</v>
      </c>
      <c r="J71" s="36"/>
      <c r="K71" s="10">
        <f t="shared" si="9"/>
        <v>13482.284560830503</v>
      </c>
      <c r="L71" s="36"/>
      <c r="M71" s="10">
        <f t="shared" si="10"/>
        <v>13482.284560830503</v>
      </c>
    </row>
    <row r="72" spans="1:13" s="1" customFormat="1" ht="10.5" x14ac:dyDescent="0.25">
      <c r="A72" s="11" t="s">
        <v>268</v>
      </c>
      <c r="B72" s="12">
        <f t="shared" ref="B72:M72" si="15">SUM(B63:B71)</f>
        <v>0</v>
      </c>
      <c r="C72" s="12">
        <f t="shared" si="15"/>
        <v>0</v>
      </c>
      <c r="D72" s="12">
        <f t="shared" si="15"/>
        <v>32766.709166079814</v>
      </c>
      <c r="E72" s="12">
        <f t="shared" si="15"/>
        <v>0</v>
      </c>
      <c r="F72" s="12">
        <f t="shared" si="15"/>
        <v>6953.4357100425641</v>
      </c>
      <c r="G72" s="12">
        <f t="shared" si="15"/>
        <v>11752.508453807703</v>
      </c>
      <c r="H72" s="12">
        <f t="shared" si="15"/>
        <v>0</v>
      </c>
      <c r="I72" s="12">
        <f t="shared" si="15"/>
        <v>57574.28110177163</v>
      </c>
      <c r="J72" s="37">
        <f t="shared" si="15"/>
        <v>0</v>
      </c>
      <c r="K72" s="12">
        <f t="shared" si="9"/>
        <v>109046.93443170171</v>
      </c>
      <c r="L72" s="37">
        <f t="shared" si="15"/>
        <v>0</v>
      </c>
      <c r="M72" s="12">
        <f t="shared" si="10"/>
        <v>109046.93443170171</v>
      </c>
    </row>
    <row r="73" spans="1:13" s="1" customFormat="1" ht="10.5" x14ac:dyDescent="0.25">
      <c r="A73" s="8" t="s">
        <v>269</v>
      </c>
      <c r="B73" s="5"/>
      <c r="C73" s="5"/>
      <c r="D73" s="5"/>
      <c r="E73" s="5"/>
      <c r="F73" s="5"/>
      <c r="G73" s="5"/>
      <c r="H73" s="5"/>
      <c r="I73" s="5"/>
      <c r="J73" s="35"/>
      <c r="K73" s="5">
        <f t="shared" si="9"/>
        <v>0</v>
      </c>
      <c r="L73" s="35"/>
      <c r="M73" s="5">
        <f t="shared" si="10"/>
        <v>0</v>
      </c>
    </row>
    <row r="74" spans="1:13" s="1" customFormat="1" ht="10" x14ac:dyDescent="0.2">
      <c r="A74" s="9" t="s">
        <v>415</v>
      </c>
      <c r="B74" s="10">
        <v>201628</v>
      </c>
      <c r="C74" s="10">
        <v>0</v>
      </c>
      <c r="D74" s="10">
        <v>49948.76860168056</v>
      </c>
      <c r="E74" s="10">
        <v>0</v>
      </c>
      <c r="F74" s="10">
        <v>13396.017472408865</v>
      </c>
      <c r="G74" s="10">
        <v>888.70379234610402</v>
      </c>
      <c r="H74" s="10">
        <v>0</v>
      </c>
      <c r="I74" s="10">
        <v>5683.7052358790761</v>
      </c>
      <c r="J74" s="36"/>
      <c r="K74" s="10">
        <f t="shared" si="9"/>
        <v>69917.19510231461</v>
      </c>
      <c r="L74" s="36"/>
      <c r="M74" s="10">
        <f t="shared" si="10"/>
        <v>271545.19510231458</v>
      </c>
    </row>
    <row r="75" spans="1:13" s="1" customFormat="1" ht="10" x14ac:dyDescent="0.2">
      <c r="A75" s="9" t="s">
        <v>270</v>
      </c>
      <c r="B75" s="10">
        <v>0</v>
      </c>
      <c r="C75" s="10">
        <v>0</v>
      </c>
      <c r="D75" s="10">
        <v>65480.509738285255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36"/>
      <c r="K75" s="10">
        <f t="shared" si="9"/>
        <v>65480.509738285255</v>
      </c>
      <c r="L75" s="36"/>
      <c r="M75" s="10">
        <f t="shared" si="10"/>
        <v>65480.509738285255</v>
      </c>
    </row>
    <row r="76" spans="1:13" s="1" customFormat="1" ht="10" x14ac:dyDescent="0.2">
      <c r="A76" s="9" t="s">
        <v>271</v>
      </c>
      <c r="B76" s="10">
        <v>209525</v>
      </c>
      <c r="C76" s="10">
        <v>0</v>
      </c>
      <c r="D76" s="10">
        <v>345295.77338330587</v>
      </c>
      <c r="E76" s="10">
        <v>0</v>
      </c>
      <c r="F76" s="10">
        <v>21109.568860684252</v>
      </c>
      <c r="G76" s="10">
        <v>0</v>
      </c>
      <c r="H76" s="10">
        <v>0</v>
      </c>
      <c r="I76" s="10">
        <v>-7965.0071207342962</v>
      </c>
      <c r="J76" s="36"/>
      <c r="K76" s="10">
        <f t="shared" si="9"/>
        <v>358440.33512325579</v>
      </c>
      <c r="L76" s="36"/>
      <c r="M76" s="10">
        <f t="shared" si="10"/>
        <v>567965.33512325585</v>
      </c>
    </row>
    <row r="77" spans="1:13" s="1" customFormat="1" ht="10" x14ac:dyDescent="0.2">
      <c r="A77" s="9" t="s">
        <v>272</v>
      </c>
      <c r="B77" s="10">
        <v>110700</v>
      </c>
      <c r="C77" s="10">
        <v>1567.70235</v>
      </c>
      <c r="D77" s="10">
        <v>59801.910735103898</v>
      </c>
      <c r="E77" s="10">
        <v>384.36475905163485</v>
      </c>
      <c r="F77" s="10">
        <v>17538.815901605954</v>
      </c>
      <c r="G77" s="10">
        <v>23093.627869424501</v>
      </c>
      <c r="H77" s="10">
        <v>0</v>
      </c>
      <c r="I77" s="10">
        <v>8202.1258767995641</v>
      </c>
      <c r="J77" s="36"/>
      <c r="K77" s="10">
        <f t="shared" ref="K77:K108" si="16">SUM(D77:J77)</f>
        <v>109020.84514198554</v>
      </c>
      <c r="L77" s="36"/>
      <c r="M77" s="10">
        <f t="shared" ref="M77:M108" si="17">SUM(B77,K77,L77)+C77</f>
        <v>221288.54749198555</v>
      </c>
    </row>
    <row r="78" spans="1:13" s="1" customFormat="1" ht="10" x14ac:dyDescent="0.2">
      <c r="A78" s="9" t="s">
        <v>444</v>
      </c>
      <c r="B78" s="10">
        <v>0</v>
      </c>
      <c r="C78" s="10">
        <v>0</v>
      </c>
      <c r="D78" s="10">
        <v>5882.0541661671559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36"/>
      <c r="K78" s="10">
        <f t="shared" si="16"/>
        <v>5882.0541661671559</v>
      </c>
      <c r="L78" s="36"/>
      <c r="M78" s="10">
        <f t="shared" si="17"/>
        <v>5882.0541661671559</v>
      </c>
    </row>
    <row r="79" spans="1:13" s="1" customFormat="1" ht="10.5" x14ac:dyDescent="0.25">
      <c r="A79" s="11" t="s">
        <v>273</v>
      </c>
      <c r="B79" s="12">
        <f t="shared" ref="B79:M79" si="18">SUM(B74:B78)</f>
        <v>521853</v>
      </c>
      <c r="C79" s="12">
        <f t="shared" si="18"/>
        <v>1567.70235</v>
      </c>
      <c r="D79" s="12">
        <f t="shared" si="18"/>
        <v>526409.01662454277</v>
      </c>
      <c r="E79" s="12">
        <f t="shared" si="18"/>
        <v>384.36475905163485</v>
      </c>
      <c r="F79" s="12">
        <f t="shared" si="18"/>
        <v>52044.402234699068</v>
      </c>
      <c r="G79" s="12">
        <f t="shared" si="18"/>
        <v>23982.331661770604</v>
      </c>
      <c r="H79" s="12">
        <f t="shared" si="18"/>
        <v>0</v>
      </c>
      <c r="I79" s="12">
        <f t="shared" si="18"/>
        <v>5920.823991944344</v>
      </c>
      <c r="J79" s="37">
        <f t="shared" si="18"/>
        <v>0</v>
      </c>
      <c r="K79" s="12">
        <f t="shared" si="16"/>
        <v>608740.93927200837</v>
      </c>
      <c r="L79" s="37">
        <f t="shared" si="18"/>
        <v>0</v>
      </c>
      <c r="M79" s="12">
        <f t="shared" si="17"/>
        <v>1132161.6416220083</v>
      </c>
    </row>
    <row r="80" spans="1:13" s="1" customFormat="1" ht="10.5" x14ac:dyDescent="0.25">
      <c r="A80" s="8" t="s">
        <v>274</v>
      </c>
      <c r="B80" s="5"/>
      <c r="C80" s="5"/>
      <c r="D80" s="5"/>
      <c r="E80" s="5"/>
      <c r="F80" s="5"/>
      <c r="G80" s="5"/>
      <c r="H80" s="5"/>
      <c r="I80" s="5"/>
      <c r="J80" s="35"/>
      <c r="K80" s="5">
        <f t="shared" si="16"/>
        <v>0</v>
      </c>
      <c r="L80" s="35"/>
      <c r="M80" s="5">
        <f t="shared" si="17"/>
        <v>0</v>
      </c>
    </row>
    <row r="81" spans="1:13" s="1" customFormat="1" ht="10" x14ac:dyDescent="0.2">
      <c r="A81" s="9" t="s">
        <v>275</v>
      </c>
      <c r="B81" s="10">
        <v>0</v>
      </c>
      <c r="C81" s="10">
        <v>0</v>
      </c>
      <c r="D81" s="10">
        <v>-1742.4664064539966</v>
      </c>
      <c r="E81" s="10">
        <v>0</v>
      </c>
      <c r="F81" s="10">
        <v>0</v>
      </c>
      <c r="G81" s="10">
        <v>3015.7989282007838</v>
      </c>
      <c r="H81" s="10">
        <v>0</v>
      </c>
      <c r="I81" s="10">
        <v>22866.536433496854</v>
      </c>
      <c r="J81" s="36"/>
      <c r="K81" s="10">
        <f t="shared" si="16"/>
        <v>24139.868955243641</v>
      </c>
      <c r="L81" s="36"/>
      <c r="M81" s="10">
        <f t="shared" si="17"/>
        <v>24139.868955243641</v>
      </c>
    </row>
    <row r="82" spans="1:13" s="1" customFormat="1" ht="10" x14ac:dyDescent="0.2">
      <c r="A82" s="9" t="s">
        <v>445</v>
      </c>
      <c r="B82" s="10">
        <v>0</v>
      </c>
      <c r="C82" s="10">
        <v>0</v>
      </c>
      <c r="D82" s="10">
        <v>12540.991152577952</v>
      </c>
      <c r="E82" s="10">
        <v>0</v>
      </c>
      <c r="F82" s="10">
        <v>0</v>
      </c>
      <c r="G82" s="10">
        <v>3730.2161292845408</v>
      </c>
      <c r="H82" s="10">
        <v>0</v>
      </c>
      <c r="I82" s="10">
        <v>3884.2721603035588</v>
      </c>
      <c r="J82" s="36"/>
      <c r="K82" s="10">
        <f t="shared" si="16"/>
        <v>20155.479442166052</v>
      </c>
      <c r="L82" s="36"/>
      <c r="M82" s="10">
        <f t="shared" si="17"/>
        <v>20155.479442166052</v>
      </c>
    </row>
    <row r="83" spans="1:13" s="1" customFormat="1" ht="10" x14ac:dyDescent="0.2">
      <c r="A83" s="9" t="s">
        <v>276</v>
      </c>
      <c r="B83" s="10">
        <v>0</v>
      </c>
      <c r="C83" s="10">
        <v>0</v>
      </c>
      <c r="D83" s="10">
        <v>1500.1363853441339</v>
      </c>
      <c r="E83" s="10">
        <v>0</v>
      </c>
      <c r="F83" s="10">
        <v>829.22206451520594</v>
      </c>
      <c r="G83" s="10">
        <v>224.53303781793568</v>
      </c>
      <c r="H83" s="10">
        <v>0</v>
      </c>
      <c r="I83" s="10">
        <v>16675.401188333253</v>
      </c>
      <c r="J83" s="36"/>
      <c r="K83" s="10">
        <f t="shared" si="16"/>
        <v>19229.292676010529</v>
      </c>
      <c r="L83" s="36"/>
      <c r="M83" s="10">
        <f t="shared" si="17"/>
        <v>19229.292676010529</v>
      </c>
    </row>
    <row r="84" spans="1:13" s="1" customFormat="1" ht="10" x14ac:dyDescent="0.2">
      <c r="A84" s="9" t="s">
        <v>313</v>
      </c>
      <c r="B84" s="10">
        <v>6000</v>
      </c>
      <c r="C84" s="10">
        <v>0</v>
      </c>
      <c r="D84" s="10">
        <v>48826.191783731265</v>
      </c>
      <c r="E84" s="10">
        <v>0</v>
      </c>
      <c r="F84" s="10">
        <v>2343.5123304994131</v>
      </c>
      <c r="G84" s="10">
        <v>0</v>
      </c>
      <c r="H84" s="10">
        <v>0</v>
      </c>
      <c r="I84" s="10">
        <v>37464.99242498626</v>
      </c>
      <c r="J84" s="36"/>
      <c r="K84" s="10">
        <f t="shared" si="16"/>
        <v>88634.696539216937</v>
      </c>
      <c r="L84" s="36"/>
      <c r="M84" s="10">
        <f t="shared" si="17"/>
        <v>94634.696539216937</v>
      </c>
    </row>
    <row r="85" spans="1:13" s="1" customFormat="1" ht="10" x14ac:dyDescent="0.2">
      <c r="A85" s="9" t="s">
        <v>446</v>
      </c>
      <c r="B85" s="10">
        <v>0</v>
      </c>
      <c r="C85" s="10">
        <v>0</v>
      </c>
      <c r="D85" s="10">
        <v>0</v>
      </c>
      <c r="E85" s="10">
        <v>0</v>
      </c>
      <c r="F85" s="10">
        <v>0</v>
      </c>
      <c r="G85" s="10">
        <v>307.34012607511755</v>
      </c>
      <c r="H85" s="10">
        <v>0</v>
      </c>
      <c r="I85" s="10">
        <v>0</v>
      </c>
      <c r="J85" s="36"/>
      <c r="K85" s="10">
        <f t="shared" si="16"/>
        <v>307.34012607511755</v>
      </c>
      <c r="L85" s="36"/>
      <c r="M85" s="10">
        <f t="shared" si="17"/>
        <v>307.34012607511755</v>
      </c>
    </row>
    <row r="86" spans="1:13" s="1" customFormat="1" ht="10.5" x14ac:dyDescent="0.25">
      <c r="A86" s="11" t="s">
        <v>277</v>
      </c>
      <c r="B86" s="12">
        <f t="shared" ref="B86:M86" si="19">SUM(B81:B85)</f>
        <v>6000</v>
      </c>
      <c r="C86" s="12">
        <f t="shared" si="19"/>
        <v>0</v>
      </c>
      <c r="D86" s="12">
        <f t="shared" si="19"/>
        <v>61124.852915199357</v>
      </c>
      <c r="E86" s="12">
        <f t="shared" si="19"/>
        <v>0</v>
      </c>
      <c r="F86" s="12">
        <f t="shared" si="19"/>
        <v>3172.7343950146192</v>
      </c>
      <c r="G86" s="12">
        <f t="shared" si="19"/>
        <v>7277.8882213783791</v>
      </c>
      <c r="H86" s="12">
        <f t="shared" si="19"/>
        <v>0</v>
      </c>
      <c r="I86" s="12">
        <f t="shared" si="19"/>
        <v>80891.202207119932</v>
      </c>
      <c r="J86" s="37">
        <f t="shared" si="19"/>
        <v>0</v>
      </c>
      <c r="K86" s="12">
        <f t="shared" si="16"/>
        <v>152466.67773871229</v>
      </c>
      <c r="L86" s="37">
        <f t="shared" si="19"/>
        <v>0</v>
      </c>
      <c r="M86" s="12">
        <f t="shared" si="17"/>
        <v>158466.67773871229</v>
      </c>
    </row>
    <row r="87" spans="1:13" s="1" customFormat="1" ht="10.5" x14ac:dyDescent="0.25">
      <c r="A87" s="8" t="s">
        <v>278</v>
      </c>
      <c r="B87" s="5"/>
      <c r="C87" s="5"/>
      <c r="D87" s="5"/>
      <c r="E87" s="5"/>
      <c r="F87" s="5"/>
      <c r="G87" s="5"/>
      <c r="H87" s="5"/>
      <c r="I87" s="5"/>
      <c r="J87" s="35"/>
      <c r="K87" s="5">
        <f t="shared" si="16"/>
        <v>0</v>
      </c>
      <c r="L87" s="35"/>
      <c r="M87" s="5">
        <f t="shared" si="17"/>
        <v>0</v>
      </c>
    </row>
    <row r="88" spans="1:13" s="1" customFormat="1" ht="10" x14ac:dyDescent="0.2">
      <c r="A88" s="9" t="s">
        <v>279</v>
      </c>
      <c r="B88" s="10">
        <v>0</v>
      </c>
      <c r="C88" s="10">
        <v>0</v>
      </c>
      <c r="D88" s="10">
        <v>48575.069354727035</v>
      </c>
      <c r="E88" s="10">
        <v>0</v>
      </c>
      <c r="F88" s="10">
        <v>15.615782558721934</v>
      </c>
      <c r="G88" s="10">
        <v>0</v>
      </c>
      <c r="H88" s="10">
        <v>0</v>
      </c>
      <c r="I88" s="10">
        <v>3413.8482422252919</v>
      </c>
      <c r="J88" s="36"/>
      <c r="K88" s="10">
        <f t="shared" si="16"/>
        <v>52004.533379511049</v>
      </c>
      <c r="L88" s="36"/>
      <c r="M88" s="10">
        <f t="shared" si="17"/>
        <v>52004.533379511049</v>
      </c>
    </row>
    <row r="89" spans="1:13" s="1" customFormat="1" ht="10" x14ac:dyDescent="0.2">
      <c r="A89" s="9" t="s">
        <v>447</v>
      </c>
      <c r="B89" s="10">
        <v>0</v>
      </c>
      <c r="C89" s="10">
        <v>0</v>
      </c>
      <c r="D89" s="10">
        <v>23050.280330761991</v>
      </c>
      <c r="E89" s="10">
        <v>0</v>
      </c>
      <c r="F89" s="10">
        <v>0</v>
      </c>
      <c r="G89" s="10">
        <v>0</v>
      </c>
      <c r="H89" s="10">
        <v>0</v>
      </c>
      <c r="I89" s="10">
        <v>0</v>
      </c>
      <c r="J89" s="36"/>
      <c r="K89" s="10">
        <f t="shared" si="16"/>
        <v>23050.280330761991</v>
      </c>
      <c r="L89" s="36"/>
      <c r="M89" s="10">
        <f t="shared" si="17"/>
        <v>23050.280330761991</v>
      </c>
    </row>
    <row r="90" spans="1:13" s="1" customFormat="1" ht="10" x14ac:dyDescent="0.2">
      <c r="A90" s="9" t="s">
        <v>280</v>
      </c>
      <c r="B90" s="10">
        <v>108939.87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0</v>
      </c>
      <c r="I90" s="10">
        <v>0</v>
      </c>
      <c r="J90" s="36"/>
      <c r="K90" s="10">
        <f t="shared" si="16"/>
        <v>0</v>
      </c>
      <c r="L90" s="36"/>
      <c r="M90" s="10">
        <f t="shared" si="17"/>
        <v>108939.87</v>
      </c>
    </row>
    <row r="91" spans="1:13" s="1" customFormat="1" ht="10" x14ac:dyDescent="0.2">
      <c r="A91" s="9" t="s">
        <v>318</v>
      </c>
      <c r="B91" s="10">
        <v>0</v>
      </c>
      <c r="C91" s="10">
        <v>0</v>
      </c>
      <c r="D91" s="10">
        <v>7676.4573616155858</v>
      </c>
      <c r="E91" s="10">
        <v>0</v>
      </c>
      <c r="F91" s="10">
        <v>42916.90340565794</v>
      </c>
      <c r="G91" s="10">
        <v>512.59282016778934</v>
      </c>
      <c r="H91" s="10">
        <v>0</v>
      </c>
      <c r="I91" s="10">
        <v>3857.0582783568593</v>
      </c>
      <c r="J91" s="36"/>
      <c r="K91" s="10">
        <f t="shared" si="16"/>
        <v>54963.011865798173</v>
      </c>
      <c r="L91" s="36"/>
      <c r="M91" s="10">
        <f t="shared" si="17"/>
        <v>54963.011865798173</v>
      </c>
    </row>
    <row r="92" spans="1:13" s="1" customFormat="1" ht="10" x14ac:dyDescent="0.2">
      <c r="A92" s="9" t="s">
        <v>448</v>
      </c>
      <c r="B92" s="10">
        <v>0</v>
      </c>
      <c r="C92" s="10">
        <v>0</v>
      </c>
      <c r="D92" s="10">
        <v>0</v>
      </c>
      <c r="E92" s="10">
        <v>0</v>
      </c>
      <c r="F92" s="10">
        <v>0</v>
      </c>
      <c r="G92" s="10">
        <v>3136.3099648890652</v>
      </c>
      <c r="H92" s="10">
        <v>0</v>
      </c>
      <c r="I92" s="10">
        <v>0</v>
      </c>
      <c r="J92" s="36"/>
      <c r="K92" s="10">
        <f t="shared" si="16"/>
        <v>3136.3099648890652</v>
      </c>
      <c r="L92" s="36"/>
      <c r="M92" s="10">
        <f t="shared" si="17"/>
        <v>3136.3099648890652</v>
      </c>
    </row>
    <row r="93" spans="1:13" s="1" customFormat="1" ht="10" x14ac:dyDescent="0.2">
      <c r="A93" s="9" t="s">
        <v>449</v>
      </c>
      <c r="B93" s="10">
        <v>8250.84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36"/>
      <c r="K93" s="10">
        <f t="shared" si="16"/>
        <v>0</v>
      </c>
      <c r="L93" s="36"/>
      <c r="M93" s="10">
        <f t="shared" si="17"/>
        <v>8250.84</v>
      </c>
    </row>
    <row r="94" spans="1:13" s="1" customFormat="1" ht="10" x14ac:dyDescent="0.2">
      <c r="A94" s="9" t="s">
        <v>450</v>
      </c>
      <c r="B94" s="10">
        <v>0</v>
      </c>
      <c r="C94" s="10">
        <v>0</v>
      </c>
      <c r="D94" s="10">
        <v>0</v>
      </c>
      <c r="E94" s="10">
        <v>0</v>
      </c>
      <c r="F94" s="10">
        <v>0</v>
      </c>
      <c r="G94" s="10">
        <v>150.50313669013195</v>
      </c>
      <c r="H94" s="10">
        <v>0</v>
      </c>
      <c r="I94" s="10">
        <v>0</v>
      </c>
      <c r="J94" s="36"/>
      <c r="K94" s="10">
        <f t="shared" si="16"/>
        <v>150.50313669013195</v>
      </c>
      <c r="L94" s="36"/>
      <c r="M94" s="10">
        <f t="shared" si="17"/>
        <v>150.50313669013195</v>
      </c>
    </row>
    <row r="95" spans="1:13" s="1" customFormat="1" ht="10" x14ac:dyDescent="0.2">
      <c r="A95" s="9" t="s">
        <v>281</v>
      </c>
      <c r="B95" s="10">
        <v>0</v>
      </c>
      <c r="C95" s="10">
        <v>0</v>
      </c>
      <c r="D95" s="10">
        <v>113848.85230521431</v>
      </c>
      <c r="E95" s="10">
        <v>28.064739968551105</v>
      </c>
      <c r="F95" s="10">
        <v>1983.1395329216286</v>
      </c>
      <c r="G95" s="10">
        <v>0</v>
      </c>
      <c r="H95" s="10">
        <v>0</v>
      </c>
      <c r="I95" s="10">
        <v>25600.136137427904</v>
      </c>
      <c r="J95" s="36"/>
      <c r="K95" s="10">
        <f t="shared" si="16"/>
        <v>141460.19271553241</v>
      </c>
      <c r="L95" s="36"/>
      <c r="M95" s="10">
        <f t="shared" si="17"/>
        <v>141460.19271553241</v>
      </c>
    </row>
    <row r="96" spans="1:13" s="1" customFormat="1" ht="10" x14ac:dyDescent="0.2">
      <c r="A96" s="9" t="s">
        <v>451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895.27046388546512</v>
      </c>
      <c r="H96" s="10">
        <v>0</v>
      </c>
      <c r="I96" s="10">
        <v>0</v>
      </c>
      <c r="J96" s="36"/>
      <c r="K96" s="10">
        <f t="shared" si="16"/>
        <v>895.27046388546512</v>
      </c>
      <c r="L96" s="36"/>
      <c r="M96" s="10">
        <f t="shared" si="17"/>
        <v>895.27046388546512</v>
      </c>
    </row>
    <row r="97" spans="1:13" s="1" customFormat="1" ht="10" x14ac:dyDescent="0.2">
      <c r="A97" s="9" t="s">
        <v>452</v>
      </c>
      <c r="B97" s="10">
        <v>0</v>
      </c>
      <c r="C97" s="10">
        <v>0</v>
      </c>
      <c r="D97" s="10">
        <v>0</v>
      </c>
      <c r="E97" s="10">
        <v>0</v>
      </c>
      <c r="F97" s="10">
        <v>409.64908586833201</v>
      </c>
      <c r="G97" s="10">
        <v>0</v>
      </c>
      <c r="H97" s="10">
        <v>0</v>
      </c>
      <c r="I97" s="10">
        <v>0</v>
      </c>
      <c r="J97" s="36"/>
      <c r="K97" s="10">
        <f t="shared" si="16"/>
        <v>409.64908586833201</v>
      </c>
      <c r="L97" s="36"/>
      <c r="M97" s="10">
        <f t="shared" si="17"/>
        <v>409.64908586833201</v>
      </c>
    </row>
    <row r="98" spans="1:13" s="1" customFormat="1" ht="10" x14ac:dyDescent="0.2">
      <c r="A98" s="9" t="s">
        <v>453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0</v>
      </c>
      <c r="H98" s="10">
        <v>0</v>
      </c>
      <c r="I98" s="10">
        <v>-209899.96029634742</v>
      </c>
      <c r="J98" s="36"/>
      <c r="K98" s="10">
        <f t="shared" si="16"/>
        <v>-209899.96029634742</v>
      </c>
      <c r="L98" s="36"/>
      <c r="M98" s="10">
        <f t="shared" si="17"/>
        <v>-209899.96029634742</v>
      </c>
    </row>
    <row r="99" spans="1:13" s="1" customFormat="1" ht="10" x14ac:dyDescent="0.2">
      <c r="A99" s="9" t="s">
        <v>454</v>
      </c>
      <c r="B99" s="10">
        <v>0</v>
      </c>
      <c r="C99" s="10">
        <v>0</v>
      </c>
      <c r="D99" s="10">
        <v>-316.58395696231429</v>
      </c>
      <c r="E99" s="10">
        <v>0</v>
      </c>
      <c r="F99" s="10">
        <v>-3048.9040064395817</v>
      </c>
      <c r="G99" s="10">
        <v>0</v>
      </c>
      <c r="H99" s="10">
        <v>0</v>
      </c>
      <c r="I99" s="10">
        <v>0</v>
      </c>
      <c r="J99" s="36"/>
      <c r="K99" s="10">
        <f t="shared" si="16"/>
        <v>-3365.4879634018962</v>
      </c>
      <c r="L99" s="36"/>
      <c r="M99" s="10">
        <f t="shared" si="17"/>
        <v>-3365.4879634018962</v>
      </c>
    </row>
    <row r="100" spans="1:13" s="1" customFormat="1" ht="10.5" x14ac:dyDescent="0.25">
      <c r="A100" s="11" t="s">
        <v>282</v>
      </c>
      <c r="B100" s="12">
        <f t="shared" ref="B100:M100" si="20">SUM(B88:B99)</f>
        <v>117190.70999999999</v>
      </c>
      <c r="C100" s="12">
        <f t="shared" si="20"/>
        <v>0</v>
      </c>
      <c r="D100" s="12">
        <f t="shared" si="20"/>
        <v>192834.0753953566</v>
      </c>
      <c r="E100" s="12">
        <f t="shared" si="20"/>
        <v>28.064739968551105</v>
      </c>
      <c r="F100" s="12">
        <f t="shared" si="20"/>
        <v>42276.403800567045</v>
      </c>
      <c r="G100" s="12">
        <f t="shared" si="20"/>
        <v>4694.6763856324515</v>
      </c>
      <c r="H100" s="12">
        <f t="shared" si="20"/>
        <v>0</v>
      </c>
      <c r="I100" s="12">
        <f t="shared" si="20"/>
        <v>-177028.91763833736</v>
      </c>
      <c r="J100" s="37">
        <f t="shared" si="20"/>
        <v>0</v>
      </c>
      <c r="K100" s="12">
        <f t="shared" si="16"/>
        <v>62804.30268318727</v>
      </c>
      <c r="L100" s="37">
        <f t="shared" si="20"/>
        <v>0</v>
      </c>
      <c r="M100" s="12">
        <f t="shared" si="17"/>
        <v>179995.01268318726</v>
      </c>
    </row>
    <row r="101" spans="1:13" s="1" customFormat="1" ht="10.5" x14ac:dyDescent="0.25">
      <c r="A101" s="8" t="s">
        <v>455</v>
      </c>
      <c r="B101" s="5"/>
      <c r="C101" s="5"/>
      <c r="D101" s="5"/>
      <c r="E101" s="5"/>
      <c r="F101" s="5"/>
      <c r="G101" s="5"/>
      <c r="H101" s="5"/>
      <c r="I101" s="5"/>
      <c r="J101" s="35"/>
      <c r="K101" s="5">
        <f t="shared" si="16"/>
        <v>0</v>
      </c>
      <c r="L101" s="35"/>
      <c r="M101" s="5">
        <f t="shared" si="17"/>
        <v>0</v>
      </c>
    </row>
    <row r="102" spans="1:13" s="1" customFormat="1" ht="10" x14ac:dyDescent="0.2">
      <c r="A102" s="9" t="s">
        <v>456</v>
      </c>
      <c r="B102" s="10">
        <v>0</v>
      </c>
      <c r="C102" s="10">
        <v>0</v>
      </c>
      <c r="D102" s="10">
        <v>0</v>
      </c>
      <c r="E102" s="10">
        <v>0</v>
      </c>
      <c r="F102" s="10">
        <v>0</v>
      </c>
      <c r="G102" s="10">
        <v>1265.1641838551714</v>
      </c>
      <c r="H102" s="10">
        <v>0</v>
      </c>
      <c r="I102" s="10">
        <v>0</v>
      </c>
      <c r="J102" s="36"/>
      <c r="K102" s="10">
        <f t="shared" si="16"/>
        <v>1265.1641838551714</v>
      </c>
      <c r="L102" s="36"/>
      <c r="M102" s="10">
        <f t="shared" si="17"/>
        <v>1265.1641838551714</v>
      </c>
    </row>
    <row r="103" spans="1:13" s="1" customFormat="1" ht="10.5" x14ac:dyDescent="0.25">
      <c r="A103" s="11" t="s">
        <v>457</v>
      </c>
      <c r="B103" s="12">
        <f t="shared" ref="B103:M103" si="21">SUM(B102)</f>
        <v>0</v>
      </c>
      <c r="C103" s="12">
        <f t="shared" si="21"/>
        <v>0</v>
      </c>
      <c r="D103" s="12">
        <f t="shared" si="21"/>
        <v>0</v>
      </c>
      <c r="E103" s="12">
        <f t="shared" si="21"/>
        <v>0</v>
      </c>
      <c r="F103" s="12">
        <f t="shared" si="21"/>
        <v>0</v>
      </c>
      <c r="G103" s="12">
        <f t="shared" si="21"/>
        <v>1265.1641838551714</v>
      </c>
      <c r="H103" s="12">
        <f t="shared" si="21"/>
        <v>0</v>
      </c>
      <c r="I103" s="12">
        <f t="shared" si="21"/>
        <v>0</v>
      </c>
      <c r="J103" s="37">
        <f t="shared" si="21"/>
        <v>0</v>
      </c>
      <c r="K103" s="12">
        <f t="shared" si="16"/>
        <v>1265.1641838551714</v>
      </c>
      <c r="L103" s="37">
        <f t="shared" si="21"/>
        <v>0</v>
      </c>
      <c r="M103" s="12">
        <f t="shared" si="17"/>
        <v>1265.1641838551714</v>
      </c>
    </row>
    <row r="104" spans="1:13" s="1" customFormat="1" ht="10.5" x14ac:dyDescent="0.25">
      <c r="A104" s="8" t="s">
        <v>458</v>
      </c>
      <c r="B104" s="5"/>
      <c r="C104" s="5"/>
      <c r="D104" s="5"/>
      <c r="E104" s="5"/>
      <c r="F104" s="5"/>
      <c r="G104" s="5"/>
      <c r="H104" s="5"/>
      <c r="I104" s="5"/>
      <c r="J104" s="35"/>
      <c r="K104" s="5">
        <f t="shared" si="16"/>
        <v>0</v>
      </c>
      <c r="L104" s="35"/>
      <c r="M104" s="5">
        <f t="shared" si="17"/>
        <v>0</v>
      </c>
    </row>
    <row r="105" spans="1:13" s="1" customFormat="1" ht="10" x14ac:dyDescent="0.2">
      <c r="A105" s="9" t="s">
        <v>459</v>
      </c>
      <c r="B105" s="10">
        <v>0</v>
      </c>
      <c r="C105" s="10">
        <v>0</v>
      </c>
      <c r="D105" s="10">
        <v>717.50465340322978</v>
      </c>
      <c r="E105" s="10">
        <v>0</v>
      </c>
      <c r="F105" s="10">
        <v>776.26196811565717</v>
      </c>
      <c r="G105" s="10">
        <v>0</v>
      </c>
      <c r="H105" s="10">
        <v>0</v>
      </c>
      <c r="I105" s="10">
        <v>0</v>
      </c>
      <c r="J105" s="36"/>
      <c r="K105" s="10">
        <f t="shared" si="16"/>
        <v>1493.766621518887</v>
      </c>
      <c r="L105" s="36"/>
      <c r="M105" s="10">
        <f t="shared" si="17"/>
        <v>1493.766621518887</v>
      </c>
    </row>
    <row r="106" spans="1:13" s="1" customFormat="1" ht="10" x14ac:dyDescent="0.2">
      <c r="A106" s="9" t="s">
        <v>460</v>
      </c>
      <c r="B106" s="10">
        <v>0</v>
      </c>
      <c r="C106" s="10">
        <v>0</v>
      </c>
      <c r="D106" s="10">
        <v>10197.019056020659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36"/>
      <c r="K106" s="10">
        <f t="shared" si="16"/>
        <v>10197.019056020659</v>
      </c>
      <c r="L106" s="36"/>
      <c r="M106" s="10">
        <f t="shared" si="17"/>
        <v>10197.019056020659</v>
      </c>
    </row>
    <row r="107" spans="1:13" s="1" customFormat="1" ht="10.5" x14ac:dyDescent="0.25">
      <c r="A107" s="11" t="s">
        <v>461</v>
      </c>
      <c r="B107" s="12">
        <f t="shared" ref="B107:M107" si="22">SUM(B105:B106)</f>
        <v>0</v>
      </c>
      <c r="C107" s="12">
        <f t="shared" si="22"/>
        <v>0</v>
      </c>
      <c r="D107" s="12">
        <f t="shared" si="22"/>
        <v>10914.523709423889</v>
      </c>
      <c r="E107" s="12">
        <f t="shared" si="22"/>
        <v>0</v>
      </c>
      <c r="F107" s="12">
        <f t="shared" si="22"/>
        <v>776.26196811565717</v>
      </c>
      <c r="G107" s="12">
        <f t="shared" si="22"/>
        <v>0</v>
      </c>
      <c r="H107" s="12">
        <f t="shared" si="22"/>
        <v>0</v>
      </c>
      <c r="I107" s="12">
        <f t="shared" si="22"/>
        <v>0</v>
      </c>
      <c r="J107" s="37">
        <f t="shared" si="22"/>
        <v>0</v>
      </c>
      <c r="K107" s="12">
        <f t="shared" si="16"/>
        <v>11690.785677539547</v>
      </c>
      <c r="L107" s="37">
        <f t="shared" si="22"/>
        <v>0</v>
      </c>
      <c r="M107" s="12">
        <f t="shared" si="17"/>
        <v>11690.785677539547</v>
      </c>
    </row>
    <row r="108" spans="1:13" s="1" customFormat="1" ht="10.5" x14ac:dyDescent="0.25">
      <c r="A108" s="8" t="s">
        <v>283</v>
      </c>
      <c r="B108" s="5"/>
      <c r="C108" s="5"/>
      <c r="D108" s="5"/>
      <c r="E108" s="5"/>
      <c r="F108" s="5"/>
      <c r="G108" s="5"/>
      <c r="H108" s="5"/>
      <c r="I108" s="5"/>
      <c r="J108" s="35"/>
      <c r="K108" s="5">
        <f t="shared" si="16"/>
        <v>0</v>
      </c>
      <c r="L108" s="35"/>
      <c r="M108" s="5">
        <f t="shared" si="17"/>
        <v>0</v>
      </c>
    </row>
    <row r="109" spans="1:13" s="1" customFormat="1" ht="10" x14ac:dyDescent="0.2">
      <c r="A109" s="9" t="s">
        <v>462</v>
      </c>
      <c r="B109" s="10">
        <v>0</v>
      </c>
      <c r="C109" s="10">
        <v>0</v>
      </c>
      <c r="D109" s="10">
        <v>1395.2952893509225</v>
      </c>
      <c r="E109" s="10">
        <v>0</v>
      </c>
      <c r="F109" s="10">
        <v>0</v>
      </c>
      <c r="G109" s="10">
        <v>601.73025359208214</v>
      </c>
      <c r="H109" s="10">
        <v>0</v>
      </c>
      <c r="I109" s="10">
        <v>0</v>
      </c>
      <c r="J109" s="36"/>
      <c r="K109" s="10">
        <f t="shared" ref="K109:K140" si="23">SUM(D109:J109)</f>
        <v>1997.0255429430047</v>
      </c>
      <c r="L109" s="36"/>
      <c r="M109" s="10">
        <f t="shared" ref="M109:M140" si="24">SUM(B109,K109,L109)+C109</f>
        <v>1997.0255429430047</v>
      </c>
    </row>
    <row r="110" spans="1:13" s="1" customFormat="1" ht="10" x14ac:dyDescent="0.2">
      <c r="A110" s="9" t="s">
        <v>463</v>
      </c>
      <c r="B110" s="10">
        <v>0</v>
      </c>
      <c r="C110" s="10">
        <v>0</v>
      </c>
      <c r="D110" s="10">
        <v>1807.2386231341518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36"/>
      <c r="K110" s="10">
        <f t="shared" si="23"/>
        <v>1807.2386231341518</v>
      </c>
      <c r="L110" s="36"/>
      <c r="M110" s="10">
        <f t="shared" si="24"/>
        <v>1807.2386231341518</v>
      </c>
    </row>
    <row r="111" spans="1:13" s="1" customFormat="1" ht="10" x14ac:dyDescent="0.2">
      <c r="A111" s="9" t="s">
        <v>284</v>
      </c>
      <c r="B111" s="10">
        <v>0</v>
      </c>
      <c r="C111" s="10">
        <v>0</v>
      </c>
      <c r="D111" s="10">
        <v>196574.29398136391</v>
      </c>
      <c r="E111" s="10">
        <v>8614.286298802841</v>
      </c>
      <c r="F111" s="10">
        <v>13467.438142619694</v>
      </c>
      <c r="G111" s="10">
        <v>74.960564995210504</v>
      </c>
      <c r="H111" s="10">
        <v>0</v>
      </c>
      <c r="I111" s="10">
        <v>729.44108974543974</v>
      </c>
      <c r="J111" s="36"/>
      <c r="K111" s="10">
        <f t="shared" si="23"/>
        <v>219460.42007752712</v>
      </c>
      <c r="L111" s="36"/>
      <c r="M111" s="10">
        <f t="shared" si="24"/>
        <v>219460.42007752712</v>
      </c>
    </row>
    <row r="112" spans="1:13" s="1" customFormat="1" ht="10" x14ac:dyDescent="0.2">
      <c r="A112" s="9" t="s">
        <v>464</v>
      </c>
      <c r="B112" s="10">
        <v>0</v>
      </c>
      <c r="C112" s="10">
        <v>0</v>
      </c>
      <c r="D112" s="10">
        <v>1299.8104569715181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36"/>
      <c r="K112" s="10">
        <f t="shared" si="23"/>
        <v>1299.8104569715181</v>
      </c>
      <c r="L112" s="36"/>
      <c r="M112" s="10">
        <f t="shared" si="24"/>
        <v>1299.8104569715181</v>
      </c>
    </row>
    <row r="113" spans="1:13" s="1" customFormat="1" ht="10" x14ac:dyDescent="0.2">
      <c r="A113" s="9" t="s">
        <v>400</v>
      </c>
      <c r="B113" s="10">
        <v>0</v>
      </c>
      <c r="C113" s="10">
        <v>0</v>
      </c>
      <c r="D113" s="10">
        <v>5765.7339762754482</v>
      </c>
      <c r="E113" s="10">
        <v>0</v>
      </c>
      <c r="F113" s="10">
        <v>1131.230470467674</v>
      </c>
      <c r="G113" s="10">
        <v>0</v>
      </c>
      <c r="H113" s="10">
        <v>0</v>
      </c>
      <c r="I113" s="10">
        <v>0</v>
      </c>
      <c r="J113" s="36"/>
      <c r="K113" s="10">
        <f t="shared" si="23"/>
        <v>6896.9644467431226</v>
      </c>
      <c r="L113" s="36"/>
      <c r="M113" s="10">
        <f t="shared" si="24"/>
        <v>6896.9644467431226</v>
      </c>
    </row>
    <row r="114" spans="1:13" s="1" customFormat="1" ht="10" x14ac:dyDescent="0.2">
      <c r="A114" s="9" t="s">
        <v>465</v>
      </c>
      <c r="B114" s="10">
        <v>0</v>
      </c>
      <c r="C114" s="10">
        <v>0</v>
      </c>
      <c r="D114" s="10">
        <v>5265.3188669886276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36"/>
      <c r="K114" s="10">
        <f t="shared" si="23"/>
        <v>5265.3188669886276</v>
      </c>
      <c r="L114" s="36"/>
      <c r="M114" s="10">
        <f t="shared" si="24"/>
        <v>5265.3188669886276</v>
      </c>
    </row>
    <row r="115" spans="1:13" s="1" customFormat="1" ht="10" x14ac:dyDescent="0.2">
      <c r="A115" s="9" t="s">
        <v>401</v>
      </c>
      <c r="B115" s="10">
        <v>1050</v>
      </c>
      <c r="C115" s="10">
        <v>0</v>
      </c>
      <c r="D115" s="10">
        <v>1174.1188030675601</v>
      </c>
      <c r="E115" s="10">
        <v>0</v>
      </c>
      <c r="F115" s="10">
        <v>0</v>
      </c>
      <c r="G115" s="10">
        <v>0</v>
      </c>
      <c r="H115" s="10">
        <v>0</v>
      </c>
      <c r="I115" s="10">
        <v>800.18084032933518</v>
      </c>
      <c r="J115" s="36"/>
      <c r="K115" s="10">
        <f t="shared" si="23"/>
        <v>1974.2996433968951</v>
      </c>
      <c r="L115" s="36"/>
      <c r="M115" s="10">
        <f t="shared" si="24"/>
        <v>3024.2996433968951</v>
      </c>
    </row>
    <row r="116" spans="1:13" s="1" customFormat="1" ht="10" x14ac:dyDescent="0.2">
      <c r="A116" s="9" t="s">
        <v>466</v>
      </c>
      <c r="B116" s="10">
        <v>0</v>
      </c>
      <c r="C116" s="10">
        <v>0</v>
      </c>
      <c r="D116" s="10">
        <v>674.20993539185156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36"/>
      <c r="K116" s="10">
        <f t="shared" si="23"/>
        <v>674.20993539185156</v>
      </c>
      <c r="L116" s="36"/>
      <c r="M116" s="10">
        <f t="shared" si="24"/>
        <v>674.20993539185156</v>
      </c>
    </row>
    <row r="117" spans="1:13" s="1" customFormat="1" ht="10" x14ac:dyDescent="0.2">
      <c r="A117" s="9" t="s">
        <v>467</v>
      </c>
      <c r="B117" s="10">
        <v>0</v>
      </c>
      <c r="C117" s="10">
        <v>0</v>
      </c>
      <c r="D117" s="10">
        <v>9.1267447052198722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36"/>
      <c r="K117" s="10">
        <f t="shared" si="23"/>
        <v>9.1267447052198722</v>
      </c>
      <c r="L117" s="36"/>
      <c r="M117" s="10">
        <f t="shared" si="24"/>
        <v>9.1267447052198722</v>
      </c>
    </row>
    <row r="118" spans="1:13" s="1" customFormat="1" ht="10" x14ac:dyDescent="0.2">
      <c r="A118" s="9" t="s">
        <v>402</v>
      </c>
      <c r="B118" s="10">
        <v>0</v>
      </c>
      <c r="C118" s="10">
        <v>0</v>
      </c>
      <c r="D118" s="10">
        <v>56883.488171537967</v>
      </c>
      <c r="E118" s="10">
        <v>0</v>
      </c>
      <c r="F118" s="10">
        <v>131.82288951147197</v>
      </c>
      <c r="G118" s="10">
        <v>0</v>
      </c>
      <c r="H118" s="10">
        <v>0</v>
      </c>
      <c r="I118" s="10">
        <v>0</v>
      </c>
      <c r="J118" s="36"/>
      <c r="K118" s="10">
        <f t="shared" si="23"/>
        <v>57015.31106104944</v>
      </c>
      <c r="L118" s="36"/>
      <c r="M118" s="10">
        <f t="shared" si="24"/>
        <v>57015.31106104944</v>
      </c>
    </row>
    <row r="119" spans="1:13" s="1" customFormat="1" ht="10" x14ac:dyDescent="0.2">
      <c r="A119" s="9" t="s">
        <v>468</v>
      </c>
      <c r="B119" s="10">
        <v>0</v>
      </c>
      <c r="C119" s="10">
        <v>0</v>
      </c>
      <c r="D119" s="10">
        <v>1395.7937033487149</v>
      </c>
      <c r="E119" s="10">
        <v>0</v>
      </c>
      <c r="F119" s="10">
        <v>0</v>
      </c>
      <c r="G119" s="10">
        <v>0</v>
      </c>
      <c r="H119" s="10">
        <v>0</v>
      </c>
      <c r="I119" s="10">
        <v>0</v>
      </c>
      <c r="J119" s="36"/>
      <c r="K119" s="10">
        <f t="shared" si="23"/>
        <v>1395.7937033487149</v>
      </c>
      <c r="L119" s="36"/>
      <c r="M119" s="10">
        <f t="shared" si="24"/>
        <v>1395.7937033487149</v>
      </c>
    </row>
    <row r="120" spans="1:13" s="1" customFormat="1" ht="10" x14ac:dyDescent="0.2">
      <c r="A120" s="9" t="s">
        <v>469</v>
      </c>
      <c r="B120" s="10">
        <v>0</v>
      </c>
      <c r="C120" s="10">
        <v>0</v>
      </c>
      <c r="D120" s="10">
        <v>29368.763501389742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36"/>
      <c r="K120" s="10">
        <f t="shared" si="23"/>
        <v>29368.763501389742</v>
      </c>
      <c r="L120" s="36"/>
      <c r="M120" s="10">
        <f t="shared" si="24"/>
        <v>29368.763501389742</v>
      </c>
    </row>
    <row r="121" spans="1:13" s="1" customFormat="1" ht="10" x14ac:dyDescent="0.2">
      <c r="A121" s="9" t="s">
        <v>416</v>
      </c>
      <c r="B121" s="10">
        <v>0</v>
      </c>
      <c r="C121" s="10">
        <v>0</v>
      </c>
      <c r="D121" s="10">
        <v>11304.171676393587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36"/>
      <c r="K121" s="10">
        <f t="shared" si="23"/>
        <v>11304.171676393587</v>
      </c>
      <c r="L121" s="36"/>
      <c r="M121" s="10">
        <f t="shared" si="24"/>
        <v>11304.171676393587</v>
      </c>
    </row>
    <row r="122" spans="1:13" s="1" customFormat="1" ht="10" x14ac:dyDescent="0.2">
      <c r="A122" s="9" t="s">
        <v>285</v>
      </c>
      <c r="B122" s="10">
        <v>0</v>
      </c>
      <c r="C122" s="10">
        <v>0</v>
      </c>
      <c r="D122" s="10">
        <v>62298.604235600578</v>
      </c>
      <c r="E122" s="10">
        <v>0</v>
      </c>
      <c r="F122" s="10">
        <v>0</v>
      </c>
      <c r="G122" s="10">
        <v>0</v>
      </c>
      <c r="H122" s="10">
        <v>0</v>
      </c>
      <c r="I122" s="10">
        <v>0</v>
      </c>
      <c r="J122" s="36"/>
      <c r="K122" s="10">
        <f t="shared" si="23"/>
        <v>62298.604235600578</v>
      </c>
      <c r="L122" s="36"/>
      <c r="M122" s="10">
        <f t="shared" si="24"/>
        <v>62298.604235600578</v>
      </c>
    </row>
    <row r="123" spans="1:13" s="1" customFormat="1" ht="10" x14ac:dyDescent="0.2">
      <c r="A123" s="9" t="s">
        <v>470</v>
      </c>
      <c r="B123" s="10">
        <v>0</v>
      </c>
      <c r="C123" s="10">
        <v>0</v>
      </c>
      <c r="D123" s="10">
        <v>21277.695801292739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36"/>
      <c r="K123" s="10">
        <f t="shared" si="23"/>
        <v>21277.695801292739</v>
      </c>
      <c r="L123" s="36"/>
      <c r="M123" s="10">
        <f t="shared" si="24"/>
        <v>21277.695801292739</v>
      </c>
    </row>
    <row r="124" spans="1:13" s="1" customFormat="1" ht="10.5" x14ac:dyDescent="0.25">
      <c r="A124" s="14" t="s">
        <v>471</v>
      </c>
      <c r="B124" s="5"/>
      <c r="C124" s="5"/>
      <c r="D124" s="5"/>
      <c r="E124" s="5"/>
      <c r="F124" s="5"/>
      <c r="G124" s="5"/>
      <c r="H124" s="5"/>
      <c r="I124" s="5"/>
      <c r="J124" s="35"/>
      <c r="K124" s="5">
        <f t="shared" si="23"/>
        <v>0</v>
      </c>
      <c r="L124" s="35"/>
      <c r="M124" s="5">
        <f t="shared" si="24"/>
        <v>0</v>
      </c>
    </row>
    <row r="125" spans="1:13" s="1" customFormat="1" ht="10" x14ac:dyDescent="0.2">
      <c r="A125" s="15" t="s">
        <v>471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0</v>
      </c>
      <c r="H125" s="10">
        <v>0</v>
      </c>
      <c r="I125" s="10">
        <v>3572.4301161210869</v>
      </c>
      <c r="J125" s="36"/>
      <c r="K125" s="10">
        <f t="shared" si="23"/>
        <v>3572.4301161210869</v>
      </c>
      <c r="L125" s="36"/>
      <c r="M125" s="10">
        <f t="shared" si="24"/>
        <v>3572.4301161210869</v>
      </c>
    </row>
    <row r="126" spans="1:13" s="1" customFormat="1" ht="10" x14ac:dyDescent="0.2">
      <c r="A126" s="15" t="s">
        <v>472</v>
      </c>
      <c r="B126" s="10">
        <v>0</v>
      </c>
      <c r="C126" s="10">
        <v>0</v>
      </c>
      <c r="D126" s="10">
        <v>231.22128694350545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36"/>
      <c r="K126" s="10">
        <f t="shared" si="23"/>
        <v>231.22128694350545</v>
      </c>
      <c r="L126" s="36"/>
      <c r="M126" s="10">
        <f t="shared" si="24"/>
        <v>231.22128694350545</v>
      </c>
    </row>
    <row r="127" spans="1:13" s="1" customFormat="1" ht="10.5" x14ac:dyDescent="0.25">
      <c r="A127" s="16" t="s">
        <v>473</v>
      </c>
      <c r="B127" s="12">
        <f t="shared" ref="B127:M127" si="25">SUM(B125:B126)</f>
        <v>0</v>
      </c>
      <c r="C127" s="12">
        <f t="shared" si="25"/>
        <v>0</v>
      </c>
      <c r="D127" s="12">
        <f t="shared" si="25"/>
        <v>231.22128694350545</v>
      </c>
      <c r="E127" s="12">
        <f t="shared" si="25"/>
        <v>0</v>
      </c>
      <c r="F127" s="12">
        <f t="shared" si="25"/>
        <v>0</v>
      </c>
      <c r="G127" s="12">
        <f t="shared" si="25"/>
        <v>0</v>
      </c>
      <c r="H127" s="12">
        <f t="shared" si="25"/>
        <v>0</v>
      </c>
      <c r="I127" s="12">
        <f t="shared" si="25"/>
        <v>3572.4301161210869</v>
      </c>
      <c r="J127" s="37">
        <f t="shared" si="25"/>
        <v>0</v>
      </c>
      <c r="K127" s="12">
        <f t="shared" si="23"/>
        <v>3803.6514030645922</v>
      </c>
      <c r="L127" s="37">
        <f t="shared" si="25"/>
        <v>0</v>
      </c>
      <c r="M127" s="12">
        <f t="shared" si="24"/>
        <v>3803.6514030645922</v>
      </c>
    </row>
    <row r="128" spans="1:13" s="1" customFormat="1" ht="10.5" x14ac:dyDescent="0.25">
      <c r="A128" s="11" t="s">
        <v>286</v>
      </c>
      <c r="B128" s="12">
        <f t="shared" ref="B128:M128" si="26">SUM(B109:B123,B127)</f>
        <v>1050</v>
      </c>
      <c r="C128" s="12">
        <f t="shared" si="26"/>
        <v>0</v>
      </c>
      <c r="D128" s="12">
        <f t="shared" si="26"/>
        <v>396724.88505375612</v>
      </c>
      <c r="E128" s="12">
        <f t="shared" si="26"/>
        <v>8614.286298802841</v>
      </c>
      <c r="F128" s="12">
        <f t="shared" si="26"/>
        <v>14730.491502598839</v>
      </c>
      <c r="G128" s="12">
        <f t="shared" si="26"/>
        <v>676.6908185872926</v>
      </c>
      <c r="H128" s="12">
        <f t="shared" si="26"/>
        <v>0</v>
      </c>
      <c r="I128" s="12">
        <f t="shared" si="26"/>
        <v>5102.0520461958622</v>
      </c>
      <c r="J128" s="37">
        <f t="shared" si="26"/>
        <v>0</v>
      </c>
      <c r="K128" s="12">
        <f t="shared" si="23"/>
        <v>425848.40571994096</v>
      </c>
      <c r="L128" s="37">
        <f t="shared" si="26"/>
        <v>0</v>
      </c>
      <c r="M128" s="12">
        <f t="shared" si="24"/>
        <v>426898.40571994096</v>
      </c>
    </row>
    <row r="129" spans="1:13" s="1" customFormat="1" ht="10.5" x14ac:dyDescent="0.25">
      <c r="A129" s="8" t="s">
        <v>287</v>
      </c>
      <c r="B129" s="5"/>
      <c r="C129" s="5"/>
      <c r="D129" s="5"/>
      <c r="E129" s="5"/>
      <c r="F129" s="5"/>
      <c r="G129" s="5"/>
      <c r="H129" s="5"/>
      <c r="I129" s="5"/>
      <c r="J129" s="35"/>
      <c r="K129" s="5">
        <f t="shared" si="23"/>
        <v>0</v>
      </c>
      <c r="L129" s="35"/>
      <c r="M129" s="5">
        <f t="shared" si="24"/>
        <v>0</v>
      </c>
    </row>
    <row r="130" spans="1:13" s="1" customFormat="1" ht="10" x14ac:dyDescent="0.2">
      <c r="A130" s="9" t="s">
        <v>288</v>
      </c>
      <c r="B130" s="10">
        <v>504.8</v>
      </c>
      <c r="C130" s="10">
        <v>0</v>
      </c>
      <c r="D130" s="10">
        <v>18488.940249936368</v>
      </c>
      <c r="E130" s="10">
        <v>926.30361763544772</v>
      </c>
      <c r="F130" s="10">
        <v>87.918686992047355</v>
      </c>
      <c r="G130" s="10">
        <v>164.23091835715826</v>
      </c>
      <c r="H130" s="10">
        <v>5.5918942619270391</v>
      </c>
      <c r="I130" s="10">
        <v>1039.0943656014174</v>
      </c>
      <c r="J130" s="36"/>
      <c r="K130" s="10">
        <f t="shared" si="23"/>
        <v>20712.079732784368</v>
      </c>
      <c r="L130" s="36"/>
      <c r="M130" s="10">
        <f t="shared" si="24"/>
        <v>21216.879732784368</v>
      </c>
    </row>
    <row r="131" spans="1:13" s="1" customFormat="1" ht="10" x14ac:dyDescent="0.2">
      <c r="A131" s="9" t="s">
        <v>289</v>
      </c>
      <c r="B131" s="10">
        <v>176277.28</v>
      </c>
      <c r="C131" s="10">
        <v>0</v>
      </c>
      <c r="D131" s="10">
        <v>349.42959767971388</v>
      </c>
      <c r="E131" s="10">
        <v>606.01581523767231</v>
      </c>
      <c r="F131" s="10">
        <v>0</v>
      </c>
      <c r="G131" s="10">
        <v>0</v>
      </c>
      <c r="H131" s="10">
        <v>0</v>
      </c>
      <c r="I131" s="10">
        <v>9070.4509070020304</v>
      </c>
      <c r="J131" s="36"/>
      <c r="K131" s="10">
        <f t="shared" si="23"/>
        <v>10025.896319919417</v>
      </c>
      <c r="L131" s="36"/>
      <c r="M131" s="10">
        <f t="shared" si="24"/>
        <v>186303.17631991941</v>
      </c>
    </row>
    <row r="132" spans="1:13" s="1" customFormat="1" ht="10" x14ac:dyDescent="0.2">
      <c r="A132" s="9" t="s">
        <v>417</v>
      </c>
      <c r="B132" s="10">
        <v>0</v>
      </c>
      <c r="C132" s="10">
        <v>0</v>
      </c>
      <c r="D132" s="10">
        <v>46955.902851135266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36"/>
      <c r="K132" s="10">
        <f t="shared" si="23"/>
        <v>46955.902851135266</v>
      </c>
      <c r="L132" s="36"/>
      <c r="M132" s="10">
        <f t="shared" si="24"/>
        <v>46955.902851135266</v>
      </c>
    </row>
    <row r="133" spans="1:13" s="1" customFormat="1" ht="10" x14ac:dyDescent="0.2">
      <c r="A133" s="9" t="s">
        <v>474</v>
      </c>
      <c r="B133" s="10">
        <v>-1.57</v>
      </c>
      <c r="C133" s="10">
        <v>0</v>
      </c>
      <c r="D133" s="10">
        <v>237.76536389271075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36"/>
      <c r="K133" s="10">
        <f t="shared" si="23"/>
        <v>237.76536389271075</v>
      </c>
      <c r="L133" s="36"/>
      <c r="M133" s="10">
        <f t="shared" si="24"/>
        <v>236.19536389271076</v>
      </c>
    </row>
    <row r="134" spans="1:13" s="1" customFormat="1" ht="10.5" x14ac:dyDescent="0.25">
      <c r="A134" s="11" t="s">
        <v>290</v>
      </c>
      <c r="B134" s="12">
        <f t="shared" ref="B134:M134" si="27">SUM(B130:B133)</f>
        <v>176780.50999999998</v>
      </c>
      <c r="C134" s="12">
        <f t="shared" si="27"/>
        <v>0</v>
      </c>
      <c r="D134" s="12">
        <f t="shared" si="27"/>
        <v>66032.03806264406</v>
      </c>
      <c r="E134" s="12">
        <f t="shared" si="27"/>
        <v>1532.3194328731201</v>
      </c>
      <c r="F134" s="12">
        <f t="shared" si="27"/>
        <v>87.918686992047355</v>
      </c>
      <c r="G134" s="12">
        <f t="shared" si="27"/>
        <v>164.23091835715826</v>
      </c>
      <c r="H134" s="12">
        <f t="shared" si="27"/>
        <v>5.5918942619270391</v>
      </c>
      <c r="I134" s="12">
        <f t="shared" si="27"/>
        <v>10109.545272603447</v>
      </c>
      <c r="J134" s="37">
        <f t="shared" si="27"/>
        <v>0</v>
      </c>
      <c r="K134" s="12">
        <f t="shared" si="23"/>
        <v>77931.644267731768</v>
      </c>
      <c r="L134" s="37">
        <f t="shared" si="27"/>
        <v>0</v>
      </c>
      <c r="M134" s="12">
        <f t="shared" si="24"/>
        <v>254712.15426773176</v>
      </c>
    </row>
    <row r="135" spans="1:13" s="1" customFormat="1" ht="10.5" x14ac:dyDescent="0.25">
      <c r="A135" s="13" t="s">
        <v>291</v>
      </c>
      <c r="B135" s="12">
        <f t="shared" ref="B135:M135" si="28">SUM(B41,B47,B53,B57,B61,B72,B79,B86,B100,B103,B107,B128,B134)</f>
        <v>822874.22</v>
      </c>
      <c r="C135" s="12">
        <f t="shared" si="28"/>
        <v>1567.70235</v>
      </c>
      <c r="D135" s="12">
        <f t="shared" si="28"/>
        <v>2936180.5816093851</v>
      </c>
      <c r="E135" s="12">
        <f t="shared" si="28"/>
        <v>10550.209923459288</v>
      </c>
      <c r="F135" s="12">
        <f t="shared" si="28"/>
        <v>138762.84337369906</v>
      </c>
      <c r="G135" s="12">
        <f t="shared" si="28"/>
        <v>126539.60146981181</v>
      </c>
      <c r="H135" s="12">
        <f t="shared" si="28"/>
        <v>5.5918942619270391</v>
      </c>
      <c r="I135" s="12">
        <f t="shared" si="28"/>
        <v>359629.73358516145</v>
      </c>
      <c r="J135" s="37">
        <f t="shared" si="28"/>
        <v>0</v>
      </c>
      <c r="K135" s="12">
        <f t="shared" si="23"/>
        <v>3571668.561855779</v>
      </c>
      <c r="L135" s="37">
        <f t="shared" si="28"/>
        <v>0</v>
      </c>
      <c r="M135" s="12">
        <f t="shared" si="24"/>
        <v>4396110.4842057787</v>
      </c>
    </row>
    <row r="136" spans="1:13" s="1" customFormat="1" ht="10.5" x14ac:dyDescent="0.25">
      <c r="A136" s="7" t="s">
        <v>292</v>
      </c>
      <c r="B136" s="5"/>
      <c r="C136" s="5"/>
      <c r="D136" s="5"/>
      <c r="E136" s="5"/>
      <c r="F136" s="5"/>
      <c r="G136" s="5"/>
      <c r="H136" s="5"/>
      <c r="I136" s="5"/>
      <c r="J136" s="35"/>
      <c r="K136" s="5">
        <f t="shared" si="23"/>
        <v>0</v>
      </c>
      <c r="L136" s="35"/>
      <c r="M136" s="5">
        <f t="shared" si="24"/>
        <v>0</v>
      </c>
    </row>
    <row r="137" spans="1:13" s="1" customFormat="1" ht="10" x14ac:dyDescent="0.2">
      <c r="A137" s="17" t="s">
        <v>403</v>
      </c>
      <c r="B137" s="10">
        <v>0</v>
      </c>
      <c r="C137" s="10">
        <v>0</v>
      </c>
      <c r="D137" s="10">
        <v>2419.4828851552084</v>
      </c>
      <c r="E137" s="10">
        <v>0</v>
      </c>
      <c r="F137" s="10">
        <v>167.0980816220619</v>
      </c>
      <c r="G137" s="10">
        <v>479.12823429190502</v>
      </c>
      <c r="H137" s="10">
        <v>0</v>
      </c>
      <c r="I137" s="10">
        <v>0</v>
      </c>
      <c r="J137" s="36"/>
      <c r="K137" s="10">
        <f t="shared" si="23"/>
        <v>3065.7092010691749</v>
      </c>
      <c r="L137" s="36"/>
      <c r="M137" s="10">
        <f t="shared" si="24"/>
        <v>3065.7092010691749</v>
      </c>
    </row>
    <row r="138" spans="1:13" s="1" customFormat="1" ht="10" x14ac:dyDescent="0.2">
      <c r="A138" s="17" t="s">
        <v>475</v>
      </c>
      <c r="B138" s="10">
        <v>0</v>
      </c>
      <c r="C138" s="10">
        <v>0</v>
      </c>
      <c r="D138" s="10">
        <v>10724.635884418285</v>
      </c>
      <c r="E138" s="10">
        <v>0</v>
      </c>
      <c r="F138" s="10">
        <v>408.47715354784714</v>
      </c>
      <c r="G138" s="10">
        <v>0</v>
      </c>
      <c r="H138" s="10">
        <v>0</v>
      </c>
      <c r="I138" s="10">
        <v>2498.2442010023351</v>
      </c>
      <c r="J138" s="36"/>
      <c r="K138" s="10">
        <f t="shared" si="23"/>
        <v>13631.357238968467</v>
      </c>
      <c r="L138" s="36"/>
      <c r="M138" s="10">
        <f t="shared" si="24"/>
        <v>13631.357238968467</v>
      </c>
    </row>
    <row r="139" spans="1:13" s="1" customFormat="1" ht="10" x14ac:dyDescent="0.2">
      <c r="A139" s="17" t="s">
        <v>476</v>
      </c>
      <c r="B139" s="10">
        <v>0</v>
      </c>
      <c r="C139" s="10">
        <v>0</v>
      </c>
      <c r="D139" s="10">
        <v>0</v>
      </c>
      <c r="E139" s="10">
        <v>0</v>
      </c>
      <c r="F139" s="10">
        <v>0</v>
      </c>
      <c r="G139" s="10">
        <v>0</v>
      </c>
      <c r="H139" s="10">
        <v>0</v>
      </c>
      <c r="I139" s="10">
        <v>9984.2583511894954</v>
      </c>
      <c r="J139" s="36"/>
      <c r="K139" s="10">
        <f t="shared" si="23"/>
        <v>9984.2583511894954</v>
      </c>
      <c r="L139" s="36"/>
      <c r="M139" s="10">
        <f t="shared" si="24"/>
        <v>9984.2583511894954</v>
      </c>
    </row>
    <row r="140" spans="1:13" s="1" customFormat="1" ht="10" x14ac:dyDescent="0.2">
      <c r="A140" s="17" t="s">
        <v>477</v>
      </c>
      <c r="B140" s="10">
        <v>0</v>
      </c>
      <c r="C140" s="10">
        <v>0</v>
      </c>
      <c r="D140" s="10">
        <v>29.837497590497808</v>
      </c>
      <c r="E140" s="10">
        <v>0</v>
      </c>
      <c r="F140" s="10">
        <v>0</v>
      </c>
      <c r="G140" s="10">
        <v>0</v>
      </c>
      <c r="H140" s="10">
        <v>0</v>
      </c>
      <c r="I140" s="10">
        <v>0</v>
      </c>
      <c r="J140" s="36"/>
      <c r="K140" s="10">
        <f t="shared" si="23"/>
        <v>29.837497590497808</v>
      </c>
      <c r="L140" s="36"/>
      <c r="M140" s="10">
        <f t="shared" si="24"/>
        <v>29.837497590497808</v>
      </c>
    </row>
    <row r="141" spans="1:13" s="1" customFormat="1" ht="10" x14ac:dyDescent="0.2">
      <c r="A141" s="17" t="s">
        <v>293</v>
      </c>
      <c r="B141" s="10">
        <v>0</v>
      </c>
      <c r="C141" s="10">
        <v>0</v>
      </c>
      <c r="D141" s="10">
        <v>768.03656101101512</v>
      </c>
      <c r="E141" s="10">
        <v>0</v>
      </c>
      <c r="F141" s="10">
        <v>3492.5525338649545</v>
      </c>
      <c r="G141" s="10">
        <v>4350.2742972340129</v>
      </c>
      <c r="H141" s="10">
        <v>0</v>
      </c>
      <c r="I141" s="10">
        <v>2620.273711510154</v>
      </c>
      <c r="J141" s="36"/>
      <c r="K141" s="10">
        <f t="shared" ref="K141:K172" si="29">SUM(D141:J141)</f>
        <v>11231.137103620136</v>
      </c>
      <c r="L141" s="36"/>
      <c r="M141" s="10">
        <f t="shared" ref="M141:M172" si="30">SUM(B141,K141,L141)+C141</f>
        <v>11231.137103620136</v>
      </c>
    </row>
    <row r="142" spans="1:13" s="1" customFormat="1" ht="10" x14ac:dyDescent="0.2">
      <c r="A142" s="17" t="s">
        <v>418</v>
      </c>
      <c r="B142" s="10">
        <v>0</v>
      </c>
      <c r="C142" s="10">
        <v>0</v>
      </c>
      <c r="D142" s="10">
        <v>14781.053237922573</v>
      </c>
      <c r="E142" s="10">
        <v>0</v>
      </c>
      <c r="F142" s="10">
        <v>1151.642368534239</v>
      </c>
      <c r="G142" s="10">
        <v>3696.3010857006302</v>
      </c>
      <c r="H142" s="10">
        <v>0</v>
      </c>
      <c r="I142" s="10">
        <v>1.696412692485</v>
      </c>
      <c r="J142" s="36"/>
      <c r="K142" s="10">
        <f t="shared" si="29"/>
        <v>19630.693104849932</v>
      </c>
      <c r="L142" s="36"/>
      <c r="M142" s="10">
        <f t="shared" si="30"/>
        <v>19630.693104849932</v>
      </c>
    </row>
    <row r="143" spans="1:13" s="1" customFormat="1" ht="10" x14ac:dyDescent="0.2">
      <c r="A143" s="17" t="s">
        <v>324</v>
      </c>
      <c r="B143" s="10">
        <v>0</v>
      </c>
      <c r="C143" s="10">
        <v>0</v>
      </c>
      <c r="D143" s="10">
        <v>565.00737575458118</v>
      </c>
      <c r="E143" s="10">
        <v>0</v>
      </c>
      <c r="F143" s="10">
        <v>0</v>
      </c>
      <c r="G143" s="10">
        <v>0</v>
      </c>
      <c r="H143" s="10">
        <v>0</v>
      </c>
      <c r="I143" s="10">
        <v>21958.559019573018</v>
      </c>
      <c r="J143" s="36"/>
      <c r="K143" s="10">
        <f t="shared" si="29"/>
        <v>22523.566395327598</v>
      </c>
      <c r="L143" s="36"/>
      <c r="M143" s="10">
        <f t="shared" si="30"/>
        <v>22523.566395327598</v>
      </c>
    </row>
    <row r="144" spans="1:13" s="1" customFormat="1" ht="10" x14ac:dyDescent="0.2">
      <c r="A144" s="17" t="s">
        <v>325</v>
      </c>
      <c r="B144" s="10">
        <v>0</v>
      </c>
      <c r="C144" s="10">
        <v>0</v>
      </c>
      <c r="D144" s="10">
        <v>81.51490258977492</v>
      </c>
      <c r="E144" s="10">
        <v>0</v>
      </c>
      <c r="F144" s="10">
        <v>0</v>
      </c>
      <c r="G144" s="10">
        <v>0</v>
      </c>
      <c r="H144" s="10">
        <v>0</v>
      </c>
      <c r="I144" s="10">
        <v>190949.64369512751</v>
      </c>
      <c r="J144" s="36"/>
      <c r="K144" s="10">
        <f t="shared" si="29"/>
        <v>191031.15859771729</v>
      </c>
      <c r="L144" s="36"/>
      <c r="M144" s="10">
        <f t="shared" si="30"/>
        <v>191031.15859771729</v>
      </c>
    </row>
    <row r="145" spans="1:13" s="1" customFormat="1" ht="10" x14ac:dyDescent="0.2">
      <c r="A145" s="17" t="s">
        <v>404</v>
      </c>
      <c r="B145" s="10">
        <v>0</v>
      </c>
      <c r="C145" s="10">
        <v>0</v>
      </c>
      <c r="D145" s="10">
        <v>1222.1769054649287</v>
      </c>
      <c r="E145" s="10">
        <v>0</v>
      </c>
      <c r="F145" s="10">
        <v>0</v>
      </c>
      <c r="G145" s="10">
        <v>0</v>
      </c>
      <c r="H145" s="10">
        <v>0</v>
      </c>
      <c r="I145" s="10">
        <v>391.26642767434964</v>
      </c>
      <c r="J145" s="36"/>
      <c r="K145" s="10">
        <f t="shared" si="29"/>
        <v>1613.4433331392784</v>
      </c>
      <c r="L145" s="36"/>
      <c r="M145" s="10">
        <f t="shared" si="30"/>
        <v>1613.4433331392784</v>
      </c>
    </row>
    <row r="146" spans="1:13" s="1" customFormat="1" ht="10" x14ac:dyDescent="0.2">
      <c r="A146" s="17" t="s">
        <v>294</v>
      </c>
      <c r="B146" s="10">
        <v>0</v>
      </c>
      <c r="C146" s="10">
        <v>0</v>
      </c>
      <c r="D146" s="10">
        <v>21977.88298626904</v>
      </c>
      <c r="E146" s="10">
        <v>0</v>
      </c>
      <c r="F146" s="10">
        <v>346.88958089479735</v>
      </c>
      <c r="G146" s="10">
        <v>860.56854541573296</v>
      </c>
      <c r="H146" s="10">
        <v>0</v>
      </c>
      <c r="I146" s="10">
        <v>80848.405327733286</v>
      </c>
      <c r="J146" s="36"/>
      <c r="K146" s="10">
        <f t="shared" si="29"/>
        <v>104033.74644031285</v>
      </c>
      <c r="L146" s="36"/>
      <c r="M146" s="10">
        <f t="shared" si="30"/>
        <v>104033.74644031285</v>
      </c>
    </row>
    <row r="147" spans="1:13" s="1" customFormat="1" ht="10" x14ac:dyDescent="0.2">
      <c r="A147" s="17" t="s">
        <v>405</v>
      </c>
      <c r="B147" s="10">
        <v>0</v>
      </c>
      <c r="C147" s="10">
        <v>0</v>
      </c>
      <c r="D147" s="10">
        <v>0</v>
      </c>
      <c r="E147" s="10">
        <v>0</v>
      </c>
      <c r="F147" s="10">
        <v>0</v>
      </c>
      <c r="G147" s="10">
        <v>0</v>
      </c>
      <c r="H147" s="10">
        <v>0</v>
      </c>
      <c r="I147" s="10">
        <v>2457.4198613853246</v>
      </c>
      <c r="J147" s="36"/>
      <c r="K147" s="10">
        <f t="shared" si="29"/>
        <v>2457.4198613853246</v>
      </c>
      <c r="L147" s="36"/>
      <c r="M147" s="10">
        <f t="shared" si="30"/>
        <v>2457.4198613853246</v>
      </c>
    </row>
    <row r="148" spans="1:13" s="1" customFormat="1" ht="10" x14ac:dyDescent="0.2">
      <c r="A148" s="17" t="s">
        <v>478</v>
      </c>
      <c r="B148" s="10">
        <v>0</v>
      </c>
      <c r="C148" s="10">
        <v>0</v>
      </c>
      <c r="D148" s="10">
        <v>96761.163444016522</v>
      </c>
      <c r="E148" s="10">
        <v>0</v>
      </c>
      <c r="F148" s="10">
        <v>34789.235941986044</v>
      </c>
      <c r="G148" s="10">
        <v>0</v>
      </c>
      <c r="H148" s="10">
        <v>0</v>
      </c>
      <c r="I148" s="10">
        <v>69884.020454526413</v>
      </c>
      <c r="J148" s="36"/>
      <c r="K148" s="10">
        <f t="shared" si="29"/>
        <v>201434.41984052898</v>
      </c>
      <c r="L148" s="36"/>
      <c r="M148" s="10">
        <f t="shared" si="30"/>
        <v>201434.41984052898</v>
      </c>
    </row>
    <row r="149" spans="1:13" s="1" customFormat="1" ht="10" x14ac:dyDescent="0.2">
      <c r="A149" s="17" t="s">
        <v>419</v>
      </c>
      <c r="B149" s="10">
        <v>0</v>
      </c>
      <c r="C149" s="10">
        <v>0</v>
      </c>
      <c r="D149" s="10">
        <v>0</v>
      </c>
      <c r="E149" s="10">
        <v>0</v>
      </c>
      <c r="F149" s="10">
        <v>0</v>
      </c>
      <c r="G149" s="10">
        <v>0</v>
      </c>
      <c r="H149" s="10">
        <v>0</v>
      </c>
      <c r="I149" s="10">
        <v>12008.346017201886</v>
      </c>
      <c r="J149" s="36"/>
      <c r="K149" s="10">
        <f t="shared" si="29"/>
        <v>12008.346017201886</v>
      </c>
      <c r="L149" s="36"/>
      <c r="M149" s="10">
        <f t="shared" si="30"/>
        <v>12008.346017201886</v>
      </c>
    </row>
    <row r="150" spans="1:13" s="1" customFormat="1" ht="10" x14ac:dyDescent="0.2">
      <c r="A150" s="17" t="s">
        <v>295</v>
      </c>
      <c r="B150" s="10">
        <v>0</v>
      </c>
      <c r="C150" s="10">
        <v>0</v>
      </c>
      <c r="D150" s="10">
        <v>696261.82563708525</v>
      </c>
      <c r="E150" s="10">
        <v>0</v>
      </c>
      <c r="F150" s="10">
        <v>10887.641909144544</v>
      </c>
      <c r="G150" s="10">
        <v>0</v>
      </c>
      <c r="H150" s="10">
        <v>0</v>
      </c>
      <c r="I150" s="10">
        <v>78346.694897813461</v>
      </c>
      <c r="J150" s="36">
        <v>-347622.91367801721</v>
      </c>
      <c r="K150" s="10">
        <f t="shared" si="29"/>
        <v>437873.24876602611</v>
      </c>
      <c r="L150" s="36"/>
      <c r="M150" s="10">
        <f t="shared" si="30"/>
        <v>437873.24876602611</v>
      </c>
    </row>
    <row r="151" spans="1:13" s="1" customFormat="1" ht="10" x14ac:dyDescent="0.2">
      <c r="A151" s="17" t="s">
        <v>296</v>
      </c>
      <c r="B151" s="10">
        <v>87895.16</v>
      </c>
      <c r="C151" s="10">
        <v>0</v>
      </c>
      <c r="D151" s="10">
        <v>149707.35320434588</v>
      </c>
      <c r="E151" s="10">
        <v>0</v>
      </c>
      <c r="F151" s="10">
        <v>9429.5341235613269</v>
      </c>
      <c r="G151" s="10">
        <v>0</v>
      </c>
      <c r="H151" s="10">
        <v>0</v>
      </c>
      <c r="I151" s="10">
        <v>11064.808600455281</v>
      </c>
      <c r="J151" s="36"/>
      <c r="K151" s="10">
        <f t="shared" si="29"/>
        <v>170201.69592836249</v>
      </c>
      <c r="L151" s="36"/>
      <c r="M151" s="10">
        <f t="shared" si="30"/>
        <v>258096.85592836249</v>
      </c>
    </row>
    <row r="152" spans="1:13" s="1" customFormat="1" ht="10" x14ac:dyDescent="0.2">
      <c r="A152" s="17" t="s">
        <v>297</v>
      </c>
      <c r="B152" s="10">
        <v>0</v>
      </c>
      <c r="C152" s="10">
        <v>0</v>
      </c>
      <c r="D152" s="10">
        <v>27908.509217147755</v>
      </c>
      <c r="E152" s="10">
        <v>0</v>
      </c>
      <c r="F152" s="10">
        <v>6566.2977281429821</v>
      </c>
      <c r="G152" s="10">
        <v>11788.298983846862</v>
      </c>
      <c r="H152" s="10">
        <v>0</v>
      </c>
      <c r="I152" s="10">
        <v>56463.70377067454</v>
      </c>
      <c r="J152" s="36"/>
      <c r="K152" s="10">
        <f t="shared" si="29"/>
        <v>102726.80969981215</v>
      </c>
      <c r="L152" s="36"/>
      <c r="M152" s="10">
        <f t="shared" si="30"/>
        <v>102726.80969981215</v>
      </c>
    </row>
    <row r="153" spans="1:13" s="1" customFormat="1" ht="10.5" x14ac:dyDescent="0.25">
      <c r="A153" s="8" t="s">
        <v>479</v>
      </c>
      <c r="B153" s="5"/>
      <c r="C153" s="5"/>
      <c r="D153" s="5"/>
      <c r="E153" s="5"/>
      <c r="F153" s="5"/>
      <c r="G153" s="5"/>
      <c r="H153" s="5"/>
      <c r="I153" s="5"/>
      <c r="J153" s="35"/>
      <c r="K153" s="5">
        <f t="shared" si="29"/>
        <v>0</v>
      </c>
      <c r="L153" s="35"/>
      <c r="M153" s="5">
        <f t="shared" si="30"/>
        <v>0</v>
      </c>
    </row>
    <row r="154" spans="1:13" s="1" customFormat="1" ht="10" x14ac:dyDescent="0.2">
      <c r="A154" s="9" t="s">
        <v>480</v>
      </c>
      <c r="B154" s="10">
        <v>0</v>
      </c>
      <c r="C154" s="10">
        <v>0</v>
      </c>
      <c r="D154" s="10">
        <v>108985.74634038717</v>
      </c>
      <c r="E154" s="10">
        <v>0</v>
      </c>
      <c r="F154" s="10">
        <v>0</v>
      </c>
      <c r="G154" s="10">
        <v>0</v>
      </c>
      <c r="H154" s="10">
        <v>0</v>
      </c>
      <c r="I154" s="10">
        <v>0</v>
      </c>
      <c r="J154" s="36"/>
      <c r="K154" s="10">
        <f t="shared" si="29"/>
        <v>108985.74634038717</v>
      </c>
      <c r="L154" s="36"/>
      <c r="M154" s="10">
        <f t="shared" si="30"/>
        <v>108985.74634038717</v>
      </c>
    </row>
    <row r="155" spans="1:13" s="1" customFormat="1" ht="10" x14ac:dyDescent="0.2">
      <c r="A155" s="9" t="s">
        <v>481</v>
      </c>
      <c r="B155" s="10">
        <v>0</v>
      </c>
      <c r="C155" s="10">
        <v>0</v>
      </c>
      <c r="D155" s="10">
        <v>0</v>
      </c>
      <c r="E155" s="10">
        <v>0</v>
      </c>
      <c r="F155" s="10">
        <v>30.815631614654119</v>
      </c>
      <c r="G155" s="10">
        <v>0</v>
      </c>
      <c r="H155" s="10">
        <v>0</v>
      </c>
      <c r="I155" s="10">
        <v>0</v>
      </c>
      <c r="J155" s="36"/>
      <c r="K155" s="10">
        <f t="shared" si="29"/>
        <v>30.815631614654119</v>
      </c>
      <c r="L155" s="36"/>
      <c r="M155" s="10">
        <f t="shared" si="30"/>
        <v>30.815631614654119</v>
      </c>
    </row>
    <row r="156" spans="1:13" s="1" customFormat="1" ht="10.5" x14ac:dyDescent="0.25">
      <c r="A156" s="11" t="s">
        <v>482</v>
      </c>
      <c r="B156" s="12">
        <f t="shared" ref="B156:M156" si="31">SUM(B154:B155)</f>
        <v>0</v>
      </c>
      <c r="C156" s="12">
        <f t="shared" si="31"/>
        <v>0</v>
      </c>
      <c r="D156" s="12">
        <f t="shared" si="31"/>
        <v>108985.74634038717</v>
      </c>
      <c r="E156" s="12">
        <f t="shared" si="31"/>
        <v>0</v>
      </c>
      <c r="F156" s="12">
        <f t="shared" si="31"/>
        <v>30.815631614654119</v>
      </c>
      <c r="G156" s="12">
        <f t="shared" si="31"/>
        <v>0</v>
      </c>
      <c r="H156" s="12">
        <f t="shared" si="31"/>
        <v>0</v>
      </c>
      <c r="I156" s="12">
        <f t="shared" si="31"/>
        <v>0</v>
      </c>
      <c r="J156" s="37">
        <f t="shared" si="31"/>
        <v>0</v>
      </c>
      <c r="K156" s="12">
        <f t="shared" si="29"/>
        <v>109016.56197200181</v>
      </c>
      <c r="L156" s="37">
        <f t="shared" si="31"/>
        <v>0</v>
      </c>
      <c r="M156" s="12">
        <f t="shared" si="30"/>
        <v>109016.56197200181</v>
      </c>
    </row>
    <row r="157" spans="1:13" s="1" customFormat="1" ht="10.5" x14ac:dyDescent="0.25">
      <c r="A157" s="8" t="s">
        <v>298</v>
      </c>
      <c r="B157" s="5"/>
      <c r="C157" s="5"/>
      <c r="D157" s="5"/>
      <c r="E157" s="5"/>
      <c r="F157" s="5"/>
      <c r="G157" s="5"/>
      <c r="H157" s="5"/>
      <c r="I157" s="5"/>
      <c r="J157" s="35"/>
      <c r="K157" s="5">
        <f t="shared" si="29"/>
        <v>0</v>
      </c>
      <c r="L157" s="35"/>
      <c r="M157" s="5">
        <f t="shared" si="30"/>
        <v>0</v>
      </c>
    </row>
    <row r="158" spans="1:13" s="1" customFormat="1" ht="10" x14ac:dyDescent="0.2">
      <c r="A158" s="9" t="s">
        <v>299</v>
      </c>
      <c r="B158" s="10">
        <v>0</v>
      </c>
      <c r="C158" s="10">
        <v>0</v>
      </c>
      <c r="D158" s="10">
        <v>559157.63096578349</v>
      </c>
      <c r="E158" s="10">
        <v>0</v>
      </c>
      <c r="F158" s="10">
        <v>0</v>
      </c>
      <c r="G158" s="10">
        <v>0</v>
      </c>
      <c r="H158" s="10">
        <v>0</v>
      </c>
      <c r="I158" s="10">
        <v>-9034.6877735282214</v>
      </c>
      <c r="J158" s="36"/>
      <c r="K158" s="10">
        <f t="shared" si="29"/>
        <v>550122.94319225522</v>
      </c>
      <c r="L158" s="36"/>
      <c r="M158" s="10">
        <f t="shared" si="30"/>
        <v>550122.94319225522</v>
      </c>
    </row>
    <row r="159" spans="1:13" s="1" customFormat="1" ht="10" x14ac:dyDescent="0.2">
      <c r="A159" s="9" t="s">
        <v>406</v>
      </c>
      <c r="B159" s="10">
        <v>0</v>
      </c>
      <c r="C159" s="10">
        <v>0</v>
      </c>
      <c r="D159" s="10">
        <v>218768.03546236403</v>
      </c>
      <c r="E159" s="10">
        <v>0</v>
      </c>
      <c r="F159" s="10">
        <v>1559.6075374272448</v>
      </c>
      <c r="G159" s="10">
        <v>0</v>
      </c>
      <c r="H159" s="10">
        <v>0</v>
      </c>
      <c r="I159" s="10">
        <v>73918.976850147941</v>
      </c>
      <c r="J159" s="36"/>
      <c r="K159" s="10">
        <f t="shared" si="29"/>
        <v>294246.61984993925</v>
      </c>
      <c r="L159" s="36"/>
      <c r="M159" s="10">
        <f t="shared" si="30"/>
        <v>294246.61984993925</v>
      </c>
    </row>
    <row r="160" spans="1:13" s="1" customFormat="1" ht="10.5" x14ac:dyDescent="0.25">
      <c r="A160" s="11" t="s">
        <v>300</v>
      </c>
      <c r="B160" s="12">
        <f t="shared" ref="B160:M160" si="32">SUM(B158:B159)</f>
        <v>0</v>
      </c>
      <c r="C160" s="12">
        <f t="shared" si="32"/>
        <v>0</v>
      </c>
      <c r="D160" s="12">
        <f t="shared" si="32"/>
        <v>777925.66642814758</v>
      </c>
      <c r="E160" s="12">
        <f t="shared" si="32"/>
        <v>0</v>
      </c>
      <c r="F160" s="12">
        <f t="shared" si="32"/>
        <v>1559.6075374272448</v>
      </c>
      <c r="G160" s="12">
        <f t="shared" si="32"/>
        <v>0</v>
      </c>
      <c r="H160" s="12">
        <f t="shared" si="32"/>
        <v>0</v>
      </c>
      <c r="I160" s="12">
        <f t="shared" si="32"/>
        <v>64884.289076619723</v>
      </c>
      <c r="J160" s="37">
        <f t="shared" si="32"/>
        <v>0</v>
      </c>
      <c r="K160" s="12">
        <f t="shared" si="29"/>
        <v>844369.56304219458</v>
      </c>
      <c r="L160" s="37">
        <f t="shared" si="32"/>
        <v>0</v>
      </c>
      <c r="M160" s="12">
        <f t="shared" si="30"/>
        <v>844369.56304219458</v>
      </c>
    </row>
    <row r="161" spans="1:13" s="1" customFormat="1" ht="10.5" x14ac:dyDescent="0.25">
      <c r="A161" s="13" t="s">
        <v>301</v>
      </c>
      <c r="B161" s="12">
        <f t="shared" ref="B161:M161" si="33">SUM(B137:B152,B156,B160)</f>
        <v>87895.16</v>
      </c>
      <c r="C161" s="12">
        <f t="shared" si="33"/>
        <v>0</v>
      </c>
      <c r="D161" s="12">
        <f t="shared" si="33"/>
        <v>1910119.8925073061</v>
      </c>
      <c r="E161" s="12">
        <f t="shared" si="33"/>
        <v>0</v>
      </c>
      <c r="F161" s="12">
        <f t="shared" si="33"/>
        <v>68829.792590340687</v>
      </c>
      <c r="G161" s="12">
        <f t="shared" si="33"/>
        <v>21174.571146489143</v>
      </c>
      <c r="H161" s="12">
        <f t="shared" si="33"/>
        <v>0</v>
      </c>
      <c r="I161" s="12">
        <f t="shared" si="33"/>
        <v>604361.62982517923</v>
      </c>
      <c r="J161" s="37">
        <f t="shared" si="33"/>
        <v>-347622.91367801721</v>
      </c>
      <c r="K161" s="12">
        <f t="shared" si="29"/>
        <v>2256862.972391298</v>
      </c>
      <c r="L161" s="37">
        <f t="shared" si="33"/>
        <v>0</v>
      </c>
      <c r="M161" s="12">
        <f t="shared" si="30"/>
        <v>2344758.1323912982</v>
      </c>
    </row>
    <row r="162" spans="1:13" s="1" customFormat="1" ht="10.5" x14ac:dyDescent="0.25">
      <c r="A162" s="13" t="s">
        <v>314</v>
      </c>
      <c r="B162" s="12"/>
      <c r="C162" s="12"/>
      <c r="D162" s="12"/>
      <c r="E162" s="12"/>
      <c r="F162" s="12"/>
      <c r="G162" s="12"/>
      <c r="H162" s="12"/>
      <c r="I162" s="12"/>
      <c r="J162" s="37"/>
      <c r="K162" s="12">
        <f t="shared" si="29"/>
        <v>0</v>
      </c>
      <c r="L162" s="37">
        <f xml:space="preserve"> -Goodwill!B3</f>
        <v>0</v>
      </c>
      <c r="M162" s="12">
        <f t="shared" si="30"/>
        <v>0</v>
      </c>
    </row>
    <row r="163" spans="1:13" s="1" customFormat="1" ht="10.5" x14ac:dyDescent="0.25">
      <c r="A163" s="20" t="s">
        <v>302</v>
      </c>
      <c r="B163" s="12">
        <f t="shared" ref="B163:M163" si="34">SUM(B135,B161)+ B162</f>
        <v>910769.38</v>
      </c>
      <c r="C163" s="12">
        <f t="shared" si="34"/>
        <v>1567.70235</v>
      </c>
      <c r="D163" s="12">
        <f t="shared" si="34"/>
        <v>4846300.4741166914</v>
      </c>
      <c r="E163" s="12">
        <f t="shared" si="34"/>
        <v>10550.209923459288</v>
      </c>
      <c r="F163" s="12">
        <f t="shared" si="34"/>
        <v>207592.63596403974</v>
      </c>
      <c r="G163" s="12">
        <f t="shared" si="34"/>
        <v>147714.17261630096</v>
      </c>
      <c r="H163" s="12">
        <f t="shared" si="34"/>
        <v>5.5918942619270391</v>
      </c>
      <c r="I163" s="12">
        <f t="shared" si="34"/>
        <v>963991.36341034062</v>
      </c>
      <c r="J163" s="37">
        <f t="shared" si="34"/>
        <v>-347622.91367801721</v>
      </c>
      <c r="K163" s="12">
        <f t="shared" si="29"/>
        <v>5828531.5342470761</v>
      </c>
      <c r="L163" s="37">
        <f t="shared" si="34"/>
        <v>0</v>
      </c>
      <c r="M163" s="12">
        <f t="shared" si="30"/>
        <v>6740868.6165970759</v>
      </c>
    </row>
    <row r="164" spans="1:13" s="1" customFormat="1" ht="10.5" x14ac:dyDescent="0.2">
      <c r="A164" s="21" t="s">
        <v>237</v>
      </c>
      <c r="B164" s="19">
        <f t="shared" ref="B164:M164" si="35">B38-B163</f>
        <v>-910769.38</v>
      </c>
      <c r="C164" s="19">
        <f t="shared" si="35"/>
        <v>-1567.70235</v>
      </c>
      <c r="D164" s="19">
        <f t="shared" si="35"/>
        <v>-444292.08041933551</v>
      </c>
      <c r="E164" s="19">
        <f t="shared" si="35"/>
        <v>-10550.209923459288</v>
      </c>
      <c r="F164" s="19">
        <f t="shared" si="35"/>
        <v>-54214.294874735264</v>
      </c>
      <c r="G164" s="19">
        <f t="shared" si="35"/>
        <v>-147946.24949521516</v>
      </c>
      <c r="H164" s="19">
        <f t="shared" si="35"/>
        <v>-5.5918942619270391</v>
      </c>
      <c r="I164" s="19">
        <f t="shared" si="35"/>
        <v>-616368.44973232341</v>
      </c>
      <c r="J164" s="38">
        <f t="shared" si="35"/>
        <v>-117434.62120175653</v>
      </c>
      <c r="K164" s="19">
        <f t="shared" si="29"/>
        <v>-1390811.4975410867</v>
      </c>
      <c r="L164" s="38">
        <f t="shared" si="35"/>
        <v>0</v>
      </c>
      <c r="M164" s="19">
        <f t="shared" si="30"/>
        <v>-2303148.5798910866</v>
      </c>
    </row>
    <row r="165" spans="1:13" s="1" customFormat="1" ht="10.5" x14ac:dyDescent="0.2">
      <c r="A165" s="4" t="s">
        <v>303</v>
      </c>
      <c r="B165" s="5"/>
      <c r="C165" s="5"/>
      <c r="D165" s="5"/>
      <c r="E165" s="5"/>
      <c r="F165" s="5"/>
      <c r="G165" s="5"/>
      <c r="H165" s="5"/>
      <c r="I165" s="5"/>
      <c r="J165" s="35"/>
      <c r="K165" s="5">
        <f t="shared" si="29"/>
        <v>0</v>
      </c>
      <c r="L165" s="35"/>
      <c r="M165" s="5">
        <f t="shared" si="30"/>
        <v>0</v>
      </c>
    </row>
    <row r="166" spans="1:13" s="1" customFormat="1" ht="10.5" x14ac:dyDescent="0.25">
      <c r="A166" s="6" t="s">
        <v>483</v>
      </c>
      <c r="B166" s="5"/>
      <c r="C166" s="5"/>
      <c r="D166" s="5"/>
      <c r="E166" s="5"/>
      <c r="F166" s="5"/>
      <c r="G166" s="5"/>
      <c r="H166" s="5"/>
      <c r="I166" s="5"/>
      <c r="J166" s="35"/>
      <c r="K166" s="5">
        <f t="shared" si="29"/>
        <v>0</v>
      </c>
      <c r="L166" s="35"/>
      <c r="M166" s="5">
        <f t="shared" si="30"/>
        <v>0</v>
      </c>
    </row>
    <row r="167" spans="1:13" s="1" customFormat="1" ht="10.5" x14ac:dyDescent="0.25">
      <c r="A167" s="7" t="s">
        <v>484</v>
      </c>
      <c r="B167" s="5"/>
      <c r="C167" s="5"/>
      <c r="D167" s="5"/>
      <c r="E167" s="5"/>
      <c r="F167" s="5"/>
      <c r="G167" s="5"/>
      <c r="H167" s="5"/>
      <c r="I167" s="5"/>
      <c r="J167" s="35"/>
      <c r="K167" s="5">
        <f t="shared" si="29"/>
        <v>0</v>
      </c>
      <c r="L167" s="35"/>
      <c r="M167" s="5">
        <f t="shared" si="30"/>
        <v>0</v>
      </c>
    </row>
    <row r="168" spans="1:13" s="1" customFormat="1" ht="10" x14ac:dyDescent="0.2">
      <c r="A168" s="17" t="s">
        <v>485</v>
      </c>
      <c r="B168" s="10">
        <v>30.29</v>
      </c>
      <c r="C168" s="10">
        <v>0</v>
      </c>
      <c r="D168" s="10">
        <v>0</v>
      </c>
      <c r="E168" s="10">
        <v>0</v>
      </c>
      <c r="F168" s="10">
        <v>0</v>
      </c>
      <c r="G168" s="10">
        <v>7.2241794890296002E-2</v>
      </c>
      <c r="H168" s="10">
        <v>0</v>
      </c>
      <c r="I168" s="10">
        <v>0</v>
      </c>
      <c r="J168" s="36"/>
      <c r="K168" s="10">
        <f t="shared" si="29"/>
        <v>7.2241794890296002E-2</v>
      </c>
      <c r="L168" s="36"/>
      <c r="M168" s="10">
        <f t="shared" si="30"/>
        <v>30.362241794890295</v>
      </c>
    </row>
    <row r="169" spans="1:13" s="1" customFormat="1" ht="10" x14ac:dyDescent="0.2">
      <c r="A169" s="17" t="s">
        <v>486</v>
      </c>
      <c r="B169" s="10">
        <v>0</v>
      </c>
      <c r="C169" s="10">
        <v>0</v>
      </c>
      <c r="D169" s="10">
        <v>0</v>
      </c>
      <c r="E169" s="10">
        <v>0</v>
      </c>
      <c r="F169" s="10">
        <v>0</v>
      </c>
      <c r="G169" s="10">
        <v>165.63898630593241</v>
      </c>
      <c r="H169" s="10">
        <v>0</v>
      </c>
      <c r="I169" s="10">
        <v>0</v>
      </c>
      <c r="J169" s="36"/>
      <c r="K169" s="10">
        <f t="shared" si="29"/>
        <v>165.63898630593241</v>
      </c>
      <c r="L169" s="36"/>
      <c r="M169" s="10">
        <f t="shared" si="30"/>
        <v>165.63898630593241</v>
      </c>
    </row>
    <row r="170" spans="1:13" s="1" customFormat="1" ht="10.5" x14ac:dyDescent="0.25">
      <c r="A170" s="13" t="s">
        <v>487</v>
      </c>
      <c r="B170" s="12">
        <f t="shared" ref="B170:M170" si="36">SUM(B168:B169)</f>
        <v>30.29</v>
      </c>
      <c r="C170" s="12">
        <f t="shared" si="36"/>
        <v>0</v>
      </c>
      <c r="D170" s="12">
        <f t="shared" si="36"/>
        <v>0</v>
      </c>
      <c r="E170" s="12">
        <f t="shared" si="36"/>
        <v>0</v>
      </c>
      <c r="F170" s="12">
        <f t="shared" si="36"/>
        <v>0</v>
      </c>
      <c r="G170" s="12">
        <f t="shared" si="36"/>
        <v>165.71122810082269</v>
      </c>
      <c r="H170" s="12">
        <f t="shared" si="36"/>
        <v>0</v>
      </c>
      <c r="I170" s="12">
        <f t="shared" si="36"/>
        <v>0</v>
      </c>
      <c r="J170" s="37">
        <f t="shared" si="36"/>
        <v>0</v>
      </c>
      <c r="K170" s="12">
        <f t="shared" si="29"/>
        <v>165.71122810082269</v>
      </c>
      <c r="L170" s="37">
        <f t="shared" si="36"/>
        <v>0</v>
      </c>
      <c r="M170" s="12">
        <f t="shared" si="30"/>
        <v>196.00122810082269</v>
      </c>
    </row>
    <row r="171" spans="1:13" s="1" customFormat="1" ht="10.5" x14ac:dyDescent="0.25">
      <c r="A171" s="20" t="s">
        <v>488</v>
      </c>
      <c r="B171" s="12">
        <f t="shared" ref="B171:M171" si="37">SUM(B170)</f>
        <v>30.29</v>
      </c>
      <c r="C171" s="12">
        <f t="shared" si="37"/>
        <v>0</v>
      </c>
      <c r="D171" s="12">
        <f t="shared" si="37"/>
        <v>0</v>
      </c>
      <c r="E171" s="12">
        <f t="shared" si="37"/>
        <v>0</v>
      </c>
      <c r="F171" s="12">
        <f t="shared" si="37"/>
        <v>0</v>
      </c>
      <c r="G171" s="12">
        <f t="shared" si="37"/>
        <v>165.71122810082269</v>
      </c>
      <c r="H171" s="12">
        <f t="shared" si="37"/>
        <v>0</v>
      </c>
      <c r="I171" s="12">
        <f t="shared" si="37"/>
        <v>0</v>
      </c>
      <c r="J171" s="37">
        <f t="shared" si="37"/>
        <v>0</v>
      </c>
      <c r="K171" s="12">
        <f t="shared" si="29"/>
        <v>165.71122810082269</v>
      </c>
      <c r="L171" s="37">
        <f t="shared" si="37"/>
        <v>0</v>
      </c>
      <c r="M171" s="12">
        <f t="shared" si="30"/>
        <v>196.00122810082269</v>
      </c>
    </row>
    <row r="172" spans="1:13" s="1" customFormat="1" ht="10.5" x14ac:dyDescent="0.25">
      <c r="A172" s="6" t="s">
        <v>304</v>
      </c>
      <c r="B172" s="5"/>
      <c r="C172" s="5"/>
      <c r="D172" s="5"/>
      <c r="E172" s="5"/>
      <c r="F172" s="5"/>
      <c r="G172" s="5"/>
      <c r="H172" s="5"/>
      <c r="I172" s="5"/>
      <c r="J172" s="35"/>
      <c r="K172" s="5">
        <f t="shared" si="29"/>
        <v>0</v>
      </c>
      <c r="L172" s="35"/>
      <c r="M172" s="5">
        <f t="shared" si="30"/>
        <v>0</v>
      </c>
    </row>
    <row r="173" spans="1:13" s="1" customFormat="1" ht="10" x14ac:dyDescent="0.2">
      <c r="A173" s="22" t="s">
        <v>489</v>
      </c>
      <c r="B173" s="10">
        <v>0</v>
      </c>
      <c r="C173" s="10">
        <v>0</v>
      </c>
      <c r="D173" s="10">
        <v>0</v>
      </c>
      <c r="E173" s="10">
        <v>0</v>
      </c>
      <c r="F173" s="10">
        <v>0</v>
      </c>
      <c r="G173" s="10">
        <v>1702.830456095872</v>
      </c>
      <c r="H173" s="10">
        <v>0</v>
      </c>
      <c r="I173" s="10">
        <v>0</v>
      </c>
      <c r="J173" s="36"/>
      <c r="K173" s="10">
        <f t="shared" ref="K173:K204" si="38">SUM(D173:J173)</f>
        <v>1702.830456095872</v>
      </c>
      <c r="L173" s="36"/>
      <c r="M173" s="10">
        <f t="shared" ref="M173:M204" si="39">SUM(B173,K173,L173)+C173</f>
        <v>1702.830456095872</v>
      </c>
    </row>
    <row r="174" spans="1:13" s="1" customFormat="1" ht="10.5" x14ac:dyDescent="0.25">
      <c r="A174" s="7" t="s">
        <v>490</v>
      </c>
      <c r="B174" s="5"/>
      <c r="C174" s="5"/>
      <c r="D174" s="5"/>
      <c r="E174" s="5"/>
      <c r="F174" s="5"/>
      <c r="G174" s="5"/>
      <c r="H174" s="5"/>
      <c r="I174" s="5"/>
      <c r="J174" s="35"/>
      <c r="K174" s="5">
        <f t="shared" si="38"/>
        <v>0</v>
      </c>
      <c r="L174" s="35"/>
      <c r="M174" s="5">
        <f t="shared" si="39"/>
        <v>0</v>
      </c>
    </row>
    <row r="175" spans="1:13" s="1" customFormat="1" ht="10" x14ac:dyDescent="0.2">
      <c r="A175" s="17" t="s">
        <v>491</v>
      </c>
      <c r="B175" s="10">
        <v>0</v>
      </c>
      <c r="C175" s="10">
        <v>0</v>
      </c>
      <c r="D175" s="10">
        <v>0</v>
      </c>
      <c r="E175" s="10">
        <v>0</v>
      </c>
      <c r="F175" s="10">
        <v>0</v>
      </c>
      <c r="G175" s="10">
        <v>405.95228578186862</v>
      </c>
      <c r="H175" s="10">
        <v>0</v>
      </c>
      <c r="I175" s="10">
        <v>0</v>
      </c>
      <c r="J175" s="36"/>
      <c r="K175" s="10">
        <f t="shared" si="38"/>
        <v>405.95228578186862</v>
      </c>
      <c r="L175" s="36"/>
      <c r="M175" s="10">
        <f t="shared" si="39"/>
        <v>405.95228578186862</v>
      </c>
    </row>
    <row r="176" spans="1:13" s="1" customFormat="1" ht="10.5" x14ac:dyDescent="0.25">
      <c r="A176" s="13" t="s">
        <v>492</v>
      </c>
      <c r="B176" s="12">
        <f t="shared" ref="B176:M176" si="40">SUM(B175)</f>
        <v>0</v>
      </c>
      <c r="C176" s="12">
        <f t="shared" si="40"/>
        <v>0</v>
      </c>
      <c r="D176" s="12">
        <f t="shared" si="40"/>
        <v>0</v>
      </c>
      <c r="E176" s="12">
        <f t="shared" si="40"/>
        <v>0</v>
      </c>
      <c r="F176" s="12">
        <f t="shared" si="40"/>
        <v>0</v>
      </c>
      <c r="G176" s="12">
        <f t="shared" si="40"/>
        <v>405.95228578186862</v>
      </c>
      <c r="H176" s="12">
        <f t="shared" si="40"/>
        <v>0</v>
      </c>
      <c r="I176" s="12">
        <f t="shared" si="40"/>
        <v>0</v>
      </c>
      <c r="J176" s="37">
        <f t="shared" si="40"/>
        <v>0</v>
      </c>
      <c r="K176" s="12">
        <f t="shared" si="38"/>
        <v>405.95228578186862</v>
      </c>
      <c r="L176" s="37">
        <f t="shared" si="40"/>
        <v>0</v>
      </c>
      <c r="M176" s="12">
        <f t="shared" si="39"/>
        <v>405.95228578186862</v>
      </c>
    </row>
    <row r="177" spans="1:13" s="1" customFormat="1" ht="10" x14ac:dyDescent="0.2">
      <c r="A177" s="22" t="s">
        <v>305</v>
      </c>
      <c r="B177" s="10">
        <v>-0.01</v>
      </c>
      <c r="C177" s="10">
        <v>0</v>
      </c>
      <c r="D177" s="10">
        <v>3.1494096152383229</v>
      </c>
      <c r="E177" s="10">
        <v>0</v>
      </c>
      <c r="F177" s="10">
        <v>2.3762830176017019E-2</v>
      </c>
      <c r="G177" s="10">
        <v>-1.3870329566200001E-4</v>
      </c>
      <c r="H177" s="10">
        <v>0</v>
      </c>
      <c r="I177" s="10">
        <v>0</v>
      </c>
      <c r="J177" s="36"/>
      <c r="K177" s="10">
        <f t="shared" si="38"/>
        <v>3.1730337421186778</v>
      </c>
      <c r="L177" s="36"/>
      <c r="M177" s="10">
        <f t="shared" si="39"/>
        <v>3.163033742118678</v>
      </c>
    </row>
    <row r="178" spans="1:13" s="1" customFormat="1" ht="10" x14ac:dyDescent="0.2">
      <c r="A178" s="22" t="s">
        <v>306</v>
      </c>
      <c r="B178" s="10">
        <v>279.01</v>
      </c>
      <c r="C178" s="10">
        <v>0</v>
      </c>
      <c r="D178" s="10">
        <v>26313.34686127778</v>
      </c>
      <c r="E178" s="10">
        <v>0</v>
      </c>
      <c r="F178" s="10">
        <v>-701.39738465745165</v>
      </c>
      <c r="G178" s="10">
        <v>0</v>
      </c>
      <c r="H178" s="10">
        <v>0</v>
      </c>
      <c r="I178" s="10">
        <v>0</v>
      </c>
      <c r="J178" s="36"/>
      <c r="K178" s="10">
        <f t="shared" si="38"/>
        <v>25611.949476620328</v>
      </c>
      <c r="L178" s="36"/>
      <c r="M178" s="10">
        <f t="shared" si="39"/>
        <v>25890.959476620326</v>
      </c>
    </row>
    <row r="179" spans="1:13" s="1" customFormat="1" ht="10.5" x14ac:dyDescent="0.25">
      <c r="A179" s="20" t="s">
        <v>307</v>
      </c>
      <c r="B179" s="12">
        <f t="shared" ref="B179:M179" si="41">SUM(B173,B176:B178)</f>
        <v>279</v>
      </c>
      <c r="C179" s="12">
        <f t="shared" si="41"/>
        <v>0</v>
      </c>
      <c r="D179" s="12">
        <f t="shared" si="41"/>
        <v>26316.496270893018</v>
      </c>
      <c r="E179" s="12">
        <f t="shared" si="41"/>
        <v>0</v>
      </c>
      <c r="F179" s="12">
        <f t="shared" si="41"/>
        <v>-701.37362182727566</v>
      </c>
      <c r="G179" s="12">
        <f t="shared" si="41"/>
        <v>2108.7826031744448</v>
      </c>
      <c r="H179" s="12">
        <f t="shared" si="41"/>
        <v>0</v>
      </c>
      <c r="I179" s="12">
        <f t="shared" si="41"/>
        <v>0</v>
      </c>
      <c r="J179" s="37">
        <f t="shared" si="41"/>
        <v>0</v>
      </c>
      <c r="K179" s="12">
        <f t="shared" si="38"/>
        <v>27723.905252240187</v>
      </c>
      <c r="L179" s="37">
        <f t="shared" si="41"/>
        <v>0</v>
      </c>
      <c r="M179" s="12">
        <f t="shared" si="39"/>
        <v>28002.905252240187</v>
      </c>
    </row>
    <row r="180" spans="1:13" s="1" customFormat="1" ht="10.5" x14ac:dyDescent="0.2">
      <c r="A180" s="21" t="s">
        <v>308</v>
      </c>
      <c r="B180" s="19">
        <f t="shared" ref="B180:M180" si="42">B171-B179</f>
        <v>-248.71</v>
      </c>
      <c r="C180" s="19">
        <f t="shared" si="42"/>
        <v>0</v>
      </c>
      <c r="D180" s="19">
        <f t="shared" si="42"/>
        <v>-26316.496270893018</v>
      </c>
      <c r="E180" s="19">
        <f t="shared" si="42"/>
        <v>0</v>
      </c>
      <c r="F180" s="19">
        <f t="shared" si="42"/>
        <v>701.37362182727566</v>
      </c>
      <c r="G180" s="19">
        <f t="shared" si="42"/>
        <v>-1943.0713750736222</v>
      </c>
      <c r="H180" s="19">
        <f t="shared" si="42"/>
        <v>0</v>
      </c>
      <c r="I180" s="19">
        <f t="shared" si="42"/>
        <v>0</v>
      </c>
      <c r="J180" s="38">
        <f t="shared" si="42"/>
        <v>0</v>
      </c>
      <c r="K180" s="19">
        <f t="shared" si="38"/>
        <v>-27558.194024139364</v>
      </c>
      <c r="L180" s="38">
        <f t="shared" si="42"/>
        <v>0</v>
      </c>
      <c r="M180" s="19">
        <f t="shared" si="39"/>
        <v>-27806.904024139363</v>
      </c>
    </row>
    <row r="181" spans="1:13" s="1" customFormat="1" ht="10.5" x14ac:dyDescent="0.2">
      <c r="A181" s="21" t="s">
        <v>186</v>
      </c>
      <c r="B181" s="19">
        <f t="shared" ref="B181:M181" si="43">B164+B180</f>
        <v>-911018.09</v>
      </c>
      <c r="C181" s="19">
        <f t="shared" si="43"/>
        <v>-1567.70235</v>
      </c>
      <c r="D181" s="19">
        <f t="shared" si="43"/>
        <v>-470608.57669022854</v>
      </c>
      <c r="E181" s="19">
        <f t="shared" si="43"/>
        <v>-10550.209923459288</v>
      </c>
      <c r="F181" s="19">
        <f t="shared" si="43"/>
        <v>-53512.921252907989</v>
      </c>
      <c r="G181" s="19">
        <f t="shared" si="43"/>
        <v>-149889.32087028879</v>
      </c>
      <c r="H181" s="19">
        <f t="shared" si="43"/>
        <v>-5.5918942619270391</v>
      </c>
      <c r="I181" s="19">
        <f t="shared" si="43"/>
        <v>-616368.44973232341</v>
      </c>
      <c r="J181" s="38">
        <f t="shared" si="43"/>
        <v>-117434.62120175653</v>
      </c>
      <c r="K181" s="19">
        <f t="shared" si="38"/>
        <v>-1418369.6915652263</v>
      </c>
      <c r="L181" s="38">
        <f t="shared" si="43"/>
        <v>0</v>
      </c>
      <c r="M181" s="19">
        <f t="shared" si="39"/>
        <v>-2330955.4839152261</v>
      </c>
    </row>
  </sheetData>
  <mergeCells count="12">
    <mergeCell ref="B7:M7"/>
    <mergeCell ref="B8:B10"/>
    <mergeCell ref="D8:K8"/>
    <mergeCell ref="C9:C10"/>
    <mergeCell ref="D9:D10"/>
    <mergeCell ref="M9:M10"/>
    <mergeCell ref="A1:M1"/>
    <mergeCell ref="A2:M2"/>
    <mergeCell ref="A3:M3"/>
    <mergeCell ref="A4:M4"/>
    <mergeCell ref="A5:M5"/>
    <mergeCell ref="A6:M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D7F9D-B143-4091-A1DC-DE8E8FED2F74}">
  <sheetPr codeName="Sheet7"/>
  <dimension ref="A1:B4"/>
  <sheetViews>
    <sheetView workbookViewId="0"/>
  </sheetViews>
  <sheetFormatPr defaultRowHeight="14.5" x14ac:dyDescent="0.35"/>
  <cols>
    <col min="1" max="1" width="27.90625" bestFit="1" customWidth="1"/>
    <col min="2" max="2" width="1.81640625" bestFit="1" customWidth="1"/>
  </cols>
  <sheetData>
    <row r="1" spans="1:2" x14ac:dyDescent="0.35">
      <c r="A1" t="s">
        <v>337</v>
      </c>
    </row>
    <row r="2" spans="1:2" x14ac:dyDescent="0.35">
      <c r="A2" t="s">
        <v>338</v>
      </c>
    </row>
    <row r="3" spans="1:2" x14ac:dyDescent="0.35">
      <c r="A3" t="s">
        <v>339</v>
      </c>
    </row>
    <row r="4" spans="1:2" x14ac:dyDescent="0.35">
      <c r="A4" t="s">
        <v>340</v>
      </c>
      <c r="B4">
        <f>B1-B2-B3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796E6-11B1-4CD6-AF59-0EB10E5B11F2}">
  <sheetPr codeName="Sheet6"/>
  <dimension ref="A1:D7"/>
  <sheetViews>
    <sheetView workbookViewId="0"/>
  </sheetViews>
  <sheetFormatPr defaultRowHeight="14.5" x14ac:dyDescent="0.35"/>
  <cols>
    <col min="1" max="1" width="28.90625" bestFit="1" customWidth="1"/>
    <col min="2" max="2" width="19.7265625" bestFit="1" customWidth="1"/>
    <col min="3" max="3" width="12.7265625" bestFit="1" customWidth="1"/>
    <col min="4" max="4" width="23.1796875" bestFit="1" customWidth="1"/>
  </cols>
  <sheetData>
    <row r="1" spans="1:4" x14ac:dyDescent="0.35">
      <c r="A1" t="s">
        <v>0</v>
      </c>
      <c r="B1" t="s">
        <v>5</v>
      </c>
      <c r="C1" t="s">
        <v>350</v>
      </c>
      <c r="D1" t="s">
        <v>319</v>
      </c>
    </row>
    <row r="2" spans="1:4" x14ac:dyDescent="0.35">
      <c r="A2" t="s">
        <v>1</v>
      </c>
      <c r="B2">
        <v>622509.26027021138</v>
      </c>
      <c r="C2">
        <v>104663.69744564702</v>
      </c>
      <c r="D2">
        <v>0</v>
      </c>
    </row>
    <row r="3" spans="1:4" x14ac:dyDescent="0.35">
      <c r="A3" t="s">
        <v>2</v>
      </c>
      <c r="B3">
        <v>196116.7129701245</v>
      </c>
      <c r="C3">
        <v>65998.709865960147</v>
      </c>
      <c r="D3">
        <v>0</v>
      </c>
    </row>
    <row r="4" spans="1:4" x14ac:dyDescent="0.35">
      <c r="A4" t="s">
        <v>311</v>
      </c>
      <c r="B4">
        <v>180079.12999999998</v>
      </c>
      <c r="C4">
        <v>40334.568682528261</v>
      </c>
      <c r="D4">
        <v>-10829.265751499999</v>
      </c>
    </row>
    <row r="5" spans="1:4" x14ac:dyDescent="0.35">
      <c r="A5" t="s">
        <v>310</v>
      </c>
      <c r="B5">
        <v>0.2</v>
      </c>
      <c r="C5">
        <v>0.43666590987951698</v>
      </c>
      <c r="D5">
        <v>0.2</v>
      </c>
    </row>
    <row r="6" spans="1:4" x14ac:dyDescent="0.35">
      <c r="A6" t="s">
        <v>3</v>
      </c>
      <c r="B6">
        <f t="shared" ref="B6:D6" si="0">B5 * B4</f>
        <v>36015.825999999994</v>
      </c>
      <c r="C6">
        <f t="shared" si="0"/>
        <v>17612.731133354075</v>
      </c>
      <c r="D6">
        <f t="shared" si="0"/>
        <v>-2165.8531502999999</v>
      </c>
    </row>
    <row r="7" spans="1:4" x14ac:dyDescent="0.35">
      <c r="A7" t="s">
        <v>4</v>
      </c>
      <c r="B7">
        <f t="shared" ref="B7:D7" si="1">B6</f>
        <v>36015.825999999994</v>
      </c>
      <c r="C7">
        <f t="shared" si="1"/>
        <v>17612.731133354075</v>
      </c>
      <c r="D7">
        <f t="shared" si="1"/>
        <v>-2165.8531502999999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FC09-6212-4E28-BF7C-DA122B009DDC}">
  <sheetPr codeName="Sheet4"/>
  <dimension ref="A1:H820"/>
  <sheetViews>
    <sheetView workbookViewId="0">
      <selection sqref="A1:H1"/>
    </sheetView>
  </sheetViews>
  <sheetFormatPr defaultRowHeight="10" x14ac:dyDescent="0.2"/>
  <cols>
    <col min="1" max="1" width="32.1796875" style="1" bestFit="1" customWidth="1"/>
    <col min="2" max="2" width="13.7265625" style="1" bestFit="1" customWidth="1"/>
    <col min="3" max="3" width="8.08984375" style="1" bestFit="1" customWidth="1"/>
    <col min="4" max="4" width="24.453125" style="1" bestFit="1" customWidth="1"/>
    <col min="5" max="5" width="34.6328125" style="1" bestFit="1" customWidth="1"/>
    <col min="6" max="6" width="2.453125" style="1" bestFit="1" customWidth="1"/>
    <col min="7" max="7" width="42" style="1" bestFit="1" customWidth="1"/>
    <col min="8" max="8" width="11" style="1" bestFit="1" customWidth="1"/>
    <col min="9" max="16384" width="8.7265625" style="1"/>
  </cols>
  <sheetData>
    <row r="1" spans="1:8" ht="15.5" x14ac:dyDescent="0.35">
      <c r="A1" s="43" t="s">
        <v>5</v>
      </c>
      <c r="B1" s="43"/>
      <c r="C1" s="43"/>
      <c r="D1" s="43"/>
      <c r="E1" s="43"/>
      <c r="F1" s="43"/>
      <c r="G1" s="43"/>
      <c r="H1" s="43"/>
    </row>
    <row r="2" spans="1:8" ht="15.5" x14ac:dyDescent="0.35">
      <c r="A2" s="43" t="s">
        <v>6</v>
      </c>
      <c r="B2" s="43"/>
      <c r="C2" s="43"/>
      <c r="D2" s="43"/>
      <c r="E2" s="43"/>
      <c r="F2" s="43"/>
      <c r="G2" s="43"/>
      <c r="H2" s="43"/>
    </row>
    <row r="3" spans="1:8" ht="18" x14ac:dyDescent="0.4">
      <c r="A3" s="42" t="s">
        <v>224</v>
      </c>
      <c r="B3" s="42"/>
      <c r="C3" s="42"/>
      <c r="D3" s="42"/>
      <c r="E3" s="42"/>
      <c r="F3" s="42"/>
      <c r="G3" s="42"/>
      <c r="H3" s="42"/>
    </row>
    <row r="4" spans="1:8" ht="18" x14ac:dyDescent="0.4">
      <c r="A4" s="42" t="s">
        <v>430</v>
      </c>
      <c r="B4" s="42"/>
      <c r="C4" s="42"/>
      <c r="D4" s="42"/>
      <c r="E4" s="42"/>
      <c r="F4" s="42"/>
      <c r="G4" s="42"/>
      <c r="H4" s="42"/>
    </row>
    <row r="5" spans="1:8" ht="18" x14ac:dyDescent="0.4">
      <c r="A5" s="42" t="s">
        <v>8</v>
      </c>
      <c r="B5" s="42"/>
      <c r="C5" s="42"/>
      <c r="D5" s="42"/>
      <c r="E5" s="42"/>
      <c r="F5" s="42"/>
      <c r="G5" s="42"/>
      <c r="H5" s="42"/>
    </row>
    <row r="6" spans="1:8" ht="18" x14ac:dyDescent="0.4">
      <c r="A6" s="42" t="s">
        <v>8</v>
      </c>
      <c r="B6" s="42"/>
      <c r="C6" s="42"/>
      <c r="D6" s="42"/>
      <c r="E6" s="42"/>
      <c r="F6" s="42"/>
      <c r="G6" s="42"/>
      <c r="H6" s="42"/>
    </row>
    <row r="7" spans="1:8" x14ac:dyDescent="0.2">
      <c r="A7" s="2" t="s">
        <v>9</v>
      </c>
      <c r="B7" s="2" t="s">
        <v>225</v>
      </c>
      <c r="C7" s="2" t="s">
        <v>226</v>
      </c>
      <c r="D7" s="2" t="s">
        <v>227</v>
      </c>
      <c r="E7" s="2" t="s">
        <v>228</v>
      </c>
      <c r="F7" s="2" t="s">
        <v>229</v>
      </c>
      <c r="G7" s="2" t="s">
        <v>230</v>
      </c>
      <c r="H7" s="3" t="s">
        <v>11</v>
      </c>
    </row>
    <row r="8" spans="1:8" ht="10.5" x14ac:dyDescent="0.2">
      <c r="A8" s="4" t="s">
        <v>231</v>
      </c>
      <c r="B8" s="4"/>
      <c r="C8" s="23"/>
      <c r="D8" s="4"/>
      <c r="E8" s="4"/>
      <c r="F8" s="4"/>
      <c r="G8" s="4"/>
      <c r="H8" s="5"/>
    </row>
    <row r="9" spans="1:8" ht="10.5" x14ac:dyDescent="0.25">
      <c r="A9" s="6" t="s">
        <v>232</v>
      </c>
      <c r="B9" s="4"/>
      <c r="C9" s="23"/>
      <c r="D9" s="4"/>
      <c r="E9" s="4"/>
      <c r="F9" s="4"/>
      <c r="G9" s="4"/>
      <c r="H9" s="5"/>
    </row>
    <row r="10" spans="1:8" ht="10.5" x14ac:dyDescent="0.25">
      <c r="A10" s="7" t="s">
        <v>233</v>
      </c>
      <c r="B10" s="4"/>
      <c r="C10" s="23"/>
      <c r="D10" s="4"/>
      <c r="E10" s="4"/>
      <c r="F10" s="4"/>
      <c r="G10" s="4"/>
      <c r="H10" s="5"/>
    </row>
    <row r="11" spans="1:8" ht="10.5" x14ac:dyDescent="0.25">
      <c r="A11" s="8" t="s">
        <v>2</v>
      </c>
      <c r="B11" s="4"/>
      <c r="C11" s="23"/>
      <c r="D11" s="4"/>
      <c r="E11" s="4"/>
      <c r="F11" s="4"/>
      <c r="G11" s="4"/>
      <c r="H11" s="5"/>
    </row>
    <row r="12" spans="1:8" x14ac:dyDescent="0.2">
      <c r="A12" s="9"/>
      <c r="B12" s="24" t="s">
        <v>342</v>
      </c>
      <c r="C12" s="25">
        <v>44197</v>
      </c>
      <c r="D12" s="24" t="s">
        <v>493</v>
      </c>
      <c r="E12" s="24" t="s">
        <v>494</v>
      </c>
      <c r="F12" s="24" t="s">
        <v>333</v>
      </c>
      <c r="G12" s="24" t="s">
        <v>343</v>
      </c>
      <c r="H12" s="10">
        <v>1155.1517382673469</v>
      </c>
    </row>
    <row r="13" spans="1:8" x14ac:dyDescent="0.2">
      <c r="A13" s="9"/>
      <c r="B13" s="24" t="s">
        <v>495</v>
      </c>
      <c r="C13" s="25">
        <v>44197</v>
      </c>
      <c r="D13" s="24" t="s">
        <v>496</v>
      </c>
      <c r="E13" s="24"/>
      <c r="F13" s="24" t="s">
        <v>333</v>
      </c>
      <c r="G13" s="24" t="s">
        <v>497</v>
      </c>
      <c r="H13" s="10">
        <v>-114.38540861418045</v>
      </c>
    </row>
    <row r="14" spans="1:8" x14ac:dyDescent="0.2">
      <c r="A14" s="9"/>
      <c r="B14" s="24" t="s">
        <v>498</v>
      </c>
      <c r="C14" s="25">
        <v>44197</v>
      </c>
      <c r="D14" s="24" t="s">
        <v>499</v>
      </c>
      <c r="E14" s="24" t="s">
        <v>500</v>
      </c>
      <c r="F14" s="24" t="s">
        <v>333</v>
      </c>
      <c r="G14" s="24" t="s">
        <v>501</v>
      </c>
      <c r="H14" s="10">
        <v>31.035076701449391</v>
      </c>
    </row>
    <row r="15" spans="1:8" x14ac:dyDescent="0.2">
      <c r="A15" s="9"/>
      <c r="B15" s="24" t="s">
        <v>334</v>
      </c>
      <c r="C15" s="25">
        <v>44201</v>
      </c>
      <c r="D15" s="24" t="s">
        <v>502</v>
      </c>
      <c r="E15" s="24" t="s">
        <v>344</v>
      </c>
      <c r="F15" s="24" t="s">
        <v>333</v>
      </c>
      <c r="G15" s="24" t="s">
        <v>345</v>
      </c>
      <c r="H15" s="10">
        <v>341.84201050952737</v>
      </c>
    </row>
    <row r="16" spans="1:8" x14ac:dyDescent="0.2">
      <c r="A16" s="9"/>
      <c r="B16" s="24" t="s">
        <v>334</v>
      </c>
      <c r="C16" s="25">
        <v>44202</v>
      </c>
      <c r="D16" s="24" t="s">
        <v>503</v>
      </c>
      <c r="E16" s="24" t="s">
        <v>504</v>
      </c>
      <c r="F16" s="24" t="s">
        <v>333</v>
      </c>
      <c r="G16" s="24" t="s">
        <v>345</v>
      </c>
      <c r="H16" s="10">
        <v>19.22648357557501</v>
      </c>
    </row>
    <row r="17" spans="1:8" x14ac:dyDescent="0.2">
      <c r="A17" s="9"/>
      <c r="B17" s="24" t="s">
        <v>334</v>
      </c>
      <c r="C17" s="25">
        <v>44203</v>
      </c>
      <c r="D17" s="24" t="s">
        <v>505</v>
      </c>
      <c r="E17" s="24" t="s">
        <v>506</v>
      </c>
      <c r="F17" s="24" t="s">
        <v>333</v>
      </c>
      <c r="G17" s="24" t="s">
        <v>345</v>
      </c>
      <c r="H17" s="10">
        <v>189.55122446628604</v>
      </c>
    </row>
    <row r="18" spans="1:8" x14ac:dyDescent="0.2">
      <c r="A18" s="9"/>
      <c r="B18" s="24" t="s">
        <v>334</v>
      </c>
      <c r="C18" s="25">
        <v>44203</v>
      </c>
      <c r="D18" s="24" t="s">
        <v>507</v>
      </c>
      <c r="E18" s="24" t="s">
        <v>508</v>
      </c>
      <c r="F18" s="24" t="s">
        <v>333</v>
      </c>
      <c r="G18" s="24" t="s">
        <v>345</v>
      </c>
      <c r="H18" s="10">
        <v>252.37801858064918</v>
      </c>
    </row>
    <row r="19" spans="1:8" x14ac:dyDescent="0.2">
      <c r="A19" s="9"/>
      <c r="B19" s="24" t="s">
        <v>334</v>
      </c>
      <c r="C19" s="25">
        <v>44203</v>
      </c>
      <c r="D19" s="24" t="s">
        <v>509</v>
      </c>
      <c r="E19" s="24" t="s">
        <v>510</v>
      </c>
      <c r="F19" s="24" t="s">
        <v>333</v>
      </c>
      <c r="G19" s="24" t="s">
        <v>345</v>
      </c>
      <c r="H19" s="10">
        <v>75.530875666831705</v>
      </c>
    </row>
    <row r="20" spans="1:8" x14ac:dyDescent="0.2">
      <c r="A20" s="9"/>
      <c r="B20" s="24" t="s">
        <v>334</v>
      </c>
      <c r="C20" s="25">
        <v>44204</v>
      </c>
      <c r="D20" s="24" t="s">
        <v>511</v>
      </c>
      <c r="E20" s="24" t="s">
        <v>346</v>
      </c>
      <c r="F20" s="24" t="s">
        <v>333</v>
      </c>
      <c r="G20" s="24" t="s">
        <v>335</v>
      </c>
      <c r="H20" s="10">
        <v>12.314684416760704</v>
      </c>
    </row>
    <row r="21" spans="1:8" x14ac:dyDescent="0.2">
      <c r="A21" s="9"/>
      <c r="B21" s="24" t="s">
        <v>334</v>
      </c>
      <c r="C21" s="25">
        <v>44207</v>
      </c>
      <c r="D21" s="24" t="s">
        <v>512</v>
      </c>
      <c r="E21" s="24" t="s">
        <v>504</v>
      </c>
      <c r="F21" s="24" t="s">
        <v>333</v>
      </c>
      <c r="G21" s="24" t="s">
        <v>345</v>
      </c>
      <c r="H21" s="10">
        <v>59.687279707718623</v>
      </c>
    </row>
    <row r="22" spans="1:8" x14ac:dyDescent="0.2">
      <c r="A22" s="9"/>
      <c r="B22" s="24" t="s">
        <v>498</v>
      </c>
      <c r="C22" s="25">
        <v>44207</v>
      </c>
      <c r="D22" s="24" t="s">
        <v>513</v>
      </c>
      <c r="E22" s="24"/>
      <c r="F22" s="24" t="s">
        <v>333</v>
      </c>
      <c r="G22" s="24" t="s">
        <v>335</v>
      </c>
      <c r="H22" s="10">
        <v>5.2446926715650823</v>
      </c>
    </row>
    <row r="23" spans="1:8" x14ac:dyDescent="0.2">
      <c r="A23" s="9"/>
      <c r="B23" s="24" t="s">
        <v>342</v>
      </c>
      <c r="C23" s="25">
        <v>44209</v>
      </c>
      <c r="D23" s="24" t="s">
        <v>514</v>
      </c>
      <c r="E23" s="24" t="s">
        <v>515</v>
      </c>
      <c r="F23" s="24" t="s">
        <v>333</v>
      </c>
      <c r="G23" s="24" t="s">
        <v>343</v>
      </c>
      <c r="H23" s="10">
        <v>547.58972208916168</v>
      </c>
    </row>
    <row r="24" spans="1:8" x14ac:dyDescent="0.2">
      <c r="A24" s="9"/>
      <c r="B24" s="24" t="s">
        <v>342</v>
      </c>
      <c r="C24" s="25">
        <v>44209</v>
      </c>
      <c r="D24" s="24" t="s">
        <v>516</v>
      </c>
      <c r="E24" s="24" t="s">
        <v>517</v>
      </c>
      <c r="F24" s="24" t="s">
        <v>333</v>
      </c>
      <c r="G24" s="24" t="s">
        <v>343</v>
      </c>
      <c r="H24" s="10">
        <v>1689.6019425057061</v>
      </c>
    </row>
    <row r="25" spans="1:8" x14ac:dyDescent="0.2">
      <c r="A25" s="9"/>
      <c r="B25" s="24" t="s">
        <v>334</v>
      </c>
      <c r="C25" s="25">
        <v>44211</v>
      </c>
      <c r="D25" s="24" t="s">
        <v>518</v>
      </c>
      <c r="E25" s="24" t="s">
        <v>421</v>
      </c>
      <c r="F25" s="24" t="s">
        <v>333</v>
      </c>
      <c r="G25" s="24" t="s">
        <v>345</v>
      </c>
      <c r="H25" s="10">
        <v>36859.189012018782</v>
      </c>
    </row>
    <row r="26" spans="1:8" x14ac:dyDescent="0.2">
      <c r="A26" s="9"/>
      <c r="B26" s="24" t="s">
        <v>334</v>
      </c>
      <c r="C26" s="25">
        <v>44211</v>
      </c>
      <c r="D26" s="24" t="s">
        <v>519</v>
      </c>
      <c r="E26" s="24" t="s">
        <v>346</v>
      </c>
      <c r="F26" s="24" t="s">
        <v>333</v>
      </c>
      <c r="G26" s="24" t="s">
        <v>345</v>
      </c>
      <c r="H26" s="10">
        <v>51.096205401164219</v>
      </c>
    </row>
    <row r="27" spans="1:8" x14ac:dyDescent="0.2">
      <c r="A27" s="9"/>
      <c r="B27" s="24" t="s">
        <v>334</v>
      </c>
      <c r="C27" s="25">
        <v>44211</v>
      </c>
      <c r="D27" s="24" t="s">
        <v>520</v>
      </c>
      <c r="E27" s="24" t="s">
        <v>521</v>
      </c>
      <c r="F27" s="24" t="s">
        <v>333</v>
      </c>
      <c r="G27" s="24" t="s">
        <v>345</v>
      </c>
      <c r="H27" s="10">
        <v>5649.3128015470093</v>
      </c>
    </row>
    <row r="28" spans="1:8" x14ac:dyDescent="0.2">
      <c r="A28" s="9"/>
      <c r="B28" s="24" t="s">
        <v>334</v>
      </c>
      <c r="C28" s="25">
        <v>44211</v>
      </c>
      <c r="D28" s="24" t="s">
        <v>522</v>
      </c>
      <c r="E28" s="24" t="s">
        <v>346</v>
      </c>
      <c r="F28" s="24" t="s">
        <v>333</v>
      </c>
      <c r="G28" s="24" t="s">
        <v>345</v>
      </c>
      <c r="H28" s="10">
        <v>349.98284437791955</v>
      </c>
    </row>
    <row r="29" spans="1:8" x14ac:dyDescent="0.2">
      <c r="A29" s="9"/>
      <c r="B29" s="24" t="s">
        <v>334</v>
      </c>
      <c r="C29" s="25">
        <v>44215</v>
      </c>
      <c r="D29" s="24" t="s">
        <v>523</v>
      </c>
      <c r="E29" s="24" t="s">
        <v>504</v>
      </c>
      <c r="F29" s="24" t="s">
        <v>333</v>
      </c>
      <c r="G29" s="24" t="s">
        <v>345</v>
      </c>
      <c r="H29" s="10">
        <v>31.504662010863104</v>
      </c>
    </row>
    <row r="30" spans="1:8" x14ac:dyDescent="0.2">
      <c r="A30" s="9"/>
      <c r="B30" s="24" t="s">
        <v>498</v>
      </c>
      <c r="C30" s="25">
        <v>44215</v>
      </c>
      <c r="D30" s="24" t="s">
        <v>524</v>
      </c>
      <c r="E30" s="24"/>
      <c r="F30" s="24" t="s">
        <v>333</v>
      </c>
      <c r="G30" s="24" t="s">
        <v>335</v>
      </c>
      <c r="H30" s="10">
        <v>24.166959734868335</v>
      </c>
    </row>
    <row r="31" spans="1:8" x14ac:dyDescent="0.2">
      <c r="A31" s="9"/>
      <c r="B31" s="24" t="s">
        <v>498</v>
      </c>
      <c r="C31" s="25">
        <v>44216</v>
      </c>
      <c r="D31" s="24" t="s">
        <v>525</v>
      </c>
      <c r="E31" s="24" t="s">
        <v>526</v>
      </c>
      <c r="F31" s="24" t="s">
        <v>333</v>
      </c>
      <c r="G31" s="24" t="s">
        <v>501</v>
      </c>
      <c r="H31" s="10">
        <v>255.74873753662027</v>
      </c>
    </row>
    <row r="32" spans="1:8" x14ac:dyDescent="0.2">
      <c r="A32" s="9"/>
      <c r="B32" s="24" t="s">
        <v>334</v>
      </c>
      <c r="C32" s="25">
        <v>44217</v>
      </c>
      <c r="D32" s="24" t="s">
        <v>527</v>
      </c>
      <c r="E32" s="24" t="s">
        <v>504</v>
      </c>
      <c r="F32" s="24" t="s">
        <v>333</v>
      </c>
      <c r="G32" s="24" t="s">
        <v>345</v>
      </c>
      <c r="H32" s="10">
        <v>22.621539852527814</v>
      </c>
    </row>
    <row r="33" spans="1:8" x14ac:dyDescent="0.2">
      <c r="A33" s="9"/>
      <c r="B33" s="24" t="s">
        <v>334</v>
      </c>
      <c r="C33" s="25">
        <v>44217</v>
      </c>
      <c r="D33" s="24" t="s">
        <v>528</v>
      </c>
      <c r="E33" s="24" t="s">
        <v>508</v>
      </c>
      <c r="F33" s="24" t="s">
        <v>333</v>
      </c>
      <c r="G33" s="24" t="s">
        <v>345</v>
      </c>
      <c r="H33" s="10">
        <v>61.34221753447698</v>
      </c>
    </row>
    <row r="34" spans="1:8" x14ac:dyDescent="0.2">
      <c r="A34" s="9"/>
      <c r="B34" s="24" t="s">
        <v>334</v>
      </c>
      <c r="C34" s="25">
        <v>44218</v>
      </c>
      <c r="D34" s="24" t="s">
        <v>529</v>
      </c>
      <c r="E34" s="24" t="s">
        <v>421</v>
      </c>
      <c r="F34" s="24" t="s">
        <v>333</v>
      </c>
      <c r="G34" s="24" t="s">
        <v>345</v>
      </c>
      <c r="H34" s="10">
        <v>9285.8318086201507</v>
      </c>
    </row>
    <row r="35" spans="1:8" x14ac:dyDescent="0.2">
      <c r="A35" s="9"/>
      <c r="B35" s="24" t="s">
        <v>334</v>
      </c>
      <c r="C35" s="25">
        <v>44218</v>
      </c>
      <c r="D35" s="24" t="s">
        <v>530</v>
      </c>
      <c r="E35" s="24" t="s">
        <v>531</v>
      </c>
      <c r="F35" s="24" t="s">
        <v>333</v>
      </c>
      <c r="G35" s="24" t="s">
        <v>345</v>
      </c>
      <c r="H35" s="10">
        <v>910.34965998249504</v>
      </c>
    </row>
    <row r="36" spans="1:8" x14ac:dyDescent="0.2">
      <c r="A36" s="9"/>
      <c r="B36" s="24" t="s">
        <v>334</v>
      </c>
      <c r="C36" s="25">
        <v>44221</v>
      </c>
      <c r="D36" s="24" t="s">
        <v>532</v>
      </c>
      <c r="E36" s="24" t="s">
        <v>533</v>
      </c>
      <c r="F36" s="24" t="s">
        <v>333</v>
      </c>
      <c r="G36" s="24" t="s">
        <v>345</v>
      </c>
      <c r="H36" s="10">
        <v>2552.7659350957447</v>
      </c>
    </row>
    <row r="37" spans="1:8" x14ac:dyDescent="0.2">
      <c r="A37" s="9"/>
      <c r="B37" s="24" t="s">
        <v>334</v>
      </c>
      <c r="C37" s="25">
        <v>44222</v>
      </c>
      <c r="D37" s="24" t="s">
        <v>534</v>
      </c>
      <c r="E37" s="24" t="s">
        <v>344</v>
      </c>
      <c r="F37" s="24" t="s">
        <v>333</v>
      </c>
      <c r="G37" s="24" t="s">
        <v>345</v>
      </c>
      <c r="H37" s="10">
        <v>661.97513070334219</v>
      </c>
    </row>
    <row r="38" spans="1:8" x14ac:dyDescent="0.2">
      <c r="A38" s="9"/>
      <c r="B38" s="24" t="s">
        <v>334</v>
      </c>
      <c r="C38" s="25">
        <v>44222</v>
      </c>
      <c r="D38" s="24" t="s">
        <v>535</v>
      </c>
      <c r="E38" s="24" t="s">
        <v>420</v>
      </c>
      <c r="F38" s="24" t="s">
        <v>333</v>
      </c>
      <c r="G38" s="24" t="s">
        <v>345</v>
      </c>
      <c r="H38" s="10">
        <v>2592.6426355243266</v>
      </c>
    </row>
    <row r="39" spans="1:8" x14ac:dyDescent="0.2">
      <c r="A39" s="9"/>
      <c r="B39" s="24" t="s">
        <v>334</v>
      </c>
      <c r="C39" s="25">
        <v>44222</v>
      </c>
      <c r="D39" s="24" t="s">
        <v>536</v>
      </c>
      <c r="E39" s="24" t="s">
        <v>504</v>
      </c>
      <c r="F39" s="24" t="s">
        <v>333</v>
      </c>
      <c r="G39" s="24" t="s">
        <v>345</v>
      </c>
      <c r="H39" s="10">
        <v>86.653031355487116</v>
      </c>
    </row>
    <row r="40" spans="1:8" x14ac:dyDescent="0.2">
      <c r="A40" s="9"/>
      <c r="B40" s="24" t="s">
        <v>334</v>
      </c>
      <c r="C40" s="25">
        <v>44224</v>
      </c>
      <c r="D40" s="24" t="s">
        <v>537</v>
      </c>
      <c r="E40" s="24" t="s">
        <v>504</v>
      </c>
      <c r="F40" s="24" t="s">
        <v>333</v>
      </c>
      <c r="G40" s="24" t="s">
        <v>345</v>
      </c>
      <c r="H40" s="10">
        <v>21.684552994730804</v>
      </c>
    </row>
    <row r="41" spans="1:8" x14ac:dyDescent="0.2">
      <c r="A41" s="9"/>
      <c r="B41" s="24" t="s">
        <v>334</v>
      </c>
      <c r="C41" s="25">
        <v>44224</v>
      </c>
      <c r="D41" s="24" t="s">
        <v>538</v>
      </c>
      <c r="E41" s="24" t="s">
        <v>539</v>
      </c>
      <c r="F41" s="24" t="s">
        <v>333</v>
      </c>
      <c r="G41" s="24" t="s">
        <v>345</v>
      </c>
      <c r="H41" s="10">
        <v>10.842276497365402</v>
      </c>
    </row>
    <row r="42" spans="1:8" x14ac:dyDescent="0.2">
      <c r="A42" s="9"/>
      <c r="B42" s="24" t="s">
        <v>334</v>
      </c>
      <c r="C42" s="25">
        <v>44224</v>
      </c>
      <c r="D42" s="24" t="s">
        <v>540</v>
      </c>
      <c r="E42" s="24" t="s">
        <v>344</v>
      </c>
      <c r="F42" s="24" t="s">
        <v>333</v>
      </c>
      <c r="G42" s="24" t="s">
        <v>345</v>
      </c>
      <c r="H42" s="10">
        <v>755.47911791518925</v>
      </c>
    </row>
    <row r="43" spans="1:8" x14ac:dyDescent="0.2">
      <c r="A43" s="9"/>
      <c r="B43" s="24" t="s">
        <v>334</v>
      </c>
      <c r="C43" s="25">
        <v>44224</v>
      </c>
      <c r="D43" s="24" t="s">
        <v>541</v>
      </c>
      <c r="E43" s="24" t="s">
        <v>504</v>
      </c>
      <c r="F43" s="24" t="s">
        <v>333</v>
      </c>
      <c r="G43" s="24" t="s">
        <v>345</v>
      </c>
      <c r="H43" s="10">
        <v>38.319111885750452</v>
      </c>
    </row>
    <row r="44" spans="1:8" x14ac:dyDescent="0.2">
      <c r="A44" s="9"/>
      <c r="B44" s="24" t="s">
        <v>334</v>
      </c>
      <c r="C44" s="25">
        <v>44224</v>
      </c>
      <c r="D44" s="24" t="s">
        <v>542</v>
      </c>
      <c r="E44" s="24" t="s">
        <v>504</v>
      </c>
      <c r="F44" s="24" t="s">
        <v>333</v>
      </c>
      <c r="G44" s="24" t="s">
        <v>345</v>
      </c>
      <c r="H44" s="10">
        <v>55.37957389395055</v>
      </c>
    </row>
    <row r="45" spans="1:8" x14ac:dyDescent="0.2">
      <c r="A45" s="9"/>
      <c r="B45" s="24" t="s">
        <v>334</v>
      </c>
      <c r="C45" s="25">
        <v>44224</v>
      </c>
      <c r="D45" s="24" t="s">
        <v>543</v>
      </c>
      <c r="E45" s="24" t="s">
        <v>544</v>
      </c>
      <c r="F45" s="24" t="s">
        <v>333</v>
      </c>
      <c r="G45" s="24" t="s">
        <v>345</v>
      </c>
      <c r="H45" s="10">
        <v>1711.144869565685</v>
      </c>
    </row>
    <row r="46" spans="1:8" x14ac:dyDescent="0.2">
      <c r="A46" s="9"/>
      <c r="B46" s="24" t="s">
        <v>334</v>
      </c>
      <c r="C46" s="25">
        <v>44225</v>
      </c>
      <c r="D46" s="24" t="s">
        <v>545</v>
      </c>
      <c r="E46" s="24" t="s">
        <v>508</v>
      </c>
      <c r="F46" s="24" t="s">
        <v>333</v>
      </c>
      <c r="G46" s="24" t="s">
        <v>345</v>
      </c>
      <c r="H46" s="10">
        <v>12.119985848906779</v>
      </c>
    </row>
    <row r="47" spans="1:8" x14ac:dyDescent="0.2">
      <c r="A47" s="9"/>
      <c r="B47" s="24" t="s">
        <v>334</v>
      </c>
      <c r="C47" s="25">
        <v>44225</v>
      </c>
      <c r="D47" s="24" t="s">
        <v>546</v>
      </c>
      <c r="E47" s="24" t="s">
        <v>346</v>
      </c>
      <c r="F47" s="24" t="s">
        <v>333</v>
      </c>
      <c r="G47" s="24" t="s">
        <v>345</v>
      </c>
      <c r="H47" s="10">
        <v>28.231292338819003</v>
      </c>
    </row>
    <row r="48" spans="1:8" x14ac:dyDescent="0.2">
      <c r="A48" s="9"/>
      <c r="B48" s="24" t="s">
        <v>334</v>
      </c>
      <c r="C48" s="25">
        <v>44225</v>
      </c>
      <c r="D48" s="24" t="s">
        <v>547</v>
      </c>
      <c r="E48" s="24" t="s">
        <v>504</v>
      </c>
      <c r="F48" s="24" t="s">
        <v>333</v>
      </c>
      <c r="G48" s="24" t="s">
        <v>345</v>
      </c>
      <c r="H48" s="10">
        <v>50.195724524839825</v>
      </c>
    </row>
    <row r="49" spans="1:8" x14ac:dyDescent="0.2">
      <c r="A49" s="9"/>
      <c r="B49" s="24" t="s">
        <v>334</v>
      </c>
      <c r="C49" s="25">
        <v>44225</v>
      </c>
      <c r="D49" s="24" t="s">
        <v>548</v>
      </c>
      <c r="E49" s="24" t="s">
        <v>504</v>
      </c>
      <c r="F49" s="24" t="s">
        <v>333</v>
      </c>
      <c r="G49" s="24" t="s">
        <v>345</v>
      </c>
      <c r="H49" s="10">
        <v>33.80453884363758</v>
      </c>
    </row>
    <row r="50" spans="1:8" x14ac:dyDescent="0.2">
      <c r="A50" s="9"/>
      <c r="B50" s="24" t="s">
        <v>334</v>
      </c>
      <c r="C50" s="25">
        <v>44225</v>
      </c>
      <c r="D50" s="24" t="s">
        <v>549</v>
      </c>
      <c r="E50" s="24" t="s">
        <v>508</v>
      </c>
      <c r="F50" s="24" t="s">
        <v>333</v>
      </c>
      <c r="G50" s="24" t="s">
        <v>345</v>
      </c>
      <c r="H50" s="10">
        <v>12.119985848906779</v>
      </c>
    </row>
    <row r="51" spans="1:8" x14ac:dyDescent="0.2">
      <c r="A51" s="9"/>
      <c r="B51" s="24" t="s">
        <v>342</v>
      </c>
      <c r="C51" s="25">
        <v>44227</v>
      </c>
      <c r="D51" s="24" t="s">
        <v>550</v>
      </c>
      <c r="E51" s="24" t="s">
        <v>494</v>
      </c>
      <c r="F51" s="24" t="s">
        <v>333</v>
      </c>
      <c r="G51" s="24" t="s">
        <v>343</v>
      </c>
      <c r="H51" s="10">
        <v>6814.4711343867339</v>
      </c>
    </row>
    <row r="52" spans="1:8" x14ac:dyDescent="0.2">
      <c r="A52" s="9"/>
      <c r="B52" s="24" t="s">
        <v>342</v>
      </c>
      <c r="C52" s="25">
        <v>44228</v>
      </c>
      <c r="D52" s="24" t="s">
        <v>551</v>
      </c>
      <c r="E52" s="24" t="s">
        <v>552</v>
      </c>
      <c r="F52" s="24" t="s">
        <v>333</v>
      </c>
      <c r="G52" s="24" t="s">
        <v>343</v>
      </c>
      <c r="H52" s="10">
        <v>218.24251157988493</v>
      </c>
    </row>
    <row r="53" spans="1:8" x14ac:dyDescent="0.2">
      <c r="A53" s="9"/>
      <c r="B53" s="24" t="s">
        <v>342</v>
      </c>
      <c r="C53" s="25">
        <v>44228</v>
      </c>
      <c r="D53" s="24" t="s">
        <v>553</v>
      </c>
      <c r="E53" s="24" t="s">
        <v>494</v>
      </c>
      <c r="F53" s="24" t="s">
        <v>333</v>
      </c>
      <c r="G53" s="24" t="s">
        <v>343</v>
      </c>
      <c r="H53" s="10">
        <v>7204.4686396354555</v>
      </c>
    </row>
    <row r="54" spans="1:8" x14ac:dyDescent="0.2">
      <c r="A54" s="9"/>
      <c r="B54" s="24" t="s">
        <v>342</v>
      </c>
      <c r="C54" s="25">
        <v>44228</v>
      </c>
      <c r="D54" s="24" t="s">
        <v>554</v>
      </c>
      <c r="E54" s="24" t="s">
        <v>517</v>
      </c>
      <c r="F54" s="24" t="s">
        <v>333</v>
      </c>
      <c r="G54" s="24" t="s">
        <v>343</v>
      </c>
      <c r="H54" s="10">
        <v>1680.0844575658509</v>
      </c>
    </row>
    <row r="55" spans="1:8" x14ac:dyDescent="0.2">
      <c r="A55" s="9"/>
      <c r="B55" s="24" t="s">
        <v>342</v>
      </c>
      <c r="C55" s="25">
        <v>44228</v>
      </c>
      <c r="D55" s="24" t="s">
        <v>555</v>
      </c>
      <c r="E55" s="24" t="s">
        <v>494</v>
      </c>
      <c r="F55" s="24" t="s">
        <v>333</v>
      </c>
      <c r="G55" s="24" t="s">
        <v>343</v>
      </c>
      <c r="H55" s="10">
        <v>11134.801859493597</v>
      </c>
    </row>
    <row r="56" spans="1:8" x14ac:dyDescent="0.2">
      <c r="A56" s="9"/>
      <c r="B56" s="24" t="s">
        <v>342</v>
      </c>
      <c r="C56" s="25">
        <v>44228</v>
      </c>
      <c r="D56" s="24" t="s">
        <v>556</v>
      </c>
      <c r="E56" s="24" t="s">
        <v>557</v>
      </c>
      <c r="F56" s="24" t="s">
        <v>333</v>
      </c>
      <c r="G56" s="24" t="s">
        <v>343</v>
      </c>
      <c r="H56" s="10">
        <v>880.62767830479879</v>
      </c>
    </row>
    <row r="57" spans="1:8" x14ac:dyDescent="0.2">
      <c r="A57" s="9"/>
      <c r="B57" s="24" t="s">
        <v>342</v>
      </c>
      <c r="C57" s="25">
        <v>44228</v>
      </c>
      <c r="D57" s="24" t="s">
        <v>558</v>
      </c>
      <c r="E57" s="24" t="s">
        <v>552</v>
      </c>
      <c r="F57" s="24" t="s">
        <v>333</v>
      </c>
      <c r="G57" s="24" t="s">
        <v>343</v>
      </c>
      <c r="H57" s="10">
        <v>218.24251157988493</v>
      </c>
    </row>
    <row r="58" spans="1:8" x14ac:dyDescent="0.2">
      <c r="A58" s="9"/>
      <c r="B58" s="24" t="s">
        <v>334</v>
      </c>
      <c r="C58" s="25">
        <v>44228</v>
      </c>
      <c r="D58" s="24" t="s">
        <v>559</v>
      </c>
      <c r="E58" s="24" t="s">
        <v>344</v>
      </c>
      <c r="F58" s="24" t="s">
        <v>333</v>
      </c>
      <c r="G58" s="24" t="s">
        <v>345</v>
      </c>
      <c r="H58" s="10">
        <v>539.28921262474023</v>
      </c>
    </row>
    <row r="59" spans="1:8" x14ac:dyDescent="0.2">
      <c r="A59" s="9"/>
      <c r="B59" s="24" t="s">
        <v>498</v>
      </c>
      <c r="C59" s="25">
        <v>44228</v>
      </c>
      <c r="D59" s="24" t="s">
        <v>560</v>
      </c>
      <c r="E59" s="24"/>
      <c r="F59" s="24" t="s">
        <v>333</v>
      </c>
      <c r="G59" s="24" t="s">
        <v>335</v>
      </c>
      <c r="H59" s="10">
        <v>55.368973259388135</v>
      </c>
    </row>
    <row r="60" spans="1:8" x14ac:dyDescent="0.2">
      <c r="A60" s="9"/>
      <c r="B60" s="24" t="s">
        <v>498</v>
      </c>
      <c r="C60" s="25">
        <v>44228</v>
      </c>
      <c r="D60" s="24" t="s">
        <v>561</v>
      </c>
      <c r="E60" s="24"/>
      <c r="F60" s="24" t="s">
        <v>333</v>
      </c>
      <c r="G60" s="24" t="s">
        <v>335</v>
      </c>
      <c r="H60" s="10">
        <v>38.204229423580429</v>
      </c>
    </row>
    <row r="61" spans="1:8" x14ac:dyDescent="0.2">
      <c r="A61" s="9"/>
      <c r="B61" s="24" t="s">
        <v>334</v>
      </c>
      <c r="C61" s="25">
        <v>44229</v>
      </c>
      <c r="D61" s="24" t="s">
        <v>562</v>
      </c>
      <c r="E61" s="24" t="s">
        <v>346</v>
      </c>
      <c r="F61" s="24" t="s">
        <v>333</v>
      </c>
      <c r="G61" s="24" t="s">
        <v>345</v>
      </c>
      <c r="H61" s="10">
        <v>566.65382182008204</v>
      </c>
    </row>
    <row r="62" spans="1:8" x14ac:dyDescent="0.2">
      <c r="A62" s="9"/>
      <c r="B62" s="24" t="s">
        <v>334</v>
      </c>
      <c r="C62" s="25">
        <v>44229</v>
      </c>
      <c r="D62" s="24" t="s">
        <v>563</v>
      </c>
      <c r="E62" s="24" t="s">
        <v>564</v>
      </c>
      <c r="F62" s="24" t="s">
        <v>333</v>
      </c>
      <c r="G62" s="24" t="s">
        <v>345</v>
      </c>
      <c r="H62" s="10">
        <v>662.89468159708258</v>
      </c>
    </row>
    <row r="63" spans="1:8" x14ac:dyDescent="0.2">
      <c r="A63" s="9"/>
      <c r="B63" s="24" t="s">
        <v>334</v>
      </c>
      <c r="C63" s="25">
        <v>44229</v>
      </c>
      <c r="D63" s="24" t="s">
        <v>565</v>
      </c>
      <c r="E63" s="24" t="s">
        <v>566</v>
      </c>
      <c r="F63" s="24" t="s">
        <v>333</v>
      </c>
      <c r="G63" s="24" t="s">
        <v>345</v>
      </c>
      <c r="H63" s="10">
        <v>29.754636818049214</v>
      </c>
    </row>
    <row r="64" spans="1:8" x14ac:dyDescent="0.2">
      <c r="A64" s="9"/>
      <c r="B64" s="24" t="s">
        <v>334</v>
      </c>
      <c r="C64" s="25">
        <v>44230</v>
      </c>
      <c r="D64" s="24" t="s">
        <v>567</v>
      </c>
      <c r="E64" s="24" t="s">
        <v>568</v>
      </c>
      <c r="F64" s="24" t="s">
        <v>333</v>
      </c>
      <c r="G64" s="24" t="s">
        <v>345</v>
      </c>
      <c r="H64" s="10">
        <v>34480.38532470361</v>
      </c>
    </row>
    <row r="65" spans="1:8" x14ac:dyDescent="0.2">
      <c r="A65" s="9"/>
      <c r="B65" s="24" t="s">
        <v>334</v>
      </c>
      <c r="C65" s="25">
        <v>44231</v>
      </c>
      <c r="D65" s="24" t="s">
        <v>569</v>
      </c>
      <c r="E65" s="24" t="s">
        <v>344</v>
      </c>
      <c r="F65" s="24" t="s">
        <v>333</v>
      </c>
      <c r="G65" s="24" t="s">
        <v>345</v>
      </c>
      <c r="H65" s="10">
        <v>397.73439478893374</v>
      </c>
    </row>
    <row r="66" spans="1:8" x14ac:dyDescent="0.2">
      <c r="A66" s="9"/>
      <c r="B66" s="24" t="s">
        <v>334</v>
      </c>
      <c r="C66" s="25">
        <v>44231</v>
      </c>
      <c r="D66" s="24" t="s">
        <v>570</v>
      </c>
      <c r="E66" s="24" t="s">
        <v>508</v>
      </c>
      <c r="F66" s="24" t="s">
        <v>333</v>
      </c>
      <c r="G66" s="24" t="s">
        <v>345</v>
      </c>
      <c r="H66" s="10">
        <v>28.36648946142623</v>
      </c>
    </row>
    <row r="67" spans="1:8" x14ac:dyDescent="0.2">
      <c r="A67" s="9"/>
      <c r="B67" s="24" t="s">
        <v>334</v>
      </c>
      <c r="C67" s="25">
        <v>44231</v>
      </c>
      <c r="D67" s="24" t="s">
        <v>571</v>
      </c>
      <c r="E67" s="24" t="s">
        <v>566</v>
      </c>
      <c r="F67" s="24" t="s">
        <v>333</v>
      </c>
      <c r="G67" s="24" t="s">
        <v>345</v>
      </c>
      <c r="H67" s="10">
        <v>28.36648946142623</v>
      </c>
    </row>
    <row r="68" spans="1:8" x14ac:dyDescent="0.2">
      <c r="A68" s="9"/>
      <c r="B68" s="24" t="s">
        <v>334</v>
      </c>
      <c r="C68" s="25">
        <v>44231</v>
      </c>
      <c r="D68" s="24" t="s">
        <v>572</v>
      </c>
      <c r="E68" s="24" t="s">
        <v>508</v>
      </c>
      <c r="F68" s="24" t="s">
        <v>333</v>
      </c>
      <c r="G68" s="24" t="s">
        <v>345</v>
      </c>
      <c r="H68" s="10">
        <v>66.655214811061967</v>
      </c>
    </row>
    <row r="69" spans="1:8" x14ac:dyDescent="0.2">
      <c r="A69" s="9"/>
      <c r="B69" s="24" t="s">
        <v>334</v>
      </c>
      <c r="C69" s="25">
        <v>44231</v>
      </c>
      <c r="D69" s="24" t="s">
        <v>573</v>
      </c>
      <c r="E69" s="24" t="s">
        <v>508</v>
      </c>
      <c r="F69" s="24" t="s">
        <v>333</v>
      </c>
      <c r="G69" s="24" t="s">
        <v>345</v>
      </c>
      <c r="H69" s="10">
        <v>88.431022040173858</v>
      </c>
    </row>
    <row r="70" spans="1:8" x14ac:dyDescent="0.2">
      <c r="A70" s="9"/>
      <c r="B70" s="24" t="s">
        <v>334</v>
      </c>
      <c r="C70" s="25">
        <v>44231</v>
      </c>
      <c r="D70" s="24" t="s">
        <v>574</v>
      </c>
      <c r="E70" s="24" t="s">
        <v>508</v>
      </c>
      <c r="F70" s="24" t="s">
        <v>333</v>
      </c>
      <c r="G70" s="24" t="s">
        <v>345</v>
      </c>
      <c r="H70" s="10">
        <v>132.57410798078479</v>
      </c>
    </row>
    <row r="71" spans="1:8" x14ac:dyDescent="0.2">
      <c r="A71" s="9"/>
      <c r="B71" s="24" t="s">
        <v>334</v>
      </c>
      <c r="C71" s="25">
        <v>44231</v>
      </c>
      <c r="D71" s="24" t="s">
        <v>575</v>
      </c>
      <c r="E71" s="24" t="s">
        <v>510</v>
      </c>
      <c r="F71" s="24" t="s">
        <v>333</v>
      </c>
      <c r="G71" s="24" t="s">
        <v>345</v>
      </c>
      <c r="H71" s="10">
        <v>63.661644859388055</v>
      </c>
    </row>
    <row r="72" spans="1:8" x14ac:dyDescent="0.2">
      <c r="A72" s="9"/>
      <c r="B72" s="24" t="s">
        <v>334</v>
      </c>
      <c r="C72" s="25">
        <v>44231</v>
      </c>
      <c r="D72" s="24" t="s">
        <v>576</v>
      </c>
      <c r="E72" s="24" t="s">
        <v>344</v>
      </c>
      <c r="F72" s="24" t="s">
        <v>333</v>
      </c>
      <c r="G72" s="24" t="s">
        <v>345</v>
      </c>
      <c r="H72" s="10">
        <v>409.99837491353333</v>
      </c>
    </row>
    <row r="73" spans="1:8" x14ac:dyDescent="0.2">
      <c r="A73" s="9"/>
      <c r="B73" s="24" t="s">
        <v>334</v>
      </c>
      <c r="C73" s="25">
        <v>44231</v>
      </c>
      <c r="D73" s="24" t="s">
        <v>577</v>
      </c>
      <c r="E73" s="24" t="s">
        <v>566</v>
      </c>
      <c r="F73" s="24" t="s">
        <v>333</v>
      </c>
      <c r="G73" s="24" t="s">
        <v>345</v>
      </c>
      <c r="H73" s="10">
        <v>22.137932626491789</v>
      </c>
    </row>
    <row r="74" spans="1:8" x14ac:dyDescent="0.2">
      <c r="A74" s="9"/>
      <c r="B74" s="24" t="s">
        <v>334</v>
      </c>
      <c r="C74" s="25">
        <v>44231</v>
      </c>
      <c r="D74" s="24" t="s">
        <v>578</v>
      </c>
      <c r="E74" s="24" t="s">
        <v>346</v>
      </c>
      <c r="F74" s="24" t="s">
        <v>333</v>
      </c>
      <c r="G74" s="24" t="s">
        <v>345</v>
      </c>
      <c r="H74" s="10">
        <v>12.215696738282274</v>
      </c>
    </row>
    <row r="75" spans="1:8" x14ac:dyDescent="0.2">
      <c r="A75" s="9"/>
      <c r="B75" s="24" t="s">
        <v>334</v>
      </c>
      <c r="C75" s="25">
        <v>44231</v>
      </c>
      <c r="D75" s="24" t="s">
        <v>579</v>
      </c>
      <c r="E75" s="24" t="s">
        <v>508</v>
      </c>
      <c r="F75" s="24" t="s">
        <v>333</v>
      </c>
      <c r="G75" s="24" t="s">
        <v>345</v>
      </c>
      <c r="H75" s="10">
        <v>66.293089413682068</v>
      </c>
    </row>
    <row r="76" spans="1:8" x14ac:dyDescent="0.2">
      <c r="A76" s="9"/>
      <c r="B76" s="24" t="s">
        <v>334</v>
      </c>
      <c r="C76" s="25">
        <v>44231</v>
      </c>
      <c r="D76" s="24" t="s">
        <v>580</v>
      </c>
      <c r="E76" s="24" t="s">
        <v>346</v>
      </c>
      <c r="F76" s="24" t="s">
        <v>333</v>
      </c>
      <c r="G76" s="24" t="s">
        <v>345</v>
      </c>
      <c r="H76" s="10">
        <v>9.5480396442502755</v>
      </c>
    </row>
    <row r="77" spans="1:8" x14ac:dyDescent="0.2">
      <c r="A77" s="9"/>
      <c r="B77" s="24" t="s">
        <v>581</v>
      </c>
      <c r="C77" s="25">
        <v>44232</v>
      </c>
      <c r="D77" s="24" t="s">
        <v>582</v>
      </c>
      <c r="E77" s="24"/>
      <c r="F77" s="24" t="s">
        <v>333</v>
      </c>
      <c r="G77" s="24" t="s">
        <v>345</v>
      </c>
      <c r="H77" s="10">
        <v>-3.6220599290275639</v>
      </c>
    </row>
    <row r="78" spans="1:8" x14ac:dyDescent="0.2">
      <c r="A78" s="9"/>
      <c r="B78" s="24" t="s">
        <v>342</v>
      </c>
      <c r="C78" s="25">
        <v>44232</v>
      </c>
      <c r="D78" s="24" t="s">
        <v>583</v>
      </c>
      <c r="E78" s="24" t="s">
        <v>552</v>
      </c>
      <c r="F78" s="24" t="s">
        <v>333</v>
      </c>
      <c r="G78" s="24" t="s">
        <v>343</v>
      </c>
      <c r="H78" s="10">
        <v>168.46790367570063</v>
      </c>
    </row>
    <row r="79" spans="1:8" x14ac:dyDescent="0.2">
      <c r="A79" s="9"/>
      <c r="B79" s="24" t="s">
        <v>334</v>
      </c>
      <c r="C79" s="25">
        <v>44232</v>
      </c>
      <c r="D79" s="24" t="s">
        <v>584</v>
      </c>
      <c r="E79" s="24" t="s">
        <v>585</v>
      </c>
      <c r="F79" s="24" t="s">
        <v>333</v>
      </c>
      <c r="G79" s="24" t="s">
        <v>345</v>
      </c>
      <c r="H79" s="10">
        <v>3526.5769158033677</v>
      </c>
    </row>
    <row r="80" spans="1:8" x14ac:dyDescent="0.2">
      <c r="A80" s="9"/>
      <c r="B80" s="24" t="s">
        <v>334</v>
      </c>
      <c r="C80" s="25">
        <v>44232</v>
      </c>
      <c r="D80" s="24" t="s">
        <v>586</v>
      </c>
      <c r="E80" s="24" t="s">
        <v>539</v>
      </c>
      <c r="F80" s="24" t="s">
        <v>333</v>
      </c>
      <c r="G80" s="24" t="s">
        <v>345</v>
      </c>
      <c r="H80" s="10">
        <v>24.395180936826556</v>
      </c>
    </row>
    <row r="81" spans="1:8" x14ac:dyDescent="0.2">
      <c r="A81" s="9"/>
      <c r="B81" s="24" t="s">
        <v>334</v>
      </c>
      <c r="C81" s="25">
        <v>44235</v>
      </c>
      <c r="D81" s="24" t="s">
        <v>587</v>
      </c>
      <c r="E81" s="24" t="s">
        <v>588</v>
      </c>
      <c r="F81" s="24" t="s">
        <v>333</v>
      </c>
      <c r="G81" s="24" t="s">
        <v>345</v>
      </c>
      <c r="H81" s="10">
        <v>1045.7457225537021</v>
      </c>
    </row>
    <row r="82" spans="1:8" x14ac:dyDescent="0.2">
      <c r="A82" s="9"/>
      <c r="B82" s="24" t="s">
        <v>334</v>
      </c>
      <c r="C82" s="25">
        <v>44236</v>
      </c>
      <c r="D82" s="24" t="s">
        <v>589</v>
      </c>
      <c r="E82" s="24" t="s">
        <v>504</v>
      </c>
      <c r="F82" s="24" t="s">
        <v>333</v>
      </c>
      <c r="G82" s="24" t="s">
        <v>345</v>
      </c>
      <c r="H82" s="10">
        <v>38.119733497525118</v>
      </c>
    </row>
    <row r="83" spans="1:8" x14ac:dyDescent="0.2">
      <c r="A83" s="9"/>
      <c r="B83" s="24" t="s">
        <v>334</v>
      </c>
      <c r="C83" s="25">
        <v>44236</v>
      </c>
      <c r="D83" s="24" t="s">
        <v>590</v>
      </c>
      <c r="E83" s="24" t="s">
        <v>508</v>
      </c>
      <c r="F83" s="24" t="s">
        <v>333</v>
      </c>
      <c r="G83" s="24" t="s">
        <v>345</v>
      </c>
      <c r="H83" s="10">
        <v>54.922351935952911</v>
      </c>
    </row>
    <row r="84" spans="1:8" x14ac:dyDescent="0.2">
      <c r="A84" s="9"/>
      <c r="B84" s="24" t="s">
        <v>334</v>
      </c>
      <c r="C84" s="25">
        <v>44236</v>
      </c>
      <c r="D84" s="24" t="s">
        <v>591</v>
      </c>
      <c r="E84" s="24" t="s">
        <v>592</v>
      </c>
      <c r="F84" s="24" t="s">
        <v>333</v>
      </c>
      <c r="G84" s="24" t="s">
        <v>345</v>
      </c>
      <c r="H84" s="10">
        <v>80.174562979911926</v>
      </c>
    </row>
    <row r="85" spans="1:8" x14ac:dyDescent="0.2">
      <c r="A85" s="9"/>
      <c r="B85" s="24" t="s">
        <v>334</v>
      </c>
      <c r="C85" s="25">
        <v>44236</v>
      </c>
      <c r="D85" s="24" t="s">
        <v>593</v>
      </c>
      <c r="E85" s="24" t="s">
        <v>344</v>
      </c>
      <c r="F85" s="24" t="s">
        <v>333</v>
      </c>
      <c r="G85" s="24" t="s">
        <v>345</v>
      </c>
      <c r="H85" s="10">
        <v>1918.6731346311321</v>
      </c>
    </row>
    <row r="86" spans="1:8" x14ac:dyDescent="0.2">
      <c r="A86" s="9"/>
      <c r="B86" s="24" t="s">
        <v>334</v>
      </c>
      <c r="C86" s="25">
        <v>44236</v>
      </c>
      <c r="D86" s="24" t="s">
        <v>594</v>
      </c>
      <c r="E86" s="24" t="s">
        <v>508</v>
      </c>
      <c r="F86" s="24" t="s">
        <v>333</v>
      </c>
      <c r="G86" s="24" t="s">
        <v>345</v>
      </c>
      <c r="H86" s="10">
        <v>59.460990249781105</v>
      </c>
    </row>
    <row r="87" spans="1:8" x14ac:dyDescent="0.2">
      <c r="A87" s="9"/>
      <c r="B87" s="24" t="s">
        <v>334</v>
      </c>
      <c r="C87" s="25">
        <v>44236</v>
      </c>
      <c r="D87" s="24" t="s">
        <v>595</v>
      </c>
      <c r="E87" s="24" t="s">
        <v>344</v>
      </c>
      <c r="F87" s="24" t="s">
        <v>333</v>
      </c>
      <c r="G87" s="24" t="s">
        <v>345</v>
      </c>
      <c r="H87" s="10">
        <v>245.23131910567457</v>
      </c>
    </row>
    <row r="88" spans="1:8" x14ac:dyDescent="0.2">
      <c r="A88" s="9"/>
      <c r="B88" s="24" t="s">
        <v>334</v>
      </c>
      <c r="C88" s="25">
        <v>44237</v>
      </c>
      <c r="D88" s="24" t="s">
        <v>596</v>
      </c>
      <c r="E88" s="24" t="s">
        <v>597</v>
      </c>
      <c r="F88" s="24" t="s">
        <v>333</v>
      </c>
      <c r="G88" s="24" t="s">
        <v>345</v>
      </c>
      <c r="H88" s="10">
        <v>449.49418492110209</v>
      </c>
    </row>
    <row r="89" spans="1:8" x14ac:dyDescent="0.2">
      <c r="A89" s="9"/>
      <c r="B89" s="24" t="s">
        <v>334</v>
      </c>
      <c r="C89" s="25">
        <v>44237</v>
      </c>
      <c r="D89" s="24" t="s">
        <v>598</v>
      </c>
      <c r="E89" s="24" t="s">
        <v>344</v>
      </c>
      <c r="F89" s="24" t="s">
        <v>333</v>
      </c>
      <c r="G89" s="24" t="s">
        <v>345</v>
      </c>
      <c r="H89" s="10">
        <v>176.70512307481641</v>
      </c>
    </row>
    <row r="90" spans="1:8" x14ac:dyDescent="0.2">
      <c r="A90" s="9"/>
      <c r="B90" s="24" t="s">
        <v>334</v>
      </c>
      <c r="C90" s="25">
        <v>44237</v>
      </c>
      <c r="D90" s="24" t="s">
        <v>599</v>
      </c>
      <c r="E90" s="24" t="s">
        <v>600</v>
      </c>
      <c r="F90" s="24" t="s">
        <v>333</v>
      </c>
      <c r="G90" s="24" t="s">
        <v>345</v>
      </c>
      <c r="H90" s="10">
        <v>65.83439724366751</v>
      </c>
    </row>
    <row r="91" spans="1:8" x14ac:dyDescent="0.2">
      <c r="A91" s="9"/>
      <c r="B91" s="24" t="s">
        <v>334</v>
      </c>
      <c r="C91" s="25">
        <v>44237</v>
      </c>
      <c r="D91" s="24" t="s">
        <v>601</v>
      </c>
      <c r="E91" s="24" t="s">
        <v>597</v>
      </c>
      <c r="F91" s="24" t="s">
        <v>333</v>
      </c>
      <c r="G91" s="24" t="s">
        <v>345</v>
      </c>
      <c r="H91" s="10">
        <v>2236.5105959114785</v>
      </c>
    </row>
    <row r="92" spans="1:8" x14ac:dyDescent="0.2">
      <c r="A92" s="9"/>
      <c r="B92" s="24" t="s">
        <v>334</v>
      </c>
      <c r="C92" s="25">
        <v>44238</v>
      </c>
      <c r="D92" s="24" t="s">
        <v>602</v>
      </c>
      <c r="E92" s="24" t="s">
        <v>344</v>
      </c>
      <c r="F92" s="24" t="s">
        <v>333</v>
      </c>
      <c r="G92" s="24" t="s">
        <v>345</v>
      </c>
      <c r="H92" s="10">
        <v>294.49244399592158</v>
      </c>
    </row>
    <row r="93" spans="1:8" x14ac:dyDescent="0.2">
      <c r="A93" s="9"/>
      <c r="B93" s="24" t="s">
        <v>334</v>
      </c>
      <c r="C93" s="25">
        <v>44238</v>
      </c>
      <c r="D93" s="24" t="s">
        <v>603</v>
      </c>
      <c r="E93" s="24" t="s">
        <v>604</v>
      </c>
      <c r="F93" s="24" t="s">
        <v>333</v>
      </c>
      <c r="G93" s="24" t="s">
        <v>345</v>
      </c>
      <c r="H93" s="10">
        <v>3845.8320744075336</v>
      </c>
    </row>
    <row r="94" spans="1:8" x14ac:dyDescent="0.2">
      <c r="A94" s="9"/>
      <c r="B94" s="24" t="s">
        <v>334</v>
      </c>
      <c r="C94" s="25">
        <v>44238</v>
      </c>
      <c r="D94" s="24" t="s">
        <v>605</v>
      </c>
      <c r="E94" s="24" t="s">
        <v>606</v>
      </c>
      <c r="F94" s="24" t="s">
        <v>333</v>
      </c>
      <c r="G94" s="24" t="s">
        <v>345</v>
      </c>
      <c r="H94" s="10">
        <v>27.593955280349089</v>
      </c>
    </row>
    <row r="95" spans="1:8" x14ac:dyDescent="0.2">
      <c r="A95" s="9"/>
      <c r="B95" s="24" t="s">
        <v>334</v>
      </c>
      <c r="C95" s="25">
        <v>44238</v>
      </c>
      <c r="D95" s="24" t="s">
        <v>607</v>
      </c>
      <c r="E95" s="24" t="s">
        <v>608</v>
      </c>
      <c r="F95" s="24" t="s">
        <v>333</v>
      </c>
      <c r="G95" s="24" t="s">
        <v>345</v>
      </c>
      <c r="H95" s="10">
        <v>4162.6314428820579</v>
      </c>
    </row>
    <row r="96" spans="1:8" x14ac:dyDescent="0.2">
      <c r="A96" s="9"/>
      <c r="B96" s="24" t="s">
        <v>342</v>
      </c>
      <c r="C96" s="25">
        <v>44239</v>
      </c>
      <c r="D96" s="24" t="s">
        <v>609</v>
      </c>
      <c r="E96" s="24" t="s">
        <v>552</v>
      </c>
      <c r="F96" s="24" t="s">
        <v>333</v>
      </c>
      <c r="G96" s="24" t="s">
        <v>343</v>
      </c>
      <c r="H96" s="10">
        <v>545.98916054897529</v>
      </c>
    </row>
    <row r="97" spans="1:8" x14ac:dyDescent="0.2">
      <c r="A97" s="9"/>
      <c r="B97" s="24" t="s">
        <v>334</v>
      </c>
      <c r="C97" s="25">
        <v>44239</v>
      </c>
      <c r="D97" s="24" t="s">
        <v>610</v>
      </c>
      <c r="E97" s="24" t="s">
        <v>611</v>
      </c>
      <c r="F97" s="24" t="s">
        <v>333</v>
      </c>
      <c r="G97" s="24" t="s">
        <v>345</v>
      </c>
      <c r="H97" s="10">
        <v>480.66190208272968</v>
      </c>
    </row>
    <row r="98" spans="1:8" x14ac:dyDescent="0.2">
      <c r="A98" s="9"/>
      <c r="B98" s="24" t="s">
        <v>334</v>
      </c>
      <c r="C98" s="25">
        <v>44239</v>
      </c>
      <c r="D98" s="24" t="s">
        <v>612</v>
      </c>
      <c r="E98" s="24" t="s">
        <v>613</v>
      </c>
      <c r="F98" s="24" t="s">
        <v>333</v>
      </c>
      <c r="G98" s="24" t="s">
        <v>345</v>
      </c>
      <c r="H98" s="10">
        <v>51.433877274526452</v>
      </c>
    </row>
    <row r="99" spans="1:8" x14ac:dyDescent="0.2">
      <c r="A99" s="9"/>
      <c r="B99" s="24" t="s">
        <v>334</v>
      </c>
      <c r="C99" s="25">
        <v>44239</v>
      </c>
      <c r="D99" s="24" t="s">
        <v>614</v>
      </c>
      <c r="E99" s="24" t="s">
        <v>615</v>
      </c>
      <c r="F99" s="24" t="s">
        <v>333</v>
      </c>
      <c r="G99" s="24" t="s">
        <v>345</v>
      </c>
      <c r="H99" s="10">
        <v>22141.396959460057</v>
      </c>
    </row>
    <row r="100" spans="1:8" x14ac:dyDescent="0.2">
      <c r="A100" s="9"/>
      <c r="B100" s="24" t="s">
        <v>334</v>
      </c>
      <c r="C100" s="25">
        <v>44239</v>
      </c>
      <c r="D100" s="24" t="s">
        <v>616</v>
      </c>
      <c r="E100" s="24" t="s">
        <v>504</v>
      </c>
      <c r="F100" s="24" t="s">
        <v>333</v>
      </c>
      <c r="G100" s="24" t="s">
        <v>345</v>
      </c>
      <c r="H100" s="10">
        <v>17.563081772925599</v>
      </c>
    </row>
    <row r="101" spans="1:8" x14ac:dyDescent="0.2">
      <c r="A101" s="9"/>
      <c r="B101" s="24" t="s">
        <v>334</v>
      </c>
      <c r="C101" s="25">
        <v>44239</v>
      </c>
      <c r="D101" s="24" t="s">
        <v>617</v>
      </c>
      <c r="E101" s="24" t="s">
        <v>618</v>
      </c>
      <c r="F101" s="24" t="s">
        <v>333</v>
      </c>
      <c r="G101" s="24" t="s">
        <v>345</v>
      </c>
      <c r="H101" s="10">
        <v>105.22156963202231</v>
      </c>
    </row>
    <row r="102" spans="1:8" x14ac:dyDescent="0.2">
      <c r="A102" s="9"/>
      <c r="B102" s="24" t="s">
        <v>334</v>
      </c>
      <c r="C102" s="25">
        <v>44239</v>
      </c>
      <c r="D102" s="24" t="s">
        <v>619</v>
      </c>
      <c r="E102" s="24" t="s">
        <v>611</v>
      </c>
      <c r="F102" s="24" t="s">
        <v>333</v>
      </c>
      <c r="G102" s="24" t="s">
        <v>345</v>
      </c>
      <c r="H102" s="10">
        <v>57.011070130254147</v>
      </c>
    </row>
    <row r="103" spans="1:8" x14ac:dyDescent="0.2">
      <c r="A103" s="9"/>
      <c r="B103" s="24" t="s">
        <v>334</v>
      </c>
      <c r="C103" s="25">
        <v>44239</v>
      </c>
      <c r="D103" s="24" t="s">
        <v>620</v>
      </c>
      <c r="E103" s="24" t="s">
        <v>344</v>
      </c>
      <c r="F103" s="24" t="s">
        <v>333</v>
      </c>
      <c r="G103" s="24" t="s">
        <v>345</v>
      </c>
      <c r="H103" s="10">
        <v>243.62589651062365</v>
      </c>
    </row>
    <row r="104" spans="1:8" x14ac:dyDescent="0.2">
      <c r="A104" s="9"/>
      <c r="B104" s="24" t="s">
        <v>334</v>
      </c>
      <c r="C104" s="25">
        <v>44239</v>
      </c>
      <c r="D104" s="24" t="s">
        <v>621</v>
      </c>
      <c r="E104" s="24" t="s">
        <v>504</v>
      </c>
      <c r="F104" s="24" t="s">
        <v>333</v>
      </c>
      <c r="G104" s="24" t="s">
        <v>345</v>
      </c>
      <c r="H104" s="10">
        <v>26.85763363900994</v>
      </c>
    </row>
    <row r="105" spans="1:8" x14ac:dyDescent="0.2">
      <c r="A105" s="9"/>
      <c r="B105" s="24" t="s">
        <v>334</v>
      </c>
      <c r="C105" s="25">
        <v>44239</v>
      </c>
      <c r="D105" s="24" t="s">
        <v>622</v>
      </c>
      <c r="E105" s="24" t="s">
        <v>615</v>
      </c>
      <c r="F105" s="24" t="s">
        <v>333</v>
      </c>
      <c r="G105" s="24" t="s">
        <v>345</v>
      </c>
      <c r="H105" s="10">
        <v>2633.5448815988111</v>
      </c>
    </row>
    <row r="106" spans="1:8" x14ac:dyDescent="0.2">
      <c r="A106" s="9"/>
      <c r="B106" s="24" t="s">
        <v>334</v>
      </c>
      <c r="C106" s="25">
        <v>44239</v>
      </c>
      <c r="D106" s="24" t="s">
        <v>623</v>
      </c>
      <c r="E106" s="24" t="s">
        <v>504</v>
      </c>
      <c r="F106" s="24" t="s">
        <v>333</v>
      </c>
      <c r="G106" s="24" t="s">
        <v>345</v>
      </c>
      <c r="H106" s="10">
        <v>17.563081772925599</v>
      </c>
    </row>
    <row r="107" spans="1:8" x14ac:dyDescent="0.2">
      <c r="A107" s="9"/>
      <c r="B107" s="24" t="s">
        <v>334</v>
      </c>
      <c r="C107" s="25">
        <v>44242</v>
      </c>
      <c r="D107" s="24" t="s">
        <v>624</v>
      </c>
      <c r="E107" s="24" t="s">
        <v>625</v>
      </c>
      <c r="F107" s="24" t="s">
        <v>333</v>
      </c>
      <c r="G107" s="24" t="s">
        <v>345</v>
      </c>
      <c r="H107" s="10">
        <v>1508.2643509339016</v>
      </c>
    </row>
    <row r="108" spans="1:8" x14ac:dyDescent="0.2">
      <c r="A108" s="9"/>
      <c r="B108" s="24" t="s">
        <v>581</v>
      </c>
      <c r="C108" s="25">
        <v>44243</v>
      </c>
      <c r="D108" s="24" t="s">
        <v>626</v>
      </c>
      <c r="E108" s="24"/>
      <c r="F108" s="24" t="s">
        <v>333</v>
      </c>
      <c r="G108" s="24" t="s">
        <v>345</v>
      </c>
      <c r="H108" s="10">
        <v>-3.4153038654255674</v>
      </c>
    </row>
    <row r="109" spans="1:8" x14ac:dyDescent="0.2">
      <c r="A109" s="9"/>
      <c r="B109" s="24" t="s">
        <v>342</v>
      </c>
      <c r="C109" s="25">
        <v>44243</v>
      </c>
      <c r="D109" s="24" t="s">
        <v>627</v>
      </c>
      <c r="E109" s="24" t="s">
        <v>552</v>
      </c>
      <c r="F109" s="24" t="s">
        <v>333</v>
      </c>
      <c r="G109" s="24" t="s">
        <v>343</v>
      </c>
      <c r="H109" s="10">
        <v>959.3098469533362</v>
      </c>
    </row>
    <row r="110" spans="1:8" x14ac:dyDescent="0.2">
      <c r="A110" s="9"/>
      <c r="B110" s="24" t="s">
        <v>334</v>
      </c>
      <c r="C110" s="25">
        <v>44243</v>
      </c>
      <c r="D110" s="24" t="s">
        <v>628</v>
      </c>
      <c r="E110" s="24" t="s">
        <v>629</v>
      </c>
      <c r="F110" s="24" t="s">
        <v>333</v>
      </c>
      <c r="G110" s="24" t="s">
        <v>345</v>
      </c>
      <c r="H110" s="10">
        <v>27.545671894031766</v>
      </c>
    </row>
    <row r="111" spans="1:8" x14ac:dyDescent="0.2">
      <c r="A111" s="9"/>
      <c r="B111" s="24" t="s">
        <v>334</v>
      </c>
      <c r="C111" s="25">
        <v>44243</v>
      </c>
      <c r="D111" s="24" t="s">
        <v>630</v>
      </c>
      <c r="E111" s="24" t="s">
        <v>508</v>
      </c>
      <c r="F111" s="24" t="s">
        <v>333</v>
      </c>
      <c r="G111" s="24" t="s">
        <v>335</v>
      </c>
      <c r="H111" s="10">
        <v>34.353629364774065</v>
      </c>
    </row>
    <row r="112" spans="1:8" x14ac:dyDescent="0.2">
      <c r="A112" s="9"/>
      <c r="B112" s="24" t="s">
        <v>334</v>
      </c>
      <c r="C112" s="25">
        <v>44243</v>
      </c>
      <c r="D112" s="24" t="s">
        <v>631</v>
      </c>
      <c r="E112" s="24" t="s">
        <v>632</v>
      </c>
      <c r="F112" s="24" t="s">
        <v>333</v>
      </c>
      <c r="G112" s="24" t="s">
        <v>345</v>
      </c>
      <c r="H112" s="10">
        <v>2209.6046788861513</v>
      </c>
    </row>
    <row r="113" spans="1:8" x14ac:dyDescent="0.2">
      <c r="A113" s="9"/>
      <c r="B113" s="24" t="s">
        <v>334</v>
      </c>
      <c r="C113" s="25">
        <v>44243</v>
      </c>
      <c r="D113" s="24" t="s">
        <v>633</v>
      </c>
      <c r="E113" s="24" t="s">
        <v>508</v>
      </c>
      <c r="F113" s="24" t="s">
        <v>333</v>
      </c>
      <c r="G113" s="24" t="s">
        <v>345</v>
      </c>
      <c r="H113" s="10">
        <v>2.7883655598253014</v>
      </c>
    </row>
    <row r="114" spans="1:8" x14ac:dyDescent="0.2">
      <c r="A114" s="9"/>
      <c r="B114" s="24" t="s">
        <v>334</v>
      </c>
      <c r="C114" s="25">
        <v>44243</v>
      </c>
      <c r="D114" s="24" t="s">
        <v>634</v>
      </c>
      <c r="E114" s="24" t="s">
        <v>375</v>
      </c>
      <c r="F114" s="24" t="s">
        <v>333</v>
      </c>
      <c r="G114" s="24" t="s">
        <v>345</v>
      </c>
      <c r="H114" s="10">
        <v>662.89468159708258</v>
      </c>
    </row>
    <row r="115" spans="1:8" x14ac:dyDescent="0.2">
      <c r="A115" s="9"/>
      <c r="B115" s="24" t="s">
        <v>334</v>
      </c>
      <c r="C115" s="25">
        <v>44243</v>
      </c>
      <c r="D115" s="24" t="s">
        <v>635</v>
      </c>
      <c r="E115" s="24" t="s">
        <v>508</v>
      </c>
      <c r="F115" s="24" t="s">
        <v>333</v>
      </c>
      <c r="G115" s="24" t="s">
        <v>345</v>
      </c>
      <c r="H115" s="10">
        <v>132.57410798078479</v>
      </c>
    </row>
    <row r="116" spans="1:8" x14ac:dyDescent="0.2">
      <c r="A116" s="9"/>
      <c r="B116" s="24" t="s">
        <v>334</v>
      </c>
      <c r="C116" s="25">
        <v>44244</v>
      </c>
      <c r="D116" s="24" t="s">
        <v>636</v>
      </c>
      <c r="E116" s="24" t="s">
        <v>508</v>
      </c>
      <c r="F116" s="24" t="s">
        <v>333</v>
      </c>
      <c r="G116" s="24" t="s">
        <v>345</v>
      </c>
      <c r="H116" s="10">
        <v>6.8803825502182763</v>
      </c>
    </row>
    <row r="117" spans="1:8" x14ac:dyDescent="0.2">
      <c r="A117" s="9"/>
      <c r="B117" s="24" t="s">
        <v>334</v>
      </c>
      <c r="C117" s="25">
        <v>44244</v>
      </c>
      <c r="D117" s="24" t="s">
        <v>637</v>
      </c>
      <c r="E117" s="24" t="s">
        <v>376</v>
      </c>
      <c r="F117" s="24" t="s">
        <v>333</v>
      </c>
      <c r="G117" s="24" t="s">
        <v>345</v>
      </c>
      <c r="H117" s="10">
        <v>760.02878402095359</v>
      </c>
    </row>
    <row r="118" spans="1:8" x14ac:dyDescent="0.2">
      <c r="A118" s="9"/>
      <c r="B118" s="24" t="s">
        <v>334</v>
      </c>
      <c r="C118" s="25">
        <v>44244</v>
      </c>
      <c r="D118" s="24" t="s">
        <v>638</v>
      </c>
      <c r="E118" s="24" t="s">
        <v>639</v>
      </c>
      <c r="F118" s="24" t="s">
        <v>333</v>
      </c>
      <c r="G118" s="24" t="s">
        <v>345</v>
      </c>
      <c r="H118" s="10">
        <v>4833.3963164488632</v>
      </c>
    </row>
    <row r="119" spans="1:8" x14ac:dyDescent="0.2">
      <c r="A119" s="9"/>
      <c r="B119" s="24" t="s">
        <v>334</v>
      </c>
      <c r="C119" s="25">
        <v>44244</v>
      </c>
      <c r="D119" s="24" t="s">
        <v>640</v>
      </c>
      <c r="E119" s="24" t="s">
        <v>508</v>
      </c>
      <c r="F119" s="24" t="s">
        <v>333</v>
      </c>
      <c r="G119" s="24" t="s">
        <v>345</v>
      </c>
      <c r="H119" s="10">
        <v>63.408157081222122</v>
      </c>
    </row>
    <row r="120" spans="1:8" x14ac:dyDescent="0.2">
      <c r="A120" s="9"/>
      <c r="B120" s="24" t="s">
        <v>334</v>
      </c>
      <c r="C120" s="25">
        <v>44244</v>
      </c>
      <c r="D120" s="24" t="s">
        <v>641</v>
      </c>
      <c r="E120" s="24" t="s">
        <v>344</v>
      </c>
      <c r="F120" s="24" t="s">
        <v>333</v>
      </c>
      <c r="G120" s="24" t="s">
        <v>345</v>
      </c>
      <c r="H120" s="10">
        <v>270.37489253041963</v>
      </c>
    </row>
    <row r="121" spans="1:8" x14ac:dyDescent="0.2">
      <c r="A121" s="9"/>
      <c r="B121" s="24" t="s">
        <v>334</v>
      </c>
      <c r="C121" s="25">
        <v>44246</v>
      </c>
      <c r="D121" s="24" t="s">
        <v>642</v>
      </c>
      <c r="E121" s="24" t="s">
        <v>643</v>
      </c>
      <c r="F121" s="24" t="s">
        <v>333</v>
      </c>
      <c r="G121" s="24" t="s">
        <v>345</v>
      </c>
      <c r="H121" s="10">
        <v>64.77216274468644</v>
      </c>
    </row>
    <row r="122" spans="1:8" x14ac:dyDescent="0.2">
      <c r="A122" s="9"/>
      <c r="B122" s="24" t="s">
        <v>334</v>
      </c>
      <c r="C122" s="25">
        <v>44246</v>
      </c>
      <c r="D122" s="24" t="s">
        <v>644</v>
      </c>
      <c r="E122" s="24" t="s">
        <v>629</v>
      </c>
      <c r="F122" s="24" t="s">
        <v>333</v>
      </c>
      <c r="G122" s="24" t="s">
        <v>345</v>
      </c>
      <c r="H122" s="10">
        <v>27.533601047452436</v>
      </c>
    </row>
    <row r="123" spans="1:8" x14ac:dyDescent="0.2">
      <c r="A123" s="9"/>
      <c r="B123" s="24" t="s">
        <v>334</v>
      </c>
      <c r="C123" s="25">
        <v>44246</v>
      </c>
      <c r="D123" s="24" t="s">
        <v>645</v>
      </c>
      <c r="E123" s="24" t="s">
        <v>508</v>
      </c>
      <c r="F123" s="24" t="s">
        <v>333</v>
      </c>
      <c r="G123" s="24" t="s">
        <v>345</v>
      </c>
      <c r="H123" s="10">
        <v>51.458018967685113</v>
      </c>
    </row>
    <row r="124" spans="1:8" x14ac:dyDescent="0.2">
      <c r="A124" s="9"/>
      <c r="B124" s="24" t="s">
        <v>334</v>
      </c>
      <c r="C124" s="25">
        <v>44246</v>
      </c>
      <c r="D124" s="24" t="s">
        <v>646</v>
      </c>
      <c r="E124" s="24" t="s">
        <v>592</v>
      </c>
      <c r="F124" s="24" t="s">
        <v>333</v>
      </c>
      <c r="G124" s="24" t="s">
        <v>345</v>
      </c>
      <c r="H124" s="10">
        <v>52.471970080348861</v>
      </c>
    </row>
    <row r="125" spans="1:8" x14ac:dyDescent="0.2">
      <c r="A125" s="9"/>
      <c r="B125" s="24" t="s">
        <v>334</v>
      </c>
      <c r="C125" s="25">
        <v>44246</v>
      </c>
      <c r="D125" s="24" t="s">
        <v>647</v>
      </c>
      <c r="E125" s="24" t="s">
        <v>508</v>
      </c>
      <c r="F125" s="24" t="s">
        <v>333</v>
      </c>
      <c r="G125" s="24" t="s">
        <v>345</v>
      </c>
      <c r="H125" s="10">
        <v>30.430604226491713</v>
      </c>
    </row>
    <row r="126" spans="1:8" x14ac:dyDescent="0.2">
      <c r="A126" s="9"/>
      <c r="B126" s="24" t="s">
        <v>334</v>
      </c>
      <c r="C126" s="25">
        <v>44250</v>
      </c>
      <c r="D126" s="24" t="s">
        <v>648</v>
      </c>
      <c r="E126" s="24" t="s">
        <v>375</v>
      </c>
      <c r="F126" s="24" t="s">
        <v>333</v>
      </c>
      <c r="G126" s="24" t="s">
        <v>345</v>
      </c>
      <c r="H126" s="10">
        <v>646.90080987946999</v>
      </c>
    </row>
    <row r="127" spans="1:8" x14ac:dyDescent="0.2">
      <c r="A127" s="9"/>
      <c r="B127" s="24" t="s">
        <v>334</v>
      </c>
      <c r="C127" s="25">
        <v>44251</v>
      </c>
      <c r="D127" s="24" t="s">
        <v>649</v>
      </c>
      <c r="E127" s="24" t="s">
        <v>650</v>
      </c>
      <c r="F127" s="24" t="s">
        <v>333</v>
      </c>
      <c r="G127" s="24" t="s">
        <v>345</v>
      </c>
      <c r="H127" s="10">
        <v>3776.9799655190332</v>
      </c>
    </row>
    <row r="128" spans="1:8" x14ac:dyDescent="0.2">
      <c r="A128" s="9"/>
      <c r="B128" s="24" t="s">
        <v>334</v>
      </c>
      <c r="C128" s="25">
        <v>44253</v>
      </c>
      <c r="D128" s="24" t="s">
        <v>651</v>
      </c>
      <c r="E128" s="24" t="s">
        <v>510</v>
      </c>
      <c r="F128" s="24" t="s">
        <v>333</v>
      </c>
      <c r="G128" s="24" t="s">
        <v>345</v>
      </c>
      <c r="H128" s="10">
        <v>64.579029199417164</v>
      </c>
    </row>
    <row r="129" spans="1:8" x14ac:dyDescent="0.2">
      <c r="A129" s="9"/>
      <c r="B129" s="24" t="s">
        <v>334</v>
      </c>
      <c r="C129" s="25">
        <v>44253</v>
      </c>
      <c r="D129" s="24" t="s">
        <v>652</v>
      </c>
      <c r="E129" s="24" t="s">
        <v>344</v>
      </c>
      <c r="F129" s="24" t="s">
        <v>333</v>
      </c>
      <c r="G129" s="24" t="s">
        <v>345</v>
      </c>
      <c r="H129" s="10">
        <v>261.70802468646048</v>
      </c>
    </row>
    <row r="130" spans="1:8" x14ac:dyDescent="0.2">
      <c r="A130" s="9"/>
      <c r="B130" s="24" t="s">
        <v>334</v>
      </c>
      <c r="C130" s="25">
        <v>44253</v>
      </c>
      <c r="D130" s="24" t="s">
        <v>653</v>
      </c>
      <c r="E130" s="24" t="s">
        <v>346</v>
      </c>
      <c r="F130" s="24" t="s">
        <v>333</v>
      </c>
      <c r="G130" s="24" t="s">
        <v>345</v>
      </c>
      <c r="H130" s="10">
        <v>190.74351764657757</v>
      </c>
    </row>
    <row r="131" spans="1:8" x14ac:dyDescent="0.2">
      <c r="A131" s="9"/>
      <c r="B131" s="24" t="s">
        <v>334</v>
      </c>
      <c r="C131" s="25">
        <v>44253</v>
      </c>
      <c r="D131" s="24" t="s">
        <v>654</v>
      </c>
      <c r="E131" s="24" t="s">
        <v>544</v>
      </c>
      <c r="F131" s="24" t="s">
        <v>333</v>
      </c>
      <c r="G131" s="24" t="s">
        <v>345</v>
      </c>
      <c r="H131" s="10">
        <v>1697.3903751388489</v>
      </c>
    </row>
    <row r="132" spans="1:8" x14ac:dyDescent="0.2">
      <c r="A132" s="9"/>
      <c r="B132" s="24" t="s">
        <v>334</v>
      </c>
      <c r="C132" s="25">
        <v>44253</v>
      </c>
      <c r="D132" s="24" t="s">
        <v>655</v>
      </c>
      <c r="E132" s="24" t="s">
        <v>508</v>
      </c>
      <c r="F132" s="24" t="s">
        <v>333</v>
      </c>
      <c r="G132" s="24" t="s">
        <v>345</v>
      </c>
      <c r="H132" s="10">
        <v>4.8886928646287755</v>
      </c>
    </row>
    <row r="133" spans="1:8" x14ac:dyDescent="0.2">
      <c r="A133" s="9"/>
      <c r="B133" s="24" t="s">
        <v>334</v>
      </c>
      <c r="C133" s="25">
        <v>44253</v>
      </c>
      <c r="D133" s="24" t="s">
        <v>656</v>
      </c>
      <c r="E133" s="24" t="s">
        <v>508</v>
      </c>
      <c r="F133" s="24" t="s">
        <v>333</v>
      </c>
      <c r="G133" s="24" t="s">
        <v>345</v>
      </c>
      <c r="H133" s="10">
        <v>28.716544012226809</v>
      </c>
    </row>
    <row r="134" spans="1:8" x14ac:dyDescent="0.2">
      <c r="A134" s="9"/>
      <c r="B134" s="24" t="s">
        <v>334</v>
      </c>
      <c r="C134" s="25">
        <v>44256</v>
      </c>
      <c r="D134" s="24" t="s">
        <v>657</v>
      </c>
      <c r="E134" s="24" t="s">
        <v>508</v>
      </c>
      <c r="F134" s="24" t="s">
        <v>333</v>
      </c>
      <c r="G134" s="24" t="s">
        <v>345</v>
      </c>
      <c r="H134" s="10">
        <v>5.7941542671456761</v>
      </c>
    </row>
    <row r="135" spans="1:8" x14ac:dyDescent="0.2">
      <c r="A135" s="9"/>
      <c r="B135" s="24" t="s">
        <v>334</v>
      </c>
      <c r="C135" s="25">
        <v>44256</v>
      </c>
      <c r="D135" s="24" t="s">
        <v>658</v>
      </c>
      <c r="E135" s="24" t="s">
        <v>421</v>
      </c>
      <c r="F135" s="24" t="s">
        <v>333</v>
      </c>
      <c r="G135" s="24" t="s">
        <v>345</v>
      </c>
      <c r="H135" s="10">
        <v>36305.302109677104</v>
      </c>
    </row>
    <row r="136" spans="1:8" x14ac:dyDescent="0.2">
      <c r="A136" s="9"/>
      <c r="B136" s="24" t="s">
        <v>334</v>
      </c>
      <c r="C136" s="25">
        <v>44256</v>
      </c>
      <c r="D136" s="24" t="s">
        <v>659</v>
      </c>
      <c r="E136" s="24" t="s">
        <v>375</v>
      </c>
      <c r="F136" s="24" t="s">
        <v>333</v>
      </c>
      <c r="G136" s="24" t="s">
        <v>345</v>
      </c>
      <c r="H136" s="10">
        <v>904.53053863247885</v>
      </c>
    </row>
    <row r="137" spans="1:8" x14ac:dyDescent="0.2">
      <c r="A137" s="9"/>
      <c r="B137" s="24" t="s">
        <v>334</v>
      </c>
      <c r="C137" s="25">
        <v>44256</v>
      </c>
      <c r="D137" s="24" t="s">
        <v>660</v>
      </c>
      <c r="E137" s="24" t="s">
        <v>421</v>
      </c>
      <c r="F137" s="24" t="s">
        <v>333</v>
      </c>
      <c r="G137" s="24" t="s">
        <v>345</v>
      </c>
      <c r="H137" s="10">
        <v>36305.302109677104</v>
      </c>
    </row>
    <row r="138" spans="1:8" x14ac:dyDescent="0.2">
      <c r="A138" s="9"/>
      <c r="B138" s="24" t="s">
        <v>334</v>
      </c>
      <c r="C138" s="25">
        <v>44257</v>
      </c>
      <c r="D138" s="24" t="s">
        <v>661</v>
      </c>
      <c r="E138" s="24" t="s">
        <v>344</v>
      </c>
      <c r="F138" s="24" t="s">
        <v>333</v>
      </c>
      <c r="G138" s="24" t="s">
        <v>345</v>
      </c>
      <c r="H138" s="10">
        <v>520.56966284330986</v>
      </c>
    </row>
    <row r="139" spans="1:8" x14ac:dyDescent="0.2">
      <c r="A139" s="9"/>
      <c r="B139" s="24" t="s">
        <v>334</v>
      </c>
      <c r="C139" s="25">
        <v>44258</v>
      </c>
      <c r="D139" s="24" t="s">
        <v>662</v>
      </c>
      <c r="E139" s="24" t="s">
        <v>344</v>
      </c>
      <c r="F139" s="24" t="s">
        <v>333</v>
      </c>
      <c r="G139" s="24" t="s">
        <v>345</v>
      </c>
      <c r="H139" s="10">
        <v>273.25326705037935</v>
      </c>
    </row>
    <row r="140" spans="1:8" x14ac:dyDescent="0.2">
      <c r="A140" s="9"/>
      <c r="B140" s="24" t="s">
        <v>334</v>
      </c>
      <c r="C140" s="25">
        <v>44259</v>
      </c>
      <c r="D140" s="24" t="s">
        <v>663</v>
      </c>
      <c r="E140" s="24" t="s">
        <v>344</v>
      </c>
      <c r="F140" s="24" t="s">
        <v>333</v>
      </c>
      <c r="G140" s="24" t="s">
        <v>345</v>
      </c>
      <c r="H140" s="10">
        <v>265.32943390475509</v>
      </c>
    </row>
    <row r="141" spans="1:8" x14ac:dyDescent="0.2">
      <c r="A141" s="9"/>
      <c r="B141" s="24" t="s">
        <v>334</v>
      </c>
      <c r="C141" s="25">
        <v>44259</v>
      </c>
      <c r="D141" s="24" t="s">
        <v>664</v>
      </c>
      <c r="E141" s="24" t="s">
        <v>508</v>
      </c>
      <c r="F141" s="24" t="s">
        <v>333</v>
      </c>
      <c r="G141" s="24" t="s">
        <v>345</v>
      </c>
      <c r="H141" s="10">
        <v>31.885694940349921</v>
      </c>
    </row>
    <row r="142" spans="1:8" x14ac:dyDescent="0.2">
      <c r="A142" s="9"/>
      <c r="B142" s="24" t="s">
        <v>334</v>
      </c>
      <c r="C142" s="25">
        <v>44259</v>
      </c>
      <c r="D142" s="24" t="s">
        <v>665</v>
      </c>
      <c r="E142" s="24" t="s">
        <v>508</v>
      </c>
      <c r="F142" s="24" t="s">
        <v>333</v>
      </c>
      <c r="G142" s="24" t="s">
        <v>345</v>
      </c>
      <c r="H142" s="10">
        <v>24.794697110331807</v>
      </c>
    </row>
    <row r="143" spans="1:8" x14ac:dyDescent="0.2">
      <c r="A143" s="9"/>
      <c r="B143" s="24" t="s">
        <v>334</v>
      </c>
      <c r="C143" s="25">
        <v>44259</v>
      </c>
      <c r="D143" s="24" t="s">
        <v>666</v>
      </c>
      <c r="E143" s="24" t="s">
        <v>375</v>
      </c>
      <c r="F143" s="24" t="s">
        <v>333</v>
      </c>
      <c r="G143" s="24" t="s">
        <v>345</v>
      </c>
      <c r="H143" s="10">
        <v>42.629270511669318</v>
      </c>
    </row>
    <row r="144" spans="1:8" x14ac:dyDescent="0.2">
      <c r="A144" s="9"/>
      <c r="B144" s="24" t="s">
        <v>334</v>
      </c>
      <c r="C144" s="25">
        <v>44259</v>
      </c>
      <c r="D144" s="24" t="s">
        <v>667</v>
      </c>
      <c r="E144" s="24" t="s">
        <v>508</v>
      </c>
      <c r="F144" s="24" t="s">
        <v>333</v>
      </c>
      <c r="G144" s="24" t="s">
        <v>345</v>
      </c>
      <c r="H144" s="10">
        <v>56.727982640144937</v>
      </c>
    </row>
    <row r="145" spans="1:8" x14ac:dyDescent="0.2">
      <c r="A145" s="9"/>
      <c r="B145" s="24" t="s">
        <v>334</v>
      </c>
      <c r="C145" s="25">
        <v>44260</v>
      </c>
      <c r="D145" s="24" t="s">
        <v>668</v>
      </c>
      <c r="E145" s="24" t="s">
        <v>344</v>
      </c>
      <c r="F145" s="24" t="s">
        <v>333</v>
      </c>
      <c r="G145" s="24" t="s">
        <v>345</v>
      </c>
      <c r="H145" s="10">
        <v>486.86362785599226</v>
      </c>
    </row>
    <row r="146" spans="1:8" x14ac:dyDescent="0.2">
      <c r="A146" s="9"/>
      <c r="B146" s="24" t="s">
        <v>334</v>
      </c>
      <c r="C146" s="25">
        <v>44260</v>
      </c>
      <c r="D146" s="24" t="s">
        <v>669</v>
      </c>
      <c r="E146" s="24" t="s">
        <v>344</v>
      </c>
      <c r="F146" s="24" t="s">
        <v>333</v>
      </c>
      <c r="G146" s="24" t="s">
        <v>345</v>
      </c>
      <c r="H146" s="10">
        <v>516.11994272849984</v>
      </c>
    </row>
    <row r="147" spans="1:8" x14ac:dyDescent="0.2">
      <c r="A147" s="9"/>
      <c r="B147" s="24" t="s">
        <v>334</v>
      </c>
      <c r="C147" s="25">
        <v>44260</v>
      </c>
      <c r="D147" s="24" t="s">
        <v>670</v>
      </c>
      <c r="E147" s="24" t="s">
        <v>5</v>
      </c>
      <c r="F147" s="24" t="s">
        <v>333</v>
      </c>
      <c r="G147" s="24" t="s">
        <v>335</v>
      </c>
      <c r="H147" s="10">
        <v>26552.489099783332</v>
      </c>
    </row>
    <row r="148" spans="1:8" x14ac:dyDescent="0.2">
      <c r="A148" s="9"/>
      <c r="B148" s="24" t="s">
        <v>334</v>
      </c>
      <c r="C148" s="25">
        <v>44260</v>
      </c>
      <c r="D148" s="24" t="s">
        <v>671</v>
      </c>
      <c r="E148" s="24" t="s">
        <v>5</v>
      </c>
      <c r="F148" s="24" t="s">
        <v>333</v>
      </c>
      <c r="G148" s="24" t="s">
        <v>335</v>
      </c>
      <c r="H148" s="10">
        <v>47770.547715668697</v>
      </c>
    </row>
    <row r="149" spans="1:8" x14ac:dyDescent="0.2">
      <c r="A149" s="9"/>
      <c r="B149" s="24" t="s">
        <v>334</v>
      </c>
      <c r="C149" s="25">
        <v>44260</v>
      </c>
      <c r="D149" s="24" t="s">
        <v>672</v>
      </c>
      <c r="E149" s="24" t="s">
        <v>375</v>
      </c>
      <c r="F149" s="24" t="s">
        <v>333</v>
      </c>
      <c r="G149" s="24" t="s">
        <v>345</v>
      </c>
      <c r="H149" s="10">
        <v>15.455043928177071</v>
      </c>
    </row>
    <row r="150" spans="1:8" x14ac:dyDescent="0.2">
      <c r="A150" s="9"/>
      <c r="B150" s="24" t="s">
        <v>334</v>
      </c>
      <c r="C150" s="25">
        <v>44263</v>
      </c>
      <c r="D150" s="24" t="s">
        <v>673</v>
      </c>
      <c r="E150" s="24" t="s">
        <v>615</v>
      </c>
      <c r="F150" s="24" t="s">
        <v>333</v>
      </c>
      <c r="G150" s="24" t="s">
        <v>345</v>
      </c>
      <c r="H150" s="10">
        <v>379.77290391640656</v>
      </c>
    </row>
    <row r="151" spans="1:8" x14ac:dyDescent="0.2">
      <c r="A151" s="9"/>
      <c r="B151" s="24" t="s">
        <v>334</v>
      </c>
      <c r="C151" s="25">
        <v>44266</v>
      </c>
      <c r="D151" s="24" t="s">
        <v>674</v>
      </c>
      <c r="E151" s="24" t="s">
        <v>675</v>
      </c>
      <c r="F151" s="24" t="s">
        <v>333</v>
      </c>
      <c r="G151" s="24" t="s">
        <v>345</v>
      </c>
      <c r="H151" s="10">
        <v>542.81511398492819</v>
      </c>
    </row>
    <row r="152" spans="1:8" x14ac:dyDescent="0.2">
      <c r="A152" s="9"/>
      <c r="B152" s="24" t="s">
        <v>334</v>
      </c>
      <c r="C152" s="25">
        <v>44266</v>
      </c>
      <c r="D152" s="24" t="s">
        <v>676</v>
      </c>
      <c r="E152" s="24" t="s">
        <v>508</v>
      </c>
      <c r="F152" s="24" t="s">
        <v>333</v>
      </c>
      <c r="G152" s="24" t="s">
        <v>345</v>
      </c>
      <c r="H152" s="10">
        <v>161.68902770125203</v>
      </c>
    </row>
    <row r="153" spans="1:8" x14ac:dyDescent="0.2">
      <c r="A153" s="9"/>
      <c r="B153" s="24" t="s">
        <v>334</v>
      </c>
      <c r="C153" s="25">
        <v>44267</v>
      </c>
      <c r="D153" s="24" t="s">
        <v>677</v>
      </c>
      <c r="E153" s="24" t="s">
        <v>508</v>
      </c>
      <c r="F153" s="24" t="s">
        <v>333</v>
      </c>
      <c r="G153" s="24" t="s">
        <v>345</v>
      </c>
      <c r="H153" s="10">
        <v>311.08778567363038</v>
      </c>
    </row>
    <row r="154" spans="1:8" x14ac:dyDescent="0.2">
      <c r="A154" s="9"/>
      <c r="B154" s="24" t="s">
        <v>334</v>
      </c>
      <c r="C154" s="25">
        <v>44267</v>
      </c>
      <c r="D154" s="24" t="s">
        <v>678</v>
      </c>
      <c r="E154" s="24" t="s">
        <v>504</v>
      </c>
      <c r="F154" s="24" t="s">
        <v>333</v>
      </c>
      <c r="G154" s="24" t="s">
        <v>345</v>
      </c>
      <c r="H154" s="10">
        <v>18.857771074796503</v>
      </c>
    </row>
    <row r="155" spans="1:8" x14ac:dyDescent="0.2">
      <c r="A155" s="9"/>
      <c r="B155" s="24" t="s">
        <v>334</v>
      </c>
      <c r="C155" s="25">
        <v>44267</v>
      </c>
      <c r="D155" s="24" t="s">
        <v>679</v>
      </c>
      <c r="E155" s="24" t="s">
        <v>680</v>
      </c>
      <c r="F155" s="24" t="s">
        <v>333</v>
      </c>
      <c r="G155" s="24" t="s">
        <v>345</v>
      </c>
      <c r="H155" s="10">
        <v>29.756016061871328</v>
      </c>
    </row>
    <row r="156" spans="1:8" x14ac:dyDescent="0.2">
      <c r="A156" s="9"/>
      <c r="B156" s="24" t="s">
        <v>334</v>
      </c>
      <c r="C156" s="25">
        <v>44270</v>
      </c>
      <c r="D156" s="24" t="s">
        <v>681</v>
      </c>
      <c r="E156" s="24" t="s">
        <v>508</v>
      </c>
      <c r="F156" s="24" t="s">
        <v>333</v>
      </c>
      <c r="G156" s="24" t="s">
        <v>345</v>
      </c>
      <c r="H156" s="10">
        <v>49.172976562860534</v>
      </c>
    </row>
    <row r="157" spans="1:8" x14ac:dyDescent="0.2">
      <c r="A157" s="9"/>
      <c r="B157" s="24" t="s">
        <v>334</v>
      </c>
      <c r="C157" s="25">
        <v>44270</v>
      </c>
      <c r="D157" s="24" t="s">
        <v>682</v>
      </c>
      <c r="E157" s="24" t="s">
        <v>421</v>
      </c>
      <c r="F157" s="24" t="s">
        <v>333</v>
      </c>
      <c r="G157" s="24" t="s">
        <v>345</v>
      </c>
      <c r="H157" s="10">
        <v>58032.155153794709</v>
      </c>
    </row>
    <row r="158" spans="1:8" x14ac:dyDescent="0.2">
      <c r="A158" s="9"/>
      <c r="B158" s="24" t="s">
        <v>334</v>
      </c>
      <c r="C158" s="25">
        <v>44270</v>
      </c>
      <c r="D158" s="24" t="s">
        <v>683</v>
      </c>
      <c r="E158" s="24" t="s">
        <v>508</v>
      </c>
      <c r="F158" s="24" t="s">
        <v>333</v>
      </c>
      <c r="G158" s="24" t="s">
        <v>345</v>
      </c>
      <c r="H158" s="10">
        <v>14.491334491547091</v>
      </c>
    </row>
    <row r="159" spans="1:8" x14ac:dyDescent="0.2">
      <c r="A159" s="9"/>
      <c r="B159" s="24" t="s">
        <v>334</v>
      </c>
      <c r="C159" s="25">
        <v>44270</v>
      </c>
      <c r="D159" s="24" t="s">
        <v>684</v>
      </c>
      <c r="E159" s="24" t="s">
        <v>344</v>
      </c>
      <c r="F159" s="24" t="s">
        <v>333</v>
      </c>
      <c r="G159" s="24" t="s">
        <v>345</v>
      </c>
      <c r="H159" s="10">
        <v>166.98348077903401</v>
      </c>
    </row>
    <row r="160" spans="1:8" x14ac:dyDescent="0.2">
      <c r="A160" s="9"/>
      <c r="B160" s="24" t="s">
        <v>334</v>
      </c>
      <c r="C160" s="25">
        <v>44271</v>
      </c>
      <c r="D160" s="24" t="s">
        <v>685</v>
      </c>
      <c r="E160" s="24" t="s">
        <v>625</v>
      </c>
      <c r="F160" s="24" t="s">
        <v>333</v>
      </c>
      <c r="G160" s="24" t="s">
        <v>345</v>
      </c>
      <c r="H160" s="10">
        <v>73.372791304902222</v>
      </c>
    </row>
    <row r="161" spans="1:8" x14ac:dyDescent="0.2">
      <c r="A161" s="9"/>
      <c r="B161" s="24" t="s">
        <v>334</v>
      </c>
      <c r="C161" s="25">
        <v>44273</v>
      </c>
      <c r="D161" s="24" t="s">
        <v>686</v>
      </c>
      <c r="E161" s="24" t="s">
        <v>344</v>
      </c>
      <c r="F161" s="24" t="s">
        <v>333</v>
      </c>
      <c r="G161" s="24" t="s">
        <v>345</v>
      </c>
      <c r="H161" s="10">
        <v>23.509751194825167</v>
      </c>
    </row>
    <row r="162" spans="1:8" x14ac:dyDescent="0.2">
      <c r="A162" s="9"/>
      <c r="B162" s="24" t="s">
        <v>334</v>
      </c>
      <c r="C162" s="25">
        <v>44273</v>
      </c>
      <c r="D162" s="24" t="s">
        <v>687</v>
      </c>
      <c r="E162" s="24" t="s">
        <v>508</v>
      </c>
      <c r="F162" s="24" t="s">
        <v>333</v>
      </c>
      <c r="G162" s="24" t="s">
        <v>345</v>
      </c>
      <c r="H162" s="10">
        <v>379.34458861123767</v>
      </c>
    </row>
    <row r="163" spans="1:8" x14ac:dyDescent="0.2">
      <c r="A163" s="9"/>
      <c r="B163" s="24" t="s">
        <v>334</v>
      </c>
      <c r="C163" s="25">
        <v>44273</v>
      </c>
      <c r="D163" s="24" t="s">
        <v>688</v>
      </c>
      <c r="E163" s="24" t="s">
        <v>566</v>
      </c>
      <c r="F163" s="24" t="s">
        <v>333</v>
      </c>
      <c r="G163" s="24" t="s">
        <v>345</v>
      </c>
      <c r="H163" s="10">
        <v>10.315260266150515</v>
      </c>
    </row>
    <row r="164" spans="1:8" x14ac:dyDescent="0.2">
      <c r="A164" s="9"/>
      <c r="B164" s="24" t="s">
        <v>334</v>
      </c>
      <c r="C164" s="25">
        <v>44274</v>
      </c>
      <c r="D164" s="24" t="s">
        <v>689</v>
      </c>
      <c r="E164" s="24" t="s">
        <v>585</v>
      </c>
      <c r="F164" s="24" t="s">
        <v>333</v>
      </c>
      <c r="G164" s="24" t="s">
        <v>345</v>
      </c>
      <c r="H164" s="10">
        <v>2359.0779710160668</v>
      </c>
    </row>
    <row r="165" spans="1:8" x14ac:dyDescent="0.2">
      <c r="A165" s="9"/>
      <c r="B165" s="24" t="s">
        <v>334</v>
      </c>
      <c r="C165" s="25">
        <v>44277</v>
      </c>
      <c r="D165" s="24" t="s">
        <v>690</v>
      </c>
      <c r="E165" s="24" t="s">
        <v>344</v>
      </c>
      <c r="F165" s="24" t="s">
        <v>333</v>
      </c>
      <c r="G165" s="24" t="s">
        <v>345</v>
      </c>
      <c r="H165" s="10">
        <v>201.65322520298164</v>
      </c>
    </row>
    <row r="166" spans="1:8" x14ac:dyDescent="0.2">
      <c r="A166" s="9"/>
      <c r="B166" s="24" t="s">
        <v>334</v>
      </c>
      <c r="C166" s="25">
        <v>44277</v>
      </c>
      <c r="D166" s="24" t="s">
        <v>691</v>
      </c>
      <c r="E166" s="24" t="s">
        <v>375</v>
      </c>
      <c r="F166" s="24" t="s">
        <v>333</v>
      </c>
      <c r="G166" s="24" t="s">
        <v>345</v>
      </c>
      <c r="H166" s="10">
        <v>4.8066495357840928</v>
      </c>
    </row>
    <row r="167" spans="1:8" x14ac:dyDescent="0.2">
      <c r="A167" s="9"/>
      <c r="B167" s="24" t="s">
        <v>334</v>
      </c>
      <c r="C167" s="25">
        <v>44277</v>
      </c>
      <c r="D167" s="24" t="s">
        <v>692</v>
      </c>
      <c r="E167" s="24" t="s">
        <v>344</v>
      </c>
      <c r="F167" s="24" t="s">
        <v>333</v>
      </c>
      <c r="G167" s="24" t="s">
        <v>345</v>
      </c>
      <c r="H167" s="10">
        <v>361.91453522033743</v>
      </c>
    </row>
    <row r="168" spans="1:8" x14ac:dyDescent="0.2">
      <c r="A168" s="9"/>
      <c r="B168" s="24" t="s">
        <v>334</v>
      </c>
      <c r="C168" s="25">
        <v>44277</v>
      </c>
      <c r="D168" s="24" t="s">
        <v>693</v>
      </c>
      <c r="E168" s="24" t="s">
        <v>694</v>
      </c>
      <c r="F168" s="24" t="s">
        <v>333</v>
      </c>
      <c r="G168" s="24" t="s">
        <v>345</v>
      </c>
      <c r="H168" s="10">
        <v>3873.3385881737386</v>
      </c>
    </row>
    <row r="169" spans="1:8" x14ac:dyDescent="0.2">
      <c r="A169" s="9"/>
      <c r="B169" s="24" t="s">
        <v>334</v>
      </c>
      <c r="C169" s="25">
        <v>44278</v>
      </c>
      <c r="D169" s="24" t="s">
        <v>695</v>
      </c>
      <c r="E169" s="24" t="s">
        <v>508</v>
      </c>
      <c r="F169" s="24" t="s">
        <v>333</v>
      </c>
      <c r="G169" s="24" t="s">
        <v>345</v>
      </c>
      <c r="H169" s="10">
        <v>9.1611884716677014</v>
      </c>
    </row>
    <row r="170" spans="1:8" x14ac:dyDescent="0.2">
      <c r="A170" s="9"/>
      <c r="B170" s="24" t="s">
        <v>334</v>
      </c>
      <c r="C170" s="25">
        <v>44278</v>
      </c>
      <c r="D170" s="24" t="s">
        <v>696</v>
      </c>
      <c r="E170" s="24" t="s">
        <v>344</v>
      </c>
      <c r="F170" s="24" t="s">
        <v>333</v>
      </c>
      <c r="G170" s="24" t="s">
        <v>345</v>
      </c>
      <c r="H170" s="10">
        <v>53.932035509181418</v>
      </c>
    </row>
    <row r="171" spans="1:8" x14ac:dyDescent="0.2">
      <c r="A171" s="9"/>
      <c r="B171" s="24" t="s">
        <v>334</v>
      </c>
      <c r="C171" s="25">
        <v>44278</v>
      </c>
      <c r="D171" s="24" t="s">
        <v>697</v>
      </c>
      <c r="E171" s="24" t="s">
        <v>508</v>
      </c>
      <c r="F171" s="24" t="s">
        <v>333</v>
      </c>
      <c r="G171" s="24" t="s">
        <v>345</v>
      </c>
      <c r="H171" s="10">
        <v>20.249795816595363</v>
      </c>
    </row>
    <row r="172" spans="1:8" x14ac:dyDescent="0.2">
      <c r="A172" s="9"/>
      <c r="B172" s="24" t="s">
        <v>334</v>
      </c>
      <c r="C172" s="25">
        <v>44278</v>
      </c>
      <c r="D172" s="24" t="s">
        <v>698</v>
      </c>
      <c r="E172" s="24" t="s">
        <v>650</v>
      </c>
      <c r="F172" s="24" t="s">
        <v>333</v>
      </c>
      <c r="G172" s="24" t="s">
        <v>345</v>
      </c>
      <c r="H172" s="10">
        <v>6078.876866256689</v>
      </c>
    </row>
    <row r="173" spans="1:8" x14ac:dyDescent="0.2">
      <c r="A173" s="9"/>
      <c r="B173" s="24" t="s">
        <v>334</v>
      </c>
      <c r="C173" s="25">
        <v>44280</v>
      </c>
      <c r="D173" s="24" t="s">
        <v>699</v>
      </c>
      <c r="E173" s="24" t="s">
        <v>700</v>
      </c>
      <c r="F173" s="24" t="s">
        <v>333</v>
      </c>
      <c r="G173" s="24" t="s">
        <v>345</v>
      </c>
      <c r="H173" s="10">
        <v>772.3119834563189</v>
      </c>
    </row>
    <row r="174" spans="1:8" x14ac:dyDescent="0.2">
      <c r="A174" s="9"/>
      <c r="B174" s="24" t="s">
        <v>334</v>
      </c>
      <c r="C174" s="25">
        <v>44280</v>
      </c>
      <c r="D174" s="24" t="s">
        <v>701</v>
      </c>
      <c r="E174" s="24" t="s">
        <v>510</v>
      </c>
      <c r="F174" s="24" t="s">
        <v>333</v>
      </c>
      <c r="G174" s="24" t="s">
        <v>345</v>
      </c>
      <c r="H174" s="10">
        <v>40.892213996262193</v>
      </c>
    </row>
    <row r="175" spans="1:8" x14ac:dyDescent="0.2">
      <c r="A175" s="9"/>
      <c r="B175" s="24" t="s">
        <v>334</v>
      </c>
      <c r="C175" s="25">
        <v>44280</v>
      </c>
      <c r="D175" s="24" t="s">
        <v>702</v>
      </c>
      <c r="E175" s="24" t="s">
        <v>508</v>
      </c>
      <c r="F175" s="24" t="s">
        <v>333</v>
      </c>
      <c r="G175" s="24" t="s">
        <v>345</v>
      </c>
      <c r="H175" s="10">
        <v>100.52322259366288</v>
      </c>
    </row>
    <row r="176" spans="1:8" x14ac:dyDescent="0.2">
      <c r="A176" s="9"/>
      <c r="B176" s="24" t="s">
        <v>334</v>
      </c>
      <c r="C176" s="25">
        <v>44280</v>
      </c>
      <c r="D176" s="24" t="s">
        <v>703</v>
      </c>
      <c r="E176" s="24" t="s">
        <v>600</v>
      </c>
      <c r="F176" s="24" t="s">
        <v>333</v>
      </c>
      <c r="G176" s="24" t="s">
        <v>345</v>
      </c>
      <c r="H176" s="10">
        <v>24.461562984089344</v>
      </c>
    </row>
    <row r="177" spans="1:8" x14ac:dyDescent="0.2">
      <c r="A177" s="9"/>
      <c r="B177" s="24" t="s">
        <v>334</v>
      </c>
      <c r="C177" s="25">
        <v>44280</v>
      </c>
      <c r="D177" s="24" t="s">
        <v>704</v>
      </c>
      <c r="E177" s="24" t="s">
        <v>508</v>
      </c>
      <c r="F177" s="24" t="s">
        <v>333</v>
      </c>
      <c r="G177" s="24" t="s">
        <v>345</v>
      </c>
      <c r="H177" s="10">
        <v>28.494865441096294</v>
      </c>
    </row>
    <row r="178" spans="1:8" x14ac:dyDescent="0.2">
      <c r="A178" s="9"/>
      <c r="B178" s="24" t="s">
        <v>334</v>
      </c>
      <c r="C178" s="25">
        <v>44280</v>
      </c>
      <c r="D178" s="24" t="s">
        <v>705</v>
      </c>
      <c r="E178" s="24" t="s">
        <v>706</v>
      </c>
      <c r="F178" s="24" t="s">
        <v>333</v>
      </c>
      <c r="G178" s="24" t="s">
        <v>707</v>
      </c>
      <c r="H178" s="10">
        <v>692.44307668968861</v>
      </c>
    </row>
    <row r="179" spans="1:8" x14ac:dyDescent="0.2">
      <c r="A179" s="9"/>
      <c r="B179" s="24" t="s">
        <v>334</v>
      </c>
      <c r="C179" s="25">
        <v>44280</v>
      </c>
      <c r="D179" s="24" t="s">
        <v>708</v>
      </c>
      <c r="E179" s="24" t="s">
        <v>566</v>
      </c>
      <c r="F179" s="24" t="s">
        <v>333</v>
      </c>
      <c r="G179" s="24" t="s">
        <v>345</v>
      </c>
      <c r="H179" s="10">
        <v>4.8066495357840928</v>
      </c>
    </row>
    <row r="180" spans="1:8" x14ac:dyDescent="0.2">
      <c r="A180" s="9"/>
      <c r="B180" s="24" t="s">
        <v>334</v>
      </c>
      <c r="C180" s="25">
        <v>44280</v>
      </c>
      <c r="D180" s="24" t="s">
        <v>709</v>
      </c>
      <c r="E180" s="24" t="s">
        <v>508</v>
      </c>
      <c r="F180" s="24" t="s">
        <v>333</v>
      </c>
      <c r="G180" s="24" t="s">
        <v>345</v>
      </c>
      <c r="H180" s="10">
        <v>39.167055128220873</v>
      </c>
    </row>
    <row r="181" spans="1:8" x14ac:dyDescent="0.2">
      <c r="A181" s="9"/>
      <c r="B181" s="24" t="s">
        <v>334</v>
      </c>
      <c r="C181" s="25">
        <v>44281</v>
      </c>
      <c r="D181" s="24" t="s">
        <v>710</v>
      </c>
      <c r="E181" s="24" t="s">
        <v>711</v>
      </c>
      <c r="F181" s="24" t="s">
        <v>333</v>
      </c>
      <c r="G181" s="24" t="s">
        <v>345</v>
      </c>
      <c r="H181" s="10">
        <v>12968.245266366555</v>
      </c>
    </row>
    <row r="182" spans="1:8" x14ac:dyDescent="0.2">
      <c r="A182" s="9"/>
      <c r="B182" s="24" t="s">
        <v>334</v>
      </c>
      <c r="C182" s="25">
        <v>44281</v>
      </c>
      <c r="D182" s="24" t="s">
        <v>712</v>
      </c>
      <c r="E182" s="24" t="s">
        <v>643</v>
      </c>
      <c r="F182" s="24" t="s">
        <v>333</v>
      </c>
      <c r="G182" s="24" t="s">
        <v>345</v>
      </c>
      <c r="H182" s="10">
        <v>7.079100182652315</v>
      </c>
    </row>
    <row r="183" spans="1:8" x14ac:dyDescent="0.2">
      <c r="A183" s="9"/>
      <c r="B183" s="24" t="s">
        <v>334</v>
      </c>
      <c r="C183" s="25">
        <v>44284</v>
      </c>
      <c r="D183" s="24" t="s">
        <v>713</v>
      </c>
      <c r="E183" s="24" t="s">
        <v>597</v>
      </c>
      <c r="F183" s="24" t="s">
        <v>333</v>
      </c>
      <c r="G183" s="24" t="s">
        <v>345</v>
      </c>
      <c r="H183" s="10">
        <v>9174.0855214122312</v>
      </c>
    </row>
    <row r="184" spans="1:8" x14ac:dyDescent="0.2">
      <c r="A184" s="9"/>
      <c r="B184" s="24" t="s">
        <v>334</v>
      </c>
      <c r="C184" s="25">
        <v>44284</v>
      </c>
      <c r="D184" s="24" t="s">
        <v>714</v>
      </c>
      <c r="E184" s="24" t="s">
        <v>344</v>
      </c>
      <c r="F184" s="24" t="s">
        <v>333</v>
      </c>
      <c r="G184" s="24" t="s">
        <v>345</v>
      </c>
      <c r="H184" s="10">
        <v>1410.2519375632676</v>
      </c>
    </row>
    <row r="185" spans="1:8" x14ac:dyDescent="0.2">
      <c r="A185" s="9"/>
      <c r="B185" s="24" t="s">
        <v>498</v>
      </c>
      <c r="C185" s="25">
        <v>44284</v>
      </c>
      <c r="D185" s="24" t="s">
        <v>715</v>
      </c>
      <c r="E185" s="24"/>
      <c r="F185" s="24" t="s">
        <v>333</v>
      </c>
      <c r="G185" s="24" t="s">
        <v>335</v>
      </c>
      <c r="H185" s="10">
        <v>-52.718475477869589</v>
      </c>
    </row>
    <row r="186" spans="1:8" x14ac:dyDescent="0.2">
      <c r="A186" s="9"/>
      <c r="B186" s="24" t="s">
        <v>334</v>
      </c>
      <c r="C186" s="25">
        <v>44285</v>
      </c>
      <c r="D186" s="24" t="s">
        <v>716</v>
      </c>
      <c r="E186" s="24" t="s">
        <v>508</v>
      </c>
      <c r="F186" s="24" t="s">
        <v>333</v>
      </c>
      <c r="G186" s="24" t="s">
        <v>345</v>
      </c>
      <c r="H186" s="10">
        <v>211.63535134288972</v>
      </c>
    </row>
    <row r="187" spans="1:8" x14ac:dyDescent="0.2">
      <c r="A187" s="9"/>
      <c r="B187" s="24" t="s">
        <v>334</v>
      </c>
      <c r="C187" s="25">
        <v>44285</v>
      </c>
      <c r="D187" s="24" t="s">
        <v>717</v>
      </c>
      <c r="E187" s="24" t="s">
        <v>508</v>
      </c>
      <c r="F187" s="24" t="s">
        <v>333</v>
      </c>
      <c r="G187" s="24" t="s">
        <v>345</v>
      </c>
      <c r="H187" s="10">
        <v>48.352038894620179</v>
      </c>
    </row>
    <row r="188" spans="1:8" x14ac:dyDescent="0.2">
      <c r="A188" s="9"/>
      <c r="B188" s="24" t="s">
        <v>334</v>
      </c>
      <c r="C188" s="25">
        <v>44285</v>
      </c>
      <c r="D188" s="24" t="s">
        <v>718</v>
      </c>
      <c r="E188" s="24" t="s">
        <v>508</v>
      </c>
      <c r="F188" s="24" t="s">
        <v>333</v>
      </c>
      <c r="G188" s="24" t="s">
        <v>345</v>
      </c>
      <c r="H188" s="10">
        <v>120.17813604196812</v>
      </c>
    </row>
    <row r="189" spans="1:8" x14ac:dyDescent="0.2">
      <c r="A189" s="9"/>
      <c r="B189" s="24" t="s">
        <v>334</v>
      </c>
      <c r="C189" s="25">
        <v>44285</v>
      </c>
      <c r="D189" s="24" t="s">
        <v>719</v>
      </c>
      <c r="E189" s="24" t="s">
        <v>508</v>
      </c>
      <c r="F189" s="24" t="s">
        <v>333</v>
      </c>
      <c r="G189" s="24" t="s">
        <v>345</v>
      </c>
      <c r="H189" s="10">
        <v>66.888573490540026</v>
      </c>
    </row>
    <row r="190" spans="1:8" x14ac:dyDescent="0.2">
      <c r="A190" s="9"/>
      <c r="B190" s="24" t="s">
        <v>334</v>
      </c>
      <c r="C190" s="25">
        <v>44285</v>
      </c>
      <c r="D190" s="24" t="s">
        <v>720</v>
      </c>
      <c r="E190" s="24" t="s">
        <v>625</v>
      </c>
      <c r="F190" s="24" t="s">
        <v>333</v>
      </c>
      <c r="G190" s="24" t="s">
        <v>345</v>
      </c>
      <c r="H190" s="10">
        <v>234.96663782722786</v>
      </c>
    </row>
    <row r="191" spans="1:8" x14ac:dyDescent="0.2">
      <c r="A191" s="9"/>
      <c r="B191" s="24" t="s">
        <v>334</v>
      </c>
      <c r="C191" s="25">
        <v>44285</v>
      </c>
      <c r="D191" s="24" t="s">
        <v>721</v>
      </c>
      <c r="E191" s="24" t="s">
        <v>722</v>
      </c>
      <c r="F191" s="24" t="s">
        <v>333</v>
      </c>
      <c r="G191" s="24" t="s">
        <v>345</v>
      </c>
      <c r="H191" s="10">
        <v>1648.7997672476019</v>
      </c>
    </row>
    <row r="192" spans="1:8" x14ac:dyDescent="0.2">
      <c r="A192" s="9"/>
      <c r="B192" s="24" t="s">
        <v>495</v>
      </c>
      <c r="C192" s="25">
        <v>44286</v>
      </c>
      <c r="D192" s="24" t="s">
        <v>723</v>
      </c>
      <c r="E192" s="24"/>
      <c r="F192" s="24" t="s">
        <v>333</v>
      </c>
      <c r="G192" s="24" t="s">
        <v>707</v>
      </c>
      <c r="H192" s="10">
        <v>24152.711956120485</v>
      </c>
    </row>
    <row r="193" spans="1:8" x14ac:dyDescent="0.2">
      <c r="A193" s="9"/>
      <c r="B193" s="24" t="s">
        <v>334</v>
      </c>
      <c r="C193" s="25">
        <v>44286</v>
      </c>
      <c r="D193" s="24" t="s">
        <v>724</v>
      </c>
      <c r="E193" s="24" t="s">
        <v>375</v>
      </c>
      <c r="F193" s="24" t="s">
        <v>333</v>
      </c>
      <c r="G193" s="24" t="s">
        <v>345</v>
      </c>
      <c r="H193" s="10">
        <v>280.05872134361823</v>
      </c>
    </row>
    <row r="194" spans="1:8" x14ac:dyDescent="0.2">
      <c r="A194" s="9"/>
      <c r="B194" s="24" t="s">
        <v>334</v>
      </c>
      <c r="C194" s="25">
        <v>44286</v>
      </c>
      <c r="D194" s="24" t="s">
        <v>725</v>
      </c>
      <c r="E194" s="24" t="s">
        <v>508</v>
      </c>
      <c r="F194" s="24" t="s">
        <v>333</v>
      </c>
      <c r="G194" s="24" t="s">
        <v>345</v>
      </c>
      <c r="H194" s="10">
        <v>72.456672457735465</v>
      </c>
    </row>
    <row r="195" spans="1:8" x14ac:dyDescent="0.2">
      <c r="A195" s="9"/>
      <c r="B195" s="24" t="s">
        <v>334</v>
      </c>
      <c r="C195" s="25">
        <v>44286</v>
      </c>
      <c r="D195" s="24" t="s">
        <v>726</v>
      </c>
      <c r="E195" s="24" t="s">
        <v>344</v>
      </c>
      <c r="F195" s="24" t="s">
        <v>333</v>
      </c>
      <c r="G195" s="24" t="s">
        <v>345</v>
      </c>
      <c r="H195" s="10">
        <v>1089.7769081180193</v>
      </c>
    </row>
    <row r="196" spans="1:8" x14ac:dyDescent="0.2">
      <c r="A196" s="9"/>
      <c r="B196" s="24" t="s">
        <v>334</v>
      </c>
      <c r="C196" s="25">
        <v>44287</v>
      </c>
      <c r="D196" s="24" t="s">
        <v>727</v>
      </c>
      <c r="E196" s="24" t="s">
        <v>650</v>
      </c>
      <c r="F196" s="24" t="s">
        <v>333</v>
      </c>
      <c r="G196" s="24" t="s">
        <v>345</v>
      </c>
      <c r="H196" s="10">
        <v>296.55663166244494</v>
      </c>
    </row>
    <row r="197" spans="1:8" x14ac:dyDescent="0.2">
      <c r="A197" s="9"/>
      <c r="B197" s="24" t="s">
        <v>334</v>
      </c>
      <c r="C197" s="25">
        <v>44291</v>
      </c>
      <c r="D197" s="24" t="s">
        <v>728</v>
      </c>
      <c r="E197" s="24" t="s">
        <v>729</v>
      </c>
      <c r="F197" s="24" t="s">
        <v>333</v>
      </c>
      <c r="G197" s="24" t="s">
        <v>345</v>
      </c>
      <c r="H197" s="10">
        <v>5501.5865140781652</v>
      </c>
    </row>
    <row r="198" spans="1:8" x14ac:dyDescent="0.2">
      <c r="A198" s="9"/>
      <c r="B198" s="24" t="s">
        <v>334</v>
      </c>
      <c r="C198" s="25">
        <v>44292</v>
      </c>
      <c r="D198" s="24" t="s">
        <v>730</v>
      </c>
      <c r="E198" s="24" t="s">
        <v>592</v>
      </c>
      <c r="F198" s="24" t="s">
        <v>333</v>
      </c>
      <c r="G198" s="24" t="s">
        <v>345</v>
      </c>
      <c r="H198" s="10">
        <v>25.889959576966543</v>
      </c>
    </row>
    <row r="199" spans="1:8" x14ac:dyDescent="0.2">
      <c r="A199" s="9"/>
      <c r="B199" s="24" t="s">
        <v>334</v>
      </c>
      <c r="C199" s="25">
        <v>44292</v>
      </c>
      <c r="D199" s="24" t="s">
        <v>731</v>
      </c>
      <c r="E199" s="24" t="s">
        <v>592</v>
      </c>
      <c r="F199" s="24" t="s">
        <v>333</v>
      </c>
      <c r="G199" s="24" t="s">
        <v>345</v>
      </c>
      <c r="H199" s="10">
        <v>25.889959576966543</v>
      </c>
    </row>
    <row r="200" spans="1:8" x14ac:dyDescent="0.2">
      <c r="A200" s="9"/>
      <c r="B200" s="24" t="s">
        <v>334</v>
      </c>
      <c r="C200" s="25">
        <v>44292</v>
      </c>
      <c r="D200" s="24" t="s">
        <v>732</v>
      </c>
      <c r="E200" s="24" t="s">
        <v>344</v>
      </c>
      <c r="F200" s="24" t="s">
        <v>333</v>
      </c>
      <c r="G200" s="24" t="s">
        <v>345</v>
      </c>
      <c r="H200" s="10">
        <v>426.64022532445051</v>
      </c>
    </row>
    <row r="201" spans="1:8" x14ac:dyDescent="0.2">
      <c r="A201" s="9"/>
      <c r="B201" s="24" t="s">
        <v>334</v>
      </c>
      <c r="C201" s="25">
        <v>44292</v>
      </c>
      <c r="D201" s="24" t="s">
        <v>733</v>
      </c>
      <c r="E201" s="24" t="s">
        <v>344</v>
      </c>
      <c r="F201" s="24" t="s">
        <v>333</v>
      </c>
      <c r="G201" s="24" t="s">
        <v>345</v>
      </c>
      <c r="H201" s="10">
        <v>1096.7058627268368</v>
      </c>
    </row>
    <row r="202" spans="1:8" x14ac:dyDescent="0.2">
      <c r="A202" s="9"/>
      <c r="B202" s="24" t="s">
        <v>334</v>
      </c>
      <c r="C202" s="25">
        <v>44293</v>
      </c>
      <c r="D202" s="24" t="s">
        <v>734</v>
      </c>
      <c r="E202" s="24" t="s">
        <v>344</v>
      </c>
      <c r="F202" s="24" t="s">
        <v>333</v>
      </c>
      <c r="G202" s="24" t="s">
        <v>345</v>
      </c>
      <c r="H202" s="10">
        <v>340.58750055962315</v>
      </c>
    </row>
    <row r="203" spans="1:8" x14ac:dyDescent="0.2">
      <c r="A203" s="9"/>
      <c r="B203" s="24" t="s">
        <v>334</v>
      </c>
      <c r="C203" s="25">
        <v>44294</v>
      </c>
      <c r="D203" s="24" t="s">
        <v>735</v>
      </c>
      <c r="E203" s="24" t="s">
        <v>736</v>
      </c>
      <c r="F203" s="24" t="s">
        <v>333</v>
      </c>
      <c r="G203" s="24" t="s">
        <v>345</v>
      </c>
      <c r="H203" s="10">
        <v>552.13178920467533</v>
      </c>
    </row>
    <row r="204" spans="1:8" x14ac:dyDescent="0.2">
      <c r="A204" s="9"/>
      <c r="B204" s="24" t="s">
        <v>334</v>
      </c>
      <c r="C204" s="25">
        <v>44294</v>
      </c>
      <c r="D204" s="24" t="s">
        <v>737</v>
      </c>
      <c r="E204" s="24" t="s">
        <v>375</v>
      </c>
      <c r="F204" s="24" t="s">
        <v>333</v>
      </c>
      <c r="G204" s="24" t="s">
        <v>345</v>
      </c>
      <c r="H204" s="10">
        <v>464.05809299942894</v>
      </c>
    </row>
    <row r="205" spans="1:8" x14ac:dyDescent="0.2">
      <c r="A205" s="9"/>
      <c r="B205" s="24" t="s">
        <v>334</v>
      </c>
      <c r="C205" s="25">
        <v>44294</v>
      </c>
      <c r="D205" s="24" t="s">
        <v>738</v>
      </c>
      <c r="E205" s="24" t="s">
        <v>739</v>
      </c>
      <c r="F205" s="24" t="s">
        <v>333</v>
      </c>
      <c r="G205" s="24" t="s">
        <v>345</v>
      </c>
      <c r="H205" s="10">
        <v>412.38579954350632</v>
      </c>
    </row>
    <row r="206" spans="1:8" x14ac:dyDescent="0.2">
      <c r="A206" s="9"/>
      <c r="B206" s="24" t="s">
        <v>334</v>
      </c>
      <c r="C206" s="25">
        <v>44294</v>
      </c>
      <c r="D206" s="24" t="s">
        <v>740</v>
      </c>
      <c r="E206" s="24" t="s">
        <v>346</v>
      </c>
      <c r="F206" s="24" t="s">
        <v>333</v>
      </c>
      <c r="G206" s="24" t="s">
        <v>345</v>
      </c>
      <c r="H206" s="10">
        <v>70.423081731527006</v>
      </c>
    </row>
    <row r="207" spans="1:8" x14ac:dyDescent="0.2">
      <c r="A207" s="9"/>
      <c r="B207" s="24" t="s">
        <v>334</v>
      </c>
      <c r="C207" s="25">
        <v>44294</v>
      </c>
      <c r="D207" s="24" t="s">
        <v>741</v>
      </c>
      <c r="E207" s="24" t="s">
        <v>739</v>
      </c>
      <c r="F207" s="24" t="s">
        <v>333</v>
      </c>
      <c r="G207" s="24" t="s">
        <v>345</v>
      </c>
      <c r="H207" s="10">
        <v>934.74114563194769</v>
      </c>
    </row>
    <row r="208" spans="1:8" x14ac:dyDescent="0.2">
      <c r="A208" s="9"/>
      <c r="B208" s="24" t="s">
        <v>498</v>
      </c>
      <c r="C208" s="25">
        <v>44294</v>
      </c>
      <c r="D208" s="24" t="s">
        <v>742</v>
      </c>
      <c r="E208" s="24"/>
      <c r="F208" s="24" t="s">
        <v>333</v>
      </c>
      <c r="G208" s="24" t="s">
        <v>335</v>
      </c>
      <c r="H208" s="10">
        <v>-52.987718653828523</v>
      </c>
    </row>
    <row r="209" spans="1:8" x14ac:dyDescent="0.2">
      <c r="A209" s="9"/>
      <c r="B209" s="24" t="s">
        <v>334</v>
      </c>
      <c r="C209" s="25">
        <v>44295</v>
      </c>
      <c r="D209" s="24" t="s">
        <v>743</v>
      </c>
      <c r="E209" s="24" t="s">
        <v>508</v>
      </c>
      <c r="F209" s="24" t="s">
        <v>333</v>
      </c>
      <c r="G209" s="24" t="s">
        <v>345</v>
      </c>
      <c r="H209" s="10">
        <v>15.976436949111918</v>
      </c>
    </row>
    <row r="210" spans="1:8" x14ac:dyDescent="0.2">
      <c r="A210" s="9"/>
      <c r="B210" s="24" t="s">
        <v>334</v>
      </c>
      <c r="C210" s="25">
        <v>44295</v>
      </c>
      <c r="D210" s="24" t="s">
        <v>744</v>
      </c>
      <c r="E210" s="24" t="s">
        <v>504</v>
      </c>
      <c r="F210" s="24" t="s">
        <v>333</v>
      </c>
      <c r="G210" s="24" t="s">
        <v>345</v>
      </c>
      <c r="H210" s="10">
        <v>53.418221445870458</v>
      </c>
    </row>
    <row r="211" spans="1:8" x14ac:dyDescent="0.2">
      <c r="A211" s="9"/>
      <c r="B211" s="24" t="s">
        <v>334</v>
      </c>
      <c r="C211" s="25">
        <v>44299</v>
      </c>
      <c r="D211" s="24" t="s">
        <v>745</v>
      </c>
      <c r="E211" s="24" t="s">
        <v>375</v>
      </c>
      <c r="F211" s="24" t="s">
        <v>333</v>
      </c>
      <c r="G211" s="24" t="s">
        <v>345</v>
      </c>
      <c r="H211" s="10">
        <v>723.08923128888489</v>
      </c>
    </row>
    <row r="212" spans="1:8" x14ac:dyDescent="0.2">
      <c r="A212" s="9"/>
      <c r="B212" s="24" t="s">
        <v>334</v>
      </c>
      <c r="C212" s="25">
        <v>44299</v>
      </c>
      <c r="D212" s="24" t="s">
        <v>746</v>
      </c>
      <c r="E212" s="24" t="s">
        <v>747</v>
      </c>
      <c r="F212" s="24" t="s">
        <v>333</v>
      </c>
      <c r="G212" s="24" t="s">
        <v>345</v>
      </c>
      <c r="H212" s="10">
        <v>208.47097704630841</v>
      </c>
    </row>
    <row r="213" spans="1:8" x14ac:dyDescent="0.2">
      <c r="A213" s="9"/>
      <c r="B213" s="24" t="s">
        <v>334</v>
      </c>
      <c r="C213" s="25">
        <v>44299</v>
      </c>
      <c r="D213" s="24" t="s">
        <v>748</v>
      </c>
      <c r="E213" s="24" t="s">
        <v>643</v>
      </c>
      <c r="F213" s="24" t="s">
        <v>333</v>
      </c>
      <c r="G213" s="24" t="s">
        <v>345</v>
      </c>
      <c r="H213" s="10">
        <v>29.788401527124091</v>
      </c>
    </row>
    <row r="214" spans="1:8" x14ac:dyDescent="0.2">
      <c r="A214" s="9"/>
      <c r="B214" s="24" t="s">
        <v>334</v>
      </c>
      <c r="C214" s="25">
        <v>44299</v>
      </c>
      <c r="D214" s="24" t="s">
        <v>749</v>
      </c>
      <c r="E214" s="24" t="s">
        <v>508</v>
      </c>
      <c r="F214" s="24" t="s">
        <v>333</v>
      </c>
      <c r="G214" s="24" t="s">
        <v>335</v>
      </c>
      <c r="H214" s="10">
        <v>66.847516875400913</v>
      </c>
    </row>
    <row r="215" spans="1:8" x14ac:dyDescent="0.2">
      <c r="A215" s="9"/>
      <c r="B215" s="24" t="s">
        <v>334</v>
      </c>
      <c r="C215" s="25">
        <v>44300</v>
      </c>
      <c r="D215" s="24" t="s">
        <v>750</v>
      </c>
      <c r="E215" s="24" t="s">
        <v>421</v>
      </c>
      <c r="F215" s="24" t="s">
        <v>333</v>
      </c>
      <c r="G215" s="24" t="s">
        <v>345</v>
      </c>
      <c r="H215" s="10">
        <v>36490.720120261671</v>
      </c>
    </row>
    <row r="216" spans="1:8" x14ac:dyDescent="0.2">
      <c r="A216" s="9"/>
      <c r="B216" s="24" t="s">
        <v>334</v>
      </c>
      <c r="C216" s="25">
        <v>44300</v>
      </c>
      <c r="D216" s="24" t="s">
        <v>751</v>
      </c>
      <c r="E216" s="24" t="s">
        <v>421</v>
      </c>
      <c r="F216" s="24" t="s">
        <v>333</v>
      </c>
      <c r="G216" s="24" t="s">
        <v>345</v>
      </c>
      <c r="H216" s="10">
        <v>36490.720120261671</v>
      </c>
    </row>
    <row r="217" spans="1:8" x14ac:dyDescent="0.2">
      <c r="A217" s="9"/>
      <c r="B217" s="24" t="s">
        <v>334</v>
      </c>
      <c r="C217" s="25">
        <v>44301</v>
      </c>
      <c r="D217" s="24" t="s">
        <v>752</v>
      </c>
      <c r="E217" s="24" t="s">
        <v>568</v>
      </c>
      <c r="F217" s="24" t="s">
        <v>333</v>
      </c>
      <c r="G217" s="24" t="s">
        <v>345</v>
      </c>
      <c r="H217" s="10">
        <v>34173.89759442264</v>
      </c>
    </row>
    <row r="218" spans="1:8" x14ac:dyDescent="0.2">
      <c r="A218" s="9"/>
      <c r="B218" s="24" t="s">
        <v>334</v>
      </c>
      <c r="C218" s="25">
        <v>44301</v>
      </c>
      <c r="D218" s="24" t="s">
        <v>753</v>
      </c>
      <c r="E218" s="24" t="s">
        <v>566</v>
      </c>
      <c r="F218" s="24" t="s">
        <v>333</v>
      </c>
      <c r="G218" s="24" t="s">
        <v>335</v>
      </c>
      <c r="H218" s="10">
        <v>36.341610694873587</v>
      </c>
    </row>
    <row r="219" spans="1:8" x14ac:dyDescent="0.2">
      <c r="A219" s="9"/>
      <c r="B219" s="24" t="s">
        <v>334</v>
      </c>
      <c r="C219" s="25">
        <v>44301</v>
      </c>
      <c r="D219" s="24" t="s">
        <v>754</v>
      </c>
      <c r="E219" s="24" t="s">
        <v>521</v>
      </c>
      <c r="F219" s="24" t="s">
        <v>333</v>
      </c>
      <c r="G219" s="24" t="s">
        <v>345</v>
      </c>
      <c r="H219" s="10">
        <v>10089.466727279987</v>
      </c>
    </row>
    <row r="220" spans="1:8" x14ac:dyDescent="0.2">
      <c r="A220" s="9"/>
      <c r="B220" s="24" t="s">
        <v>334</v>
      </c>
      <c r="C220" s="25">
        <v>44302</v>
      </c>
      <c r="D220" s="24" t="s">
        <v>755</v>
      </c>
      <c r="E220" s="24" t="s">
        <v>420</v>
      </c>
      <c r="F220" s="24" t="s">
        <v>333</v>
      </c>
      <c r="G220" s="24" t="s">
        <v>345</v>
      </c>
      <c r="H220" s="10">
        <v>1910.8823097652617</v>
      </c>
    </row>
    <row r="221" spans="1:8" x14ac:dyDescent="0.2">
      <c r="A221" s="9"/>
      <c r="B221" s="24" t="s">
        <v>334</v>
      </c>
      <c r="C221" s="25">
        <v>44302</v>
      </c>
      <c r="D221" s="24" t="s">
        <v>756</v>
      </c>
      <c r="E221" s="24" t="s">
        <v>376</v>
      </c>
      <c r="F221" s="24" t="s">
        <v>333</v>
      </c>
      <c r="G221" s="24" t="s">
        <v>345</v>
      </c>
      <c r="H221" s="10">
        <v>2557.3540024815716</v>
      </c>
    </row>
    <row r="222" spans="1:8" x14ac:dyDescent="0.2">
      <c r="A222" s="9"/>
      <c r="B222" s="24" t="s">
        <v>334</v>
      </c>
      <c r="C222" s="25">
        <v>44305</v>
      </c>
      <c r="D222" s="24" t="s">
        <v>757</v>
      </c>
      <c r="E222" s="24" t="s">
        <v>639</v>
      </c>
      <c r="F222" s="24" t="s">
        <v>333</v>
      </c>
      <c r="G222" s="24" t="s">
        <v>345</v>
      </c>
      <c r="H222" s="10">
        <v>2068.2789139001502</v>
      </c>
    </row>
    <row r="223" spans="1:8" x14ac:dyDescent="0.2">
      <c r="A223" s="9"/>
      <c r="B223" s="24" t="s">
        <v>334</v>
      </c>
      <c r="C223" s="25">
        <v>44305</v>
      </c>
      <c r="D223" s="24" t="s">
        <v>758</v>
      </c>
      <c r="E223" s="24" t="s">
        <v>759</v>
      </c>
      <c r="F223" s="24" t="s">
        <v>333</v>
      </c>
      <c r="G223" s="24" t="s">
        <v>335</v>
      </c>
      <c r="H223" s="10">
        <v>1553.8782241689339</v>
      </c>
    </row>
    <row r="224" spans="1:8" x14ac:dyDescent="0.2">
      <c r="A224" s="9"/>
      <c r="B224" s="24" t="s">
        <v>334</v>
      </c>
      <c r="C224" s="25">
        <v>44305</v>
      </c>
      <c r="D224" s="24" t="s">
        <v>760</v>
      </c>
      <c r="E224" s="24" t="s">
        <v>508</v>
      </c>
      <c r="F224" s="24" t="s">
        <v>333</v>
      </c>
      <c r="G224" s="24" t="s">
        <v>345</v>
      </c>
      <c r="H224" s="10">
        <v>30.087361799375437</v>
      </c>
    </row>
    <row r="225" spans="1:8" x14ac:dyDescent="0.2">
      <c r="A225" s="9"/>
      <c r="B225" s="24" t="s">
        <v>334</v>
      </c>
      <c r="C225" s="25">
        <v>44305</v>
      </c>
      <c r="D225" s="24" t="s">
        <v>761</v>
      </c>
      <c r="E225" s="24" t="s">
        <v>762</v>
      </c>
      <c r="F225" s="24" t="s">
        <v>333</v>
      </c>
      <c r="G225" s="24" t="s">
        <v>335</v>
      </c>
      <c r="H225" s="10">
        <v>2017.961636285625</v>
      </c>
    </row>
    <row r="226" spans="1:8" x14ac:dyDescent="0.2">
      <c r="A226" s="9"/>
      <c r="B226" s="24" t="s">
        <v>334</v>
      </c>
      <c r="C226" s="25">
        <v>44306</v>
      </c>
      <c r="D226" s="24" t="s">
        <v>763</v>
      </c>
      <c r="E226" s="24" t="s">
        <v>344</v>
      </c>
      <c r="F226" s="24" t="s">
        <v>333</v>
      </c>
      <c r="G226" s="24" t="s">
        <v>345</v>
      </c>
      <c r="H226" s="10">
        <v>278.22438776799243</v>
      </c>
    </row>
    <row r="227" spans="1:8" x14ac:dyDescent="0.2">
      <c r="A227" s="9"/>
      <c r="B227" s="24" t="s">
        <v>334</v>
      </c>
      <c r="C227" s="25">
        <v>44306</v>
      </c>
      <c r="D227" s="24" t="s">
        <v>764</v>
      </c>
      <c r="E227" s="24" t="s">
        <v>375</v>
      </c>
      <c r="F227" s="24" t="s">
        <v>333</v>
      </c>
      <c r="G227" s="24" t="s">
        <v>345</v>
      </c>
      <c r="H227" s="10">
        <v>562.51168985724212</v>
      </c>
    </row>
    <row r="228" spans="1:8" x14ac:dyDescent="0.2">
      <c r="A228" s="9"/>
      <c r="B228" s="24" t="s">
        <v>334</v>
      </c>
      <c r="C228" s="25">
        <v>44306</v>
      </c>
      <c r="D228" s="24" t="s">
        <v>765</v>
      </c>
      <c r="E228" s="24" t="s">
        <v>544</v>
      </c>
      <c r="F228" s="24" t="s">
        <v>333</v>
      </c>
      <c r="G228" s="24" t="s">
        <v>345</v>
      </c>
      <c r="H228" s="10">
        <v>1681.5797809484795</v>
      </c>
    </row>
    <row r="229" spans="1:8" x14ac:dyDescent="0.2">
      <c r="A229" s="9"/>
      <c r="B229" s="24" t="s">
        <v>581</v>
      </c>
      <c r="C229" s="25">
        <v>44308</v>
      </c>
      <c r="D229" s="24" t="s">
        <v>766</v>
      </c>
      <c r="E229" s="24"/>
      <c r="F229" s="24" t="s">
        <v>333</v>
      </c>
      <c r="G229" s="24" t="s">
        <v>345</v>
      </c>
      <c r="H229" s="10">
        <v>22.9481904980133</v>
      </c>
    </row>
    <row r="230" spans="1:8" x14ac:dyDescent="0.2">
      <c r="A230" s="9"/>
      <c r="B230" s="24" t="s">
        <v>334</v>
      </c>
      <c r="C230" s="25">
        <v>44308</v>
      </c>
      <c r="D230" s="24" t="s">
        <v>767</v>
      </c>
      <c r="E230" s="24" t="s">
        <v>346</v>
      </c>
      <c r="F230" s="24" t="s">
        <v>333</v>
      </c>
      <c r="G230" s="24" t="s">
        <v>345</v>
      </c>
      <c r="H230" s="10">
        <v>71.39171301362137</v>
      </c>
    </row>
    <row r="231" spans="1:8" x14ac:dyDescent="0.2">
      <c r="A231" s="9"/>
      <c r="B231" s="24" t="s">
        <v>334</v>
      </c>
      <c r="C231" s="25">
        <v>44308</v>
      </c>
      <c r="D231" s="24" t="s">
        <v>768</v>
      </c>
      <c r="E231" s="24" t="s">
        <v>615</v>
      </c>
      <c r="F231" s="24" t="s">
        <v>333</v>
      </c>
      <c r="G231" s="24" t="s">
        <v>345</v>
      </c>
      <c r="H231" s="10">
        <v>7223.1313042212041</v>
      </c>
    </row>
    <row r="232" spans="1:8" x14ac:dyDescent="0.2">
      <c r="A232" s="9"/>
      <c r="B232" s="24" t="s">
        <v>334</v>
      </c>
      <c r="C232" s="25">
        <v>44309</v>
      </c>
      <c r="D232" s="24" t="s">
        <v>769</v>
      </c>
      <c r="E232" s="24" t="s">
        <v>346</v>
      </c>
      <c r="F232" s="24" t="s">
        <v>333</v>
      </c>
      <c r="G232" s="24" t="s">
        <v>345</v>
      </c>
      <c r="H232" s="10">
        <v>4.4604872619900782</v>
      </c>
    </row>
    <row r="233" spans="1:8" x14ac:dyDescent="0.2">
      <c r="A233" s="9"/>
      <c r="B233" s="24" t="s">
        <v>334</v>
      </c>
      <c r="C233" s="25">
        <v>44309</v>
      </c>
      <c r="D233" s="24" t="s">
        <v>770</v>
      </c>
      <c r="E233" s="24" t="s">
        <v>424</v>
      </c>
      <c r="F233" s="24" t="s">
        <v>333</v>
      </c>
      <c r="G233" s="24" t="s">
        <v>345</v>
      </c>
      <c r="H233" s="10">
        <v>87.655151824094574</v>
      </c>
    </row>
    <row r="234" spans="1:8" x14ac:dyDescent="0.2">
      <c r="A234" s="9"/>
      <c r="B234" s="24" t="s">
        <v>334</v>
      </c>
      <c r="C234" s="25">
        <v>44309</v>
      </c>
      <c r="D234" s="24" t="s">
        <v>771</v>
      </c>
      <c r="E234" s="24" t="s">
        <v>376</v>
      </c>
      <c r="F234" s="24" t="s">
        <v>333</v>
      </c>
      <c r="G234" s="24" t="s">
        <v>345</v>
      </c>
      <c r="H234" s="10">
        <v>685.82682295547716</v>
      </c>
    </row>
    <row r="235" spans="1:8" x14ac:dyDescent="0.2">
      <c r="A235" s="9"/>
      <c r="B235" s="24" t="s">
        <v>334</v>
      </c>
      <c r="C235" s="25">
        <v>44309</v>
      </c>
      <c r="D235" s="24" t="s">
        <v>772</v>
      </c>
      <c r="E235" s="24" t="s">
        <v>585</v>
      </c>
      <c r="F235" s="24" t="s">
        <v>333</v>
      </c>
      <c r="G235" s="24" t="s">
        <v>345</v>
      </c>
      <c r="H235" s="10">
        <v>5033.3713405822782</v>
      </c>
    </row>
    <row r="236" spans="1:8" x14ac:dyDescent="0.2">
      <c r="A236" s="9"/>
      <c r="B236" s="24" t="s">
        <v>334</v>
      </c>
      <c r="C236" s="25">
        <v>44309</v>
      </c>
      <c r="D236" s="24" t="s">
        <v>773</v>
      </c>
      <c r="E236" s="24" t="s">
        <v>611</v>
      </c>
      <c r="F236" s="24" t="s">
        <v>333</v>
      </c>
      <c r="G236" s="24" t="s">
        <v>345</v>
      </c>
      <c r="H236" s="10">
        <v>68.872936658751954</v>
      </c>
    </row>
    <row r="237" spans="1:8" x14ac:dyDescent="0.2">
      <c r="A237" s="9"/>
      <c r="B237" s="24" t="s">
        <v>334</v>
      </c>
      <c r="C237" s="25">
        <v>44312</v>
      </c>
      <c r="D237" s="24" t="s">
        <v>774</v>
      </c>
      <c r="E237" s="24" t="s">
        <v>346</v>
      </c>
      <c r="F237" s="24" t="s">
        <v>333</v>
      </c>
      <c r="G237" s="24" t="s">
        <v>345</v>
      </c>
      <c r="H237" s="10">
        <v>5.3214928460739541</v>
      </c>
    </row>
    <row r="238" spans="1:8" x14ac:dyDescent="0.2">
      <c r="A238" s="9"/>
      <c r="B238" s="24" t="s">
        <v>334</v>
      </c>
      <c r="C238" s="25">
        <v>44312</v>
      </c>
      <c r="D238" s="24" t="s">
        <v>775</v>
      </c>
      <c r="E238" s="24" t="s">
        <v>423</v>
      </c>
      <c r="F238" s="24" t="s">
        <v>333</v>
      </c>
      <c r="G238" s="24" t="s">
        <v>345</v>
      </c>
      <c r="H238" s="10">
        <v>5044.7393428454388</v>
      </c>
    </row>
    <row r="239" spans="1:8" x14ac:dyDescent="0.2">
      <c r="A239" s="9"/>
      <c r="B239" s="24" t="s">
        <v>334</v>
      </c>
      <c r="C239" s="25">
        <v>44312</v>
      </c>
      <c r="D239" s="24" t="s">
        <v>776</v>
      </c>
      <c r="E239" s="24" t="s">
        <v>777</v>
      </c>
      <c r="F239" s="24" t="s">
        <v>333</v>
      </c>
      <c r="G239" s="24" t="s">
        <v>345</v>
      </c>
      <c r="H239" s="10">
        <v>15.976436949111918</v>
      </c>
    </row>
    <row r="240" spans="1:8" x14ac:dyDescent="0.2">
      <c r="A240" s="9"/>
      <c r="B240" s="24" t="s">
        <v>334</v>
      </c>
      <c r="C240" s="25">
        <v>44313</v>
      </c>
      <c r="D240" s="24" t="s">
        <v>778</v>
      </c>
      <c r="E240" s="24" t="s">
        <v>377</v>
      </c>
      <c r="F240" s="24" t="s">
        <v>333</v>
      </c>
      <c r="G240" s="24" t="s">
        <v>345</v>
      </c>
      <c r="H240" s="10">
        <v>26.021502096757136</v>
      </c>
    </row>
    <row r="241" spans="1:8" x14ac:dyDescent="0.2">
      <c r="A241" s="9"/>
      <c r="B241" s="24" t="s">
        <v>334</v>
      </c>
      <c r="C241" s="25">
        <v>44313</v>
      </c>
      <c r="D241" s="24" t="s">
        <v>779</v>
      </c>
      <c r="E241" s="24" t="s">
        <v>344</v>
      </c>
      <c r="F241" s="24" t="s">
        <v>333</v>
      </c>
      <c r="G241" s="24" t="s">
        <v>345</v>
      </c>
      <c r="H241" s="10">
        <v>418.30521293408299</v>
      </c>
    </row>
    <row r="242" spans="1:8" x14ac:dyDescent="0.2">
      <c r="A242" s="9"/>
      <c r="B242" s="24" t="s">
        <v>334</v>
      </c>
      <c r="C242" s="25">
        <v>44314</v>
      </c>
      <c r="D242" s="24" t="s">
        <v>780</v>
      </c>
      <c r="E242" s="24" t="s">
        <v>781</v>
      </c>
      <c r="F242" s="24" t="s">
        <v>333</v>
      </c>
      <c r="G242" s="24" t="s">
        <v>345</v>
      </c>
      <c r="H242" s="10">
        <v>35.456688289009605</v>
      </c>
    </row>
    <row r="243" spans="1:8" x14ac:dyDescent="0.2">
      <c r="A243" s="9"/>
      <c r="B243" s="24" t="s">
        <v>334</v>
      </c>
      <c r="C243" s="25">
        <v>44315</v>
      </c>
      <c r="D243" s="24" t="s">
        <v>782</v>
      </c>
      <c r="E243" s="24" t="s">
        <v>344</v>
      </c>
      <c r="F243" s="24" t="s">
        <v>333</v>
      </c>
      <c r="G243" s="24" t="s">
        <v>345</v>
      </c>
      <c r="H243" s="10">
        <v>281.70428533699805</v>
      </c>
    </row>
    <row r="244" spans="1:8" x14ac:dyDescent="0.2">
      <c r="A244" s="9"/>
      <c r="B244" s="24" t="s">
        <v>334</v>
      </c>
      <c r="C244" s="25">
        <v>44315</v>
      </c>
      <c r="D244" s="24" t="s">
        <v>783</v>
      </c>
      <c r="E244" s="24" t="s">
        <v>377</v>
      </c>
      <c r="F244" s="24" t="s">
        <v>333</v>
      </c>
      <c r="G244" s="24" t="s">
        <v>345</v>
      </c>
      <c r="H244" s="10">
        <v>650.41796831002785</v>
      </c>
    </row>
    <row r="245" spans="1:8" x14ac:dyDescent="0.2">
      <c r="A245" s="9"/>
      <c r="B245" s="24" t="s">
        <v>334</v>
      </c>
      <c r="C245" s="25">
        <v>44315</v>
      </c>
      <c r="D245" s="24" t="s">
        <v>784</v>
      </c>
      <c r="E245" s="24" t="s">
        <v>377</v>
      </c>
      <c r="F245" s="24" t="s">
        <v>333</v>
      </c>
      <c r="G245" s="24" t="s">
        <v>345</v>
      </c>
      <c r="H245" s="10">
        <v>52.449590163776101</v>
      </c>
    </row>
    <row r="246" spans="1:8" x14ac:dyDescent="0.2">
      <c r="A246" s="9"/>
      <c r="B246" s="24" t="s">
        <v>334</v>
      </c>
      <c r="C246" s="25">
        <v>44315</v>
      </c>
      <c r="D246" s="24" t="s">
        <v>785</v>
      </c>
      <c r="E246" s="24" t="s">
        <v>568</v>
      </c>
      <c r="F246" s="24" t="s">
        <v>333</v>
      </c>
      <c r="G246" s="24" t="s">
        <v>345</v>
      </c>
      <c r="H246" s="10">
        <v>34172.259292130708</v>
      </c>
    </row>
    <row r="247" spans="1:8" x14ac:dyDescent="0.2">
      <c r="A247" s="9"/>
      <c r="B247" s="24" t="s">
        <v>334</v>
      </c>
      <c r="C247" s="25">
        <v>44315</v>
      </c>
      <c r="D247" s="24" t="s">
        <v>786</v>
      </c>
      <c r="E247" s="24" t="s">
        <v>377</v>
      </c>
      <c r="F247" s="24" t="s">
        <v>333</v>
      </c>
      <c r="G247" s="24" t="s">
        <v>345</v>
      </c>
      <c r="H247" s="10">
        <v>72.288593830375405</v>
      </c>
    </row>
    <row r="248" spans="1:8" x14ac:dyDescent="0.2">
      <c r="A248" s="9"/>
      <c r="B248" s="24" t="s">
        <v>334</v>
      </c>
      <c r="C248" s="25">
        <v>44315</v>
      </c>
      <c r="D248" s="24" t="s">
        <v>787</v>
      </c>
      <c r="E248" s="24" t="s">
        <v>377</v>
      </c>
      <c r="F248" s="24" t="s">
        <v>333</v>
      </c>
      <c r="G248" s="24" t="s">
        <v>345</v>
      </c>
      <c r="H248" s="10">
        <v>5.3573680787441162</v>
      </c>
    </row>
    <row r="249" spans="1:8" x14ac:dyDescent="0.2">
      <c r="A249" s="9"/>
      <c r="B249" s="24" t="s">
        <v>334</v>
      </c>
      <c r="C249" s="25">
        <v>44315</v>
      </c>
      <c r="D249" s="24" t="s">
        <v>788</v>
      </c>
      <c r="E249" s="24" t="s">
        <v>377</v>
      </c>
      <c r="F249" s="24" t="s">
        <v>333</v>
      </c>
      <c r="G249" s="24" t="s">
        <v>345</v>
      </c>
      <c r="H249" s="10">
        <v>137.01947197823679</v>
      </c>
    </row>
    <row r="250" spans="1:8" x14ac:dyDescent="0.2">
      <c r="A250" s="9"/>
      <c r="B250" s="24" t="s">
        <v>334</v>
      </c>
      <c r="C250" s="25">
        <v>44315</v>
      </c>
      <c r="D250" s="24" t="s">
        <v>789</v>
      </c>
      <c r="E250" s="24" t="s">
        <v>377</v>
      </c>
      <c r="F250" s="24" t="s">
        <v>333</v>
      </c>
      <c r="G250" s="24" t="s">
        <v>345</v>
      </c>
      <c r="H250" s="10">
        <v>230.03199188107547</v>
      </c>
    </row>
    <row r="251" spans="1:8" x14ac:dyDescent="0.2">
      <c r="A251" s="9"/>
      <c r="B251" s="24" t="s">
        <v>334</v>
      </c>
      <c r="C251" s="25">
        <v>44315</v>
      </c>
      <c r="D251" s="24" t="s">
        <v>790</v>
      </c>
      <c r="E251" s="24" t="s">
        <v>377</v>
      </c>
      <c r="F251" s="24" t="s">
        <v>333</v>
      </c>
      <c r="G251" s="24" t="s">
        <v>345</v>
      </c>
      <c r="H251" s="10">
        <v>479.31702529513763</v>
      </c>
    </row>
    <row r="252" spans="1:8" x14ac:dyDescent="0.2">
      <c r="A252" s="9"/>
      <c r="B252" s="24" t="s">
        <v>334</v>
      </c>
      <c r="C252" s="25">
        <v>44315</v>
      </c>
      <c r="D252" s="24" t="s">
        <v>791</v>
      </c>
      <c r="E252" s="24" t="s">
        <v>377</v>
      </c>
      <c r="F252" s="24" t="s">
        <v>333</v>
      </c>
      <c r="G252" s="24" t="s">
        <v>345</v>
      </c>
      <c r="H252" s="10">
        <v>113.963655782213</v>
      </c>
    </row>
    <row r="253" spans="1:8" x14ac:dyDescent="0.2">
      <c r="A253" s="9"/>
      <c r="B253" s="24" t="s">
        <v>334</v>
      </c>
      <c r="C253" s="25">
        <v>44315</v>
      </c>
      <c r="D253" s="24" t="s">
        <v>792</v>
      </c>
      <c r="E253" s="24" t="s">
        <v>344</v>
      </c>
      <c r="F253" s="24" t="s">
        <v>333</v>
      </c>
      <c r="G253" s="24" t="s">
        <v>345</v>
      </c>
      <c r="H253" s="10">
        <v>328.13879482307709</v>
      </c>
    </row>
    <row r="254" spans="1:8" x14ac:dyDescent="0.2">
      <c r="A254" s="9"/>
      <c r="B254" s="24" t="s">
        <v>334</v>
      </c>
      <c r="C254" s="25">
        <v>44315</v>
      </c>
      <c r="D254" s="24" t="s">
        <v>793</v>
      </c>
      <c r="E254" s="24" t="s">
        <v>510</v>
      </c>
      <c r="F254" s="24" t="s">
        <v>333</v>
      </c>
      <c r="G254" s="24" t="s">
        <v>345</v>
      </c>
      <c r="H254" s="10">
        <v>34.177138323773846</v>
      </c>
    </row>
    <row r="255" spans="1:8" x14ac:dyDescent="0.2">
      <c r="A255" s="9"/>
      <c r="B255" s="24" t="s">
        <v>425</v>
      </c>
      <c r="C255" s="25">
        <v>44316</v>
      </c>
      <c r="D255" s="24" t="s">
        <v>794</v>
      </c>
      <c r="E255" s="24" t="s">
        <v>494</v>
      </c>
      <c r="F255" s="24" t="s">
        <v>333</v>
      </c>
      <c r="G255" s="24" t="s">
        <v>343</v>
      </c>
      <c r="H255" s="10">
        <v>-5813.3689041045</v>
      </c>
    </row>
    <row r="256" spans="1:8" x14ac:dyDescent="0.2">
      <c r="A256" s="9"/>
      <c r="B256" s="24" t="s">
        <v>334</v>
      </c>
      <c r="C256" s="25">
        <v>44316</v>
      </c>
      <c r="D256" s="24" t="s">
        <v>795</v>
      </c>
      <c r="E256" s="24" t="s">
        <v>796</v>
      </c>
      <c r="F256" s="24" t="s">
        <v>333</v>
      </c>
      <c r="G256" s="24" t="s">
        <v>345</v>
      </c>
      <c r="H256" s="10">
        <v>358.20223980067243</v>
      </c>
    </row>
    <row r="257" spans="1:8" x14ac:dyDescent="0.2">
      <c r="A257" s="9"/>
      <c r="B257" s="24" t="s">
        <v>498</v>
      </c>
      <c r="C257" s="25">
        <v>44316</v>
      </c>
      <c r="D257" s="24" t="s">
        <v>797</v>
      </c>
      <c r="E257" s="24"/>
      <c r="F257" s="24" t="s">
        <v>333</v>
      </c>
      <c r="G257" s="24" t="s">
        <v>335</v>
      </c>
      <c r="H257" s="10">
        <v>388.40918570894837</v>
      </c>
    </row>
    <row r="258" spans="1:8" x14ac:dyDescent="0.2">
      <c r="A258" s="9"/>
      <c r="B258" s="24" t="s">
        <v>334</v>
      </c>
      <c r="C258" s="25">
        <v>44320</v>
      </c>
      <c r="D258" s="24" t="s">
        <v>798</v>
      </c>
      <c r="E258" s="24" t="s">
        <v>344</v>
      </c>
      <c r="F258" s="24" t="s">
        <v>333</v>
      </c>
      <c r="G258" s="24" t="s">
        <v>345</v>
      </c>
      <c r="H258" s="10">
        <v>937.52817547340726</v>
      </c>
    </row>
    <row r="259" spans="1:8" x14ac:dyDescent="0.2">
      <c r="A259" s="9"/>
      <c r="B259" s="24" t="s">
        <v>334</v>
      </c>
      <c r="C259" s="25">
        <v>44320</v>
      </c>
      <c r="D259" s="24" t="s">
        <v>799</v>
      </c>
      <c r="E259" s="24" t="s">
        <v>376</v>
      </c>
      <c r="F259" s="24" t="s">
        <v>333</v>
      </c>
      <c r="G259" s="24" t="s">
        <v>345</v>
      </c>
      <c r="H259" s="10">
        <v>241.30138510323258</v>
      </c>
    </row>
    <row r="260" spans="1:8" x14ac:dyDescent="0.2">
      <c r="A260" s="9"/>
      <c r="B260" s="24" t="s">
        <v>334</v>
      </c>
      <c r="C260" s="25">
        <v>44321</v>
      </c>
      <c r="D260" s="24" t="s">
        <v>800</v>
      </c>
      <c r="E260" s="24" t="s">
        <v>777</v>
      </c>
      <c r="F260" s="24" t="s">
        <v>333</v>
      </c>
      <c r="G260" s="24" t="s">
        <v>345</v>
      </c>
      <c r="H260" s="10">
        <v>58.090848996529864</v>
      </c>
    </row>
    <row r="261" spans="1:8" x14ac:dyDescent="0.2">
      <c r="A261" s="9"/>
      <c r="B261" s="24" t="s">
        <v>334</v>
      </c>
      <c r="C261" s="25">
        <v>44321</v>
      </c>
      <c r="D261" s="24" t="s">
        <v>801</v>
      </c>
      <c r="E261" s="24" t="s">
        <v>344</v>
      </c>
      <c r="F261" s="24" t="s">
        <v>333</v>
      </c>
      <c r="G261" s="24" t="s">
        <v>345</v>
      </c>
      <c r="H261" s="10">
        <v>450.46249097309101</v>
      </c>
    </row>
    <row r="262" spans="1:8" x14ac:dyDescent="0.2">
      <c r="A262" s="9"/>
      <c r="B262" s="24" t="s">
        <v>334</v>
      </c>
      <c r="C262" s="25">
        <v>44321</v>
      </c>
      <c r="D262" s="24" t="s">
        <v>802</v>
      </c>
      <c r="E262" s="24" t="s">
        <v>796</v>
      </c>
      <c r="F262" s="24" t="s">
        <v>333</v>
      </c>
      <c r="G262" s="24" t="s">
        <v>345</v>
      </c>
      <c r="H262" s="10">
        <v>265.6346044547202</v>
      </c>
    </row>
    <row r="263" spans="1:8" x14ac:dyDescent="0.2">
      <c r="A263" s="9"/>
      <c r="B263" s="24" t="s">
        <v>334</v>
      </c>
      <c r="C263" s="25">
        <v>44321</v>
      </c>
      <c r="D263" s="24" t="s">
        <v>803</v>
      </c>
      <c r="E263" s="24" t="s">
        <v>376</v>
      </c>
      <c r="F263" s="24" t="s">
        <v>333</v>
      </c>
      <c r="G263" s="24" t="s">
        <v>345</v>
      </c>
      <c r="H263" s="10">
        <v>154.24415504960953</v>
      </c>
    </row>
    <row r="264" spans="1:8" x14ac:dyDescent="0.2">
      <c r="A264" s="9"/>
      <c r="B264" s="24" t="s">
        <v>334</v>
      </c>
      <c r="C264" s="25">
        <v>44321</v>
      </c>
      <c r="D264" s="24" t="s">
        <v>804</v>
      </c>
      <c r="E264" s="24" t="s">
        <v>375</v>
      </c>
      <c r="F264" s="24" t="s">
        <v>333</v>
      </c>
      <c r="G264" s="24" t="s">
        <v>345</v>
      </c>
      <c r="H264" s="10">
        <v>286.40478868877358</v>
      </c>
    </row>
    <row r="265" spans="1:8" x14ac:dyDescent="0.2">
      <c r="A265" s="9"/>
      <c r="B265" s="24" t="s">
        <v>334</v>
      </c>
      <c r="C265" s="25">
        <v>44322</v>
      </c>
      <c r="D265" s="24" t="s">
        <v>805</v>
      </c>
      <c r="E265" s="24" t="s">
        <v>344</v>
      </c>
      <c r="F265" s="24" t="s">
        <v>333</v>
      </c>
      <c r="G265" s="24" t="s">
        <v>345</v>
      </c>
      <c r="H265" s="10">
        <v>469.17754573667889</v>
      </c>
    </row>
    <row r="266" spans="1:8" x14ac:dyDescent="0.2">
      <c r="A266" s="9"/>
      <c r="B266" s="24" t="s">
        <v>334</v>
      </c>
      <c r="C266" s="25">
        <v>44322</v>
      </c>
      <c r="D266" s="24" t="s">
        <v>806</v>
      </c>
      <c r="E266" s="24" t="s">
        <v>346</v>
      </c>
      <c r="F266" s="24" t="s">
        <v>333</v>
      </c>
      <c r="G266" s="24" t="s">
        <v>345</v>
      </c>
      <c r="H266" s="10">
        <v>2.650995411606345</v>
      </c>
    </row>
    <row r="267" spans="1:8" x14ac:dyDescent="0.2">
      <c r="A267" s="9"/>
      <c r="B267" s="24" t="s">
        <v>334</v>
      </c>
      <c r="C267" s="25">
        <v>44323</v>
      </c>
      <c r="D267" s="24" t="s">
        <v>807</v>
      </c>
      <c r="E267" s="24" t="s">
        <v>643</v>
      </c>
      <c r="F267" s="24" t="s">
        <v>333</v>
      </c>
      <c r="G267" s="24" t="s">
        <v>345</v>
      </c>
      <c r="H267" s="10">
        <v>13.704916646240141</v>
      </c>
    </row>
    <row r="268" spans="1:8" x14ac:dyDescent="0.2">
      <c r="A268" s="9"/>
      <c r="B268" s="24" t="s">
        <v>334</v>
      </c>
      <c r="C268" s="25">
        <v>44323</v>
      </c>
      <c r="D268" s="24" t="s">
        <v>808</v>
      </c>
      <c r="E268" s="24" t="s">
        <v>809</v>
      </c>
      <c r="F268" s="24" t="s">
        <v>333</v>
      </c>
      <c r="G268" s="24" t="s">
        <v>345</v>
      </c>
      <c r="H268" s="10">
        <v>3119.832462519515</v>
      </c>
    </row>
    <row r="269" spans="1:8" x14ac:dyDescent="0.2">
      <c r="A269" s="9"/>
      <c r="B269" s="24" t="s">
        <v>334</v>
      </c>
      <c r="C269" s="25">
        <v>44323</v>
      </c>
      <c r="D269" s="24" t="s">
        <v>810</v>
      </c>
      <c r="E269" s="24" t="s">
        <v>643</v>
      </c>
      <c r="F269" s="24" t="s">
        <v>333</v>
      </c>
      <c r="G269" s="24" t="s">
        <v>345</v>
      </c>
      <c r="H269" s="10">
        <v>34.754793056747403</v>
      </c>
    </row>
    <row r="270" spans="1:8" x14ac:dyDescent="0.2">
      <c r="A270" s="9"/>
      <c r="B270" s="24" t="s">
        <v>334</v>
      </c>
      <c r="C270" s="25">
        <v>44323</v>
      </c>
      <c r="D270" s="24" t="s">
        <v>811</v>
      </c>
      <c r="E270" s="24" t="s">
        <v>510</v>
      </c>
      <c r="F270" s="24" t="s">
        <v>333</v>
      </c>
      <c r="G270" s="24" t="s">
        <v>345</v>
      </c>
      <c r="H270" s="10">
        <v>2.736119117483613</v>
      </c>
    </row>
    <row r="271" spans="1:8" x14ac:dyDescent="0.2">
      <c r="A271" s="9"/>
      <c r="B271" s="24" t="s">
        <v>334</v>
      </c>
      <c r="C271" s="25">
        <v>44323</v>
      </c>
      <c r="D271" s="24" t="s">
        <v>812</v>
      </c>
      <c r="E271" s="24" t="s">
        <v>643</v>
      </c>
      <c r="F271" s="24" t="s">
        <v>333</v>
      </c>
      <c r="G271" s="24" t="s">
        <v>345</v>
      </c>
      <c r="H271" s="10">
        <v>27.555759645412742</v>
      </c>
    </row>
    <row r="272" spans="1:8" x14ac:dyDescent="0.2">
      <c r="A272" s="9"/>
      <c r="B272" s="24" t="s">
        <v>334</v>
      </c>
      <c r="C272" s="25">
        <v>44323</v>
      </c>
      <c r="D272" s="24" t="s">
        <v>813</v>
      </c>
      <c r="E272" s="24" t="s">
        <v>510</v>
      </c>
      <c r="F272" s="24" t="s">
        <v>333</v>
      </c>
      <c r="G272" s="24" t="s">
        <v>345</v>
      </c>
      <c r="H272" s="10">
        <v>14.094053587393367</v>
      </c>
    </row>
    <row r="273" spans="1:8" x14ac:dyDescent="0.2">
      <c r="A273" s="9"/>
      <c r="B273" s="24" t="s">
        <v>334</v>
      </c>
      <c r="C273" s="25">
        <v>44323</v>
      </c>
      <c r="D273" s="24" t="s">
        <v>814</v>
      </c>
      <c r="E273" s="24" t="s">
        <v>376</v>
      </c>
      <c r="F273" s="24" t="s">
        <v>333</v>
      </c>
      <c r="G273" s="24" t="s">
        <v>345</v>
      </c>
      <c r="H273" s="10">
        <v>747.21589019065811</v>
      </c>
    </row>
    <row r="274" spans="1:8" x14ac:dyDescent="0.2">
      <c r="A274" s="9"/>
      <c r="B274" s="24" t="s">
        <v>334</v>
      </c>
      <c r="C274" s="25">
        <v>44326</v>
      </c>
      <c r="D274" s="24" t="s">
        <v>815</v>
      </c>
      <c r="E274" s="24" t="s">
        <v>5</v>
      </c>
      <c r="F274" s="24" t="s">
        <v>333</v>
      </c>
      <c r="G274" s="24" t="s">
        <v>335</v>
      </c>
      <c r="H274" s="10">
        <v>24777.363564114163</v>
      </c>
    </row>
    <row r="275" spans="1:8" x14ac:dyDescent="0.2">
      <c r="A275" s="9"/>
      <c r="B275" s="24" t="s">
        <v>334</v>
      </c>
      <c r="C275" s="25">
        <v>44328</v>
      </c>
      <c r="D275" s="24" t="s">
        <v>816</v>
      </c>
      <c r="E275" s="24" t="s">
        <v>606</v>
      </c>
      <c r="F275" s="24" t="s">
        <v>333</v>
      </c>
      <c r="G275" s="24" t="s">
        <v>345</v>
      </c>
      <c r="H275" s="10">
        <v>31.434968527533954</v>
      </c>
    </row>
    <row r="276" spans="1:8" x14ac:dyDescent="0.2">
      <c r="A276" s="9"/>
      <c r="B276" s="24" t="s">
        <v>334</v>
      </c>
      <c r="C276" s="25">
        <v>44328</v>
      </c>
      <c r="D276" s="24" t="s">
        <v>817</v>
      </c>
      <c r="E276" s="24" t="s">
        <v>344</v>
      </c>
      <c r="F276" s="24" t="s">
        <v>333</v>
      </c>
      <c r="G276" s="24" t="s">
        <v>345</v>
      </c>
      <c r="H276" s="10">
        <v>185.18054187129093</v>
      </c>
    </row>
    <row r="277" spans="1:8" x14ac:dyDescent="0.2">
      <c r="A277" s="9"/>
      <c r="B277" s="24" t="s">
        <v>334</v>
      </c>
      <c r="C277" s="25">
        <v>44328</v>
      </c>
      <c r="D277" s="24" t="s">
        <v>818</v>
      </c>
      <c r="E277" s="24" t="s">
        <v>819</v>
      </c>
      <c r="F277" s="24" t="s">
        <v>333</v>
      </c>
      <c r="G277" s="24" t="s">
        <v>345</v>
      </c>
      <c r="H277" s="10">
        <v>275.38734904237288</v>
      </c>
    </row>
    <row r="278" spans="1:8" x14ac:dyDescent="0.2">
      <c r="A278" s="9"/>
      <c r="B278" s="24" t="s">
        <v>334</v>
      </c>
      <c r="C278" s="25">
        <v>44328</v>
      </c>
      <c r="D278" s="24" t="s">
        <v>820</v>
      </c>
      <c r="E278" s="24" t="s">
        <v>377</v>
      </c>
      <c r="F278" s="24" t="s">
        <v>333</v>
      </c>
      <c r="G278" s="24" t="s">
        <v>345</v>
      </c>
      <c r="H278" s="10">
        <v>30.705336762871656</v>
      </c>
    </row>
    <row r="279" spans="1:8" x14ac:dyDescent="0.2">
      <c r="A279" s="9"/>
      <c r="B279" s="24" t="s">
        <v>334</v>
      </c>
      <c r="C279" s="25">
        <v>44330</v>
      </c>
      <c r="D279" s="24" t="s">
        <v>821</v>
      </c>
      <c r="E279" s="24" t="s">
        <v>377</v>
      </c>
      <c r="F279" s="24" t="s">
        <v>333</v>
      </c>
      <c r="G279" s="24" t="s">
        <v>345</v>
      </c>
      <c r="H279" s="10">
        <v>27.178783233670554</v>
      </c>
    </row>
    <row r="280" spans="1:8" x14ac:dyDescent="0.2">
      <c r="A280" s="9"/>
      <c r="B280" s="24" t="s">
        <v>334</v>
      </c>
      <c r="C280" s="25">
        <v>44330</v>
      </c>
      <c r="D280" s="24" t="s">
        <v>822</v>
      </c>
      <c r="E280" s="24" t="s">
        <v>377</v>
      </c>
      <c r="F280" s="24" t="s">
        <v>333</v>
      </c>
      <c r="G280" s="24" t="s">
        <v>345</v>
      </c>
      <c r="H280" s="10">
        <v>20.697221057587154</v>
      </c>
    </row>
    <row r="281" spans="1:8" x14ac:dyDescent="0.2">
      <c r="A281" s="9"/>
      <c r="B281" s="24" t="s">
        <v>334</v>
      </c>
      <c r="C281" s="25">
        <v>44330</v>
      </c>
      <c r="D281" s="24" t="s">
        <v>823</v>
      </c>
      <c r="E281" s="24" t="s">
        <v>344</v>
      </c>
      <c r="F281" s="24" t="s">
        <v>333</v>
      </c>
      <c r="G281" s="24" t="s">
        <v>345</v>
      </c>
      <c r="H281" s="10">
        <v>212.26204086967317</v>
      </c>
    </row>
    <row r="282" spans="1:8" x14ac:dyDescent="0.2">
      <c r="A282" s="9"/>
      <c r="B282" s="24" t="s">
        <v>334</v>
      </c>
      <c r="C282" s="25">
        <v>44330</v>
      </c>
      <c r="D282" s="24" t="s">
        <v>824</v>
      </c>
      <c r="E282" s="24" t="s">
        <v>639</v>
      </c>
      <c r="F282" s="24" t="s">
        <v>333</v>
      </c>
      <c r="G282" s="24" t="s">
        <v>345</v>
      </c>
      <c r="H282" s="10">
        <v>36845.248865151938</v>
      </c>
    </row>
    <row r="283" spans="1:8" x14ac:dyDescent="0.2">
      <c r="A283" s="9"/>
      <c r="B283" s="24" t="s">
        <v>334</v>
      </c>
      <c r="C283" s="25">
        <v>44330</v>
      </c>
      <c r="D283" s="24" t="s">
        <v>825</v>
      </c>
      <c r="E283" s="24" t="s">
        <v>376</v>
      </c>
      <c r="F283" s="24" t="s">
        <v>333</v>
      </c>
      <c r="G283" s="24" t="s">
        <v>345</v>
      </c>
      <c r="H283" s="10">
        <v>573.9040250245406</v>
      </c>
    </row>
    <row r="284" spans="1:8" x14ac:dyDescent="0.2">
      <c r="A284" s="9"/>
      <c r="B284" s="24" t="s">
        <v>334</v>
      </c>
      <c r="C284" s="25">
        <v>44334</v>
      </c>
      <c r="D284" s="24" t="s">
        <v>826</v>
      </c>
      <c r="E284" s="24" t="s">
        <v>375</v>
      </c>
      <c r="F284" s="24" t="s">
        <v>333</v>
      </c>
      <c r="G284" s="24" t="s">
        <v>345</v>
      </c>
      <c r="H284" s="10">
        <v>606.81041761081019</v>
      </c>
    </row>
    <row r="285" spans="1:8" x14ac:dyDescent="0.2">
      <c r="A285" s="9"/>
      <c r="B285" s="24" t="s">
        <v>334</v>
      </c>
      <c r="C285" s="25">
        <v>44334</v>
      </c>
      <c r="D285" s="24" t="s">
        <v>827</v>
      </c>
      <c r="E285" s="24" t="s">
        <v>377</v>
      </c>
      <c r="F285" s="24" t="s">
        <v>333</v>
      </c>
      <c r="G285" s="24" t="s">
        <v>345</v>
      </c>
      <c r="H285" s="10">
        <v>2.650995411606345</v>
      </c>
    </row>
    <row r="286" spans="1:8" x14ac:dyDescent="0.2">
      <c r="A286" s="9"/>
      <c r="B286" s="24" t="s">
        <v>334</v>
      </c>
      <c r="C286" s="25">
        <v>44334</v>
      </c>
      <c r="D286" s="24" t="s">
        <v>828</v>
      </c>
      <c r="E286" s="24" t="s">
        <v>377</v>
      </c>
      <c r="F286" s="24" t="s">
        <v>333</v>
      </c>
      <c r="G286" s="24" t="s">
        <v>345</v>
      </c>
      <c r="H286" s="10">
        <v>6.8706991172366285</v>
      </c>
    </row>
    <row r="287" spans="1:8" x14ac:dyDescent="0.2">
      <c r="A287" s="9"/>
      <c r="B287" s="24" t="s">
        <v>334</v>
      </c>
      <c r="C287" s="25">
        <v>44335</v>
      </c>
      <c r="D287" s="24" t="s">
        <v>829</v>
      </c>
      <c r="E287" s="24" t="s">
        <v>377</v>
      </c>
      <c r="F287" s="24" t="s">
        <v>333</v>
      </c>
      <c r="G287" s="24" t="s">
        <v>345</v>
      </c>
      <c r="H287" s="10">
        <v>12.08756623457205</v>
      </c>
    </row>
    <row r="288" spans="1:8" x14ac:dyDescent="0.2">
      <c r="A288" s="9"/>
      <c r="B288" s="24" t="s">
        <v>334</v>
      </c>
      <c r="C288" s="25">
        <v>44335</v>
      </c>
      <c r="D288" s="24" t="s">
        <v>830</v>
      </c>
      <c r="E288" s="24" t="s">
        <v>510</v>
      </c>
      <c r="F288" s="24" t="s">
        <v>333</v>
      </c>
      <c r="G288" s="24" t="s">
        <v>345</v>
      </c>
      <c r="H288" s="10">
        <v>36.226217115483038</v>
      </c>
    </row>
    <row r="289" spans="1:8" x14ac:dyDescent="0.2">
      <c r="A289" s="9"/>
      <c r="B289" s="24" t="s">
        <v>334</v>
      </c>
      <c r="C289" s="25">
        <v>44335</v>
      </c>
      <c r="D289" s="24" t="s">
        <v>831</v>
      </c>
      <c r="E289" s="24" t="s">
        <v>377</v>
      </c>
      <c r="F289" s="24" t="s">
        <v>333</v>
      </c>
      <c r="G289" s="24" t="s">
        <v>345</v>
      </c>
      <c r="H289" s="10">
        <v>22.934758469218195</v>
      </c>
    </row>
    <row r="290" spans="1:8" x14ac:dyDescent="0.2">
      <c r="A290" s="9"/>
      <c r="B290" s="24" t="s">
        <v>334</v>
      </c>
      <c r="C290" s="25">
        <v>44335</v>
      </c>
      <c r="D290" s="24" t="s">
        <v>832</v>
      </c>
      <c r="E290" s="24" t="s">
        <v>344</v>
      </c>
      <c r="F290" s="24" t="s">
        <v>333</v>
      </c>
      <c r="G290" s="24" t="s">
        <v>345</v>
      </c>
      <c r="H290" s="10">
        <v>373.86331621296085</v>
      </c>
    </row>
    <row r="291" spans="1:8" x14ac:dyDescent="0.2">
      <c r="A291" s="9"/>
      <c r="B291" s="24" t="s">
        <v>334</v>
      </c>
      <c r="C291" s="25">
        <v>44335</v>
      </c>
      <c r="D291" s="24" t="s">
        <v>833</v>
      </c>
      <c r="E291" s="24" t="s">
        <v>377</v>
      </c>
      <c r="F291" s="24" t="s">
        <v>333</v>
      </c>
      <c r="G291" s="24" t="s">
        <v>345</v>
      </c>
      <c r="H291" s="10">
        <v>33.356332174478005</v>
      </c>
    </row>
    <row r="292" spans="1:8" x14ac:dyDescent="0.2">
      <c r="A292" s="9"/>
      <c r="B292" s="24" t="s">
        <v>334</v>
      </c>
      <c r="C292" s="25">
        <v>44337</v>
      </c>
      <c r="D292" s="24" t="s">
        <v>834</v>
      </c>
      <c r="E292" s="24" t="s">
        <v>346</v>
      </c>
      <c r="F292" s="24" t="s">
        <v>333</v>
      </c>
      <c r="G292" s="24" t="s">
        <v>345</v>
      </c>
      <c r="H292" s="10">
        <v>36.055969703728501</v>
      </c>
    </row>
    <row r="293" spans="1:8" x14ac:dyDescent="0.2">
      <c r="A293" s="9"/>
      <c r="B293" s="24" t="s">
        <v>334</v>
      </c>
      <c r="C293" s="25">
        <v>44337</v>
      </c>
      <c r="D293" s="24" t="s">
        <v>835</v>
      </c>
      <c r="E293" s="24" t="s">
        <v>376</v>
      </c>
      <c r="F293" s="24" t="s">
        <v>333</v>
      </c>
      <c r="G293" s="24" t="s">
        <v>345</v>
      </c>
      <c r="H293" s="10">
        <v>723.55149995677766</v>
      </c>
    </row>
    <row r="294" spans="1:8" x14ac:dyDescent="0.2">
      <c r="A294" s="9"/>
      <c r="B294" s="24" t="s">
        <v>334</v>
      </c>
      <c r="C294" s="25">
        <v>44340</v>
      </c>
      <c r="D294" s="24" t="s">
        <v>836</v>
      </c>
      <c r="E294" s="24" t="s">
        <v>346</v>
      </c>
      <c r="F294" s="24" t="s">
        <v>333</v>
      </c>
      <c r="G294" s="24" t="s">
        <v>345</v>
      </c>
      <c r="H294" s="10">
        <v>12.08756623457205</v>
      </c>
    </row>
    <row r="295" spans="1:8" x14ac:dyDescent="0.2">
      <c r="A295" s="9"/>
      <c r="B295" s="24" t="s">
        <v>334</v>
      </c>
      <c r="C295" s="25">
        <v>44341</v>
      </c>
      <c r="D295" s="24" t="s">
        <v>837</v>
      </c>
      <c r="E295" s="24" t="s">
        <v>377</v>
      </c>
      <c r="F295" s="24" t="s">
        <v>333</v>
      </c>
      <c r="G295" s="24" t="s">
        <v>345</v>
      </c>
      <c r="H295" s="10">
        <v>27.58008070423482</v>
      </c>
    </row>
    <row r="296" spans="1:8" x14ac:dyDescent="0.2">
      <c r="A296" s="9"/>
      <c r="B296" s="24" t="s">
        <v>334</v>
      </c>
      <c r="C296" s="25">
        <v>44341</v>
      </c>
      <c r="D296" s="24" t="s">
        <v>838</v>
      </c>
      <c r="E296" s="24" t="s">
        <v>344</v>
      </c>
      <c r="F296" s="24" t="s">
        <v>333</v>
      </c>
      <c r="G296" s="24" t="s">
        <v>345</v>
      </c>
      <c r="H296" s="10">
        <v>185.28998663599026</v>
      </c>
    </row>
    <row r="297" spans="1:8" x14ac:dyDescent="0.2">
      <c r="A297" s="9"/>
      <c r="B297" s="24" t="s">
        <v>334</v>
      </c>
      <c r="C297" s="25">
        <v>44342</v>
      </c>
      <c r="D297" s="24" t="s">
        <v>839</v>
      </c>
      <c r="E297" s="24" t="s">
        <v>604</v>
      </c>
      <c r="F297" s="24" t="s">
        <v>333</v>
      </c>
      <c r="G297" s="24" t="s">
        <v>345</v>
      </c>
      <c r="H297" s="10">
        <v>5579.1414490196639</v>
      </c>
    </row>
    <row r="298" spans="1:8" x14ac:dyDescent="0.2">
      <c r="A298" s="9"/>
      <c r="B298" s="24" t="s">
        <v>334</v>
      </c>
      <c r="C298" s="25">
        <v>44343</v>
      </c>
      <c r="D298" s="24" t="s">
        <v>840</v>
      </c>
      <c r="E298" s="24" t="s">
        <v>377</v>
      </c>
      <c r="F298" s="24" t="s">
        <v>333</v>
      </c>
      <c r="G298" s="24" t="s">
        <v>345</v>
      </c>
      <c r="H298" s="10">
        <v>109.99198852284124</v>
      </c>
    </row>
    <row r="299" spans="1:8" x14ac:dyDescent="0.2">
      <c r="A299" s="9"/>
      <c r="B299" s="24" t="s">
        <v>334</v>
      </c>
      <c r="C299" s="25">
        <v>44343</v>
      </c>
      <c r="D299" s="24" t="s">
        <v>841</v>
      </c>
      <c r="E299" s="24" t="s">
        <v>600</v>
      </c>
      <c r="F299" s="24" t="s">
        <v>333</v>
      </c>
      <c r="G299" s="24" t="s">
        <v>345</v>
      </c>
      <c r="H299" s="10">
        <v>25.038530057327819</v>
      </c>
    </row>
    <row r="300" spans="1:8" x14ac:dyDescent="0.2">
      <c r="A300" s="9"/>
      <c r="B300" s="24" t="s">
        <v>334</v>
      </c>
      <c r="C300" s="25">
        <v>44343</v>
      </c>
      <c r="D300" s="24" t="s">
        <v>842</v>
      </c>
      <c r="E300" s="24" t="s">
        <v>711</v>
      </c>
      <c r="F300" s="24" t="s">
        <v>333</v>
      </c>
      <c r="G300" s="24" t="s">
        <v>345</v>
      </c>
      <c r="H300" s="10">
        <v>2795.7057115977004</v>
      </c>
    </row>
    <row r="301" spans="1:8" x14ac:dyDescent="0.2">
      <c r="A301" s="9"/>
      <c r="B301" s="24" t="s">
        <v>334</v>
      </c>
      <c r="C301" s="25">
        <v>44343</v>
      </c>
      <c r="D301" s="24" t="s">
        <v>843</v>
      </c>
      <c r="E301" s="24" t="s">
        <v>421</v>
      </c>
      <c r="F301" s="24" t="s">
        <v>333</v>
      </c>
      <c r="G301" s="24" t="s">
        <v>345</v>
      </c>
      <c r="H301" s="10">
        <v>47012.120281897551</v>
      </c>
    </row>
    <row r="302" spans="1:8" x14ac:dyDescent="0.2">
      <c r="A302" s="9"/>
      <c r="B302" s="24" t="s">
        <v>334</v>
      </c>
      <c r="C302" s="25">
        <v>44343</v>
      </c>
      <c r="D302" s="24" t="s">
        <v>844</v>
      </c>
      <c r="E302" s="24" t="s">
        <v>377</v>
      </c>
      <c r="F302" s="24" t="s">
        <v>333</v>
      </c>
      <c r="G302" s="24" t="s">
        <v>345</v>
      </c>
      <c r="H302" s="10">
        <v>68.913720172353933</v>
      </c>
    </row>
    <row r="303" spans="1:8" x14ac:dyDescent="0.2">
      <c r="A303" s="9"/>
      <c r="B303" s="24" t="s">
        <v>495</v>
      </c>
      <c r="C303" s="25">
        <v>44344</v>
      </c>
      <c r="D303" s="24" t="s">
        <v>845</v>
      </c>
      <c r="E303" s="24"/>
      <c r="F303" s="24" t="s">
        <v>333</v>
      </c>
      <c r="G303" s="24" t="s">
        <v>707</v>
      </c>
      <c r="H303" s="10">
        <v>29970.244920503803</v>
      </c>
    </row>
    <row r="304" spans="1:8" x14ac:dyDescent="0.2">
      <c r="A304" s="9"/>
      <c r="B304" s="24" t="s">
        <v>334</v>
      </c>
      <c r="C304" s="25">
        <v>44344</v>
      </c>
      <c r="D304" s="24" t="s">
        <v>846</v>
      </c>
      <c r="E304" s="24" t="s">
        <v>568</v>
      </c>
      <c r="F304" s="24" t="s">
        <v>333</v>
      </c>
      <c r="G304" s="24" t="s">
        <v>345</v>
      </c>
      <c r="H304" s="10">
        <v>34736.576583689668</v>
      </c>
    </row>
    <row r="305" spans="1:8" x14ac:dyDescent="0.2">
      <c r="A305" s="9"/>
      <c r="B305" s="24" t="s">
        <v>334</v>
      </c>
      <c r="C305" s="25">
        <v>44344</v>
      </c>
      <c r="D305" s="24" t="s">
        <v>847</v>
      </c>
      <c r="E305" s="24" t="s">
        <v>421</v>
      </c>
      <c r="F305" s="24" t="s">
        <v>333</v>
      </c>
      <c r="G305" s="24" t="s">
        <v>345</v>
      </c>
      <c r="H305" s="10">
        <v>37125.415302252848</v>
      </c>
    </row>
    <row r="306" spans="1:8" x14ac:dyDescent="0.2">
      <c r="A306" s="9"/>
      <c r="B306" s="24" t="s">
        <v>334</v>
      </c>
      <c r="C306" s="25">
        <v>44344</v>
      </c>
      <c r="D306" s="24" t="s">
        <v>848</v>
      </c>
      <c r="E306" s="24" t="s">
        <v>568</v>
      </c>
      <c r="F306" s="24" t="s">
        <v>333</v>
      </c>
      <c r="G306" s="24" t="s">
        <v>345</v>
      </c>
      <c r="H306" s="10">
        <v>34736.576583689668</v>
      </c>
    </row>
    <row r="307" spans="1:8" x14ac:dyDescent="0.2">
      <c r="A307" s="9"/>
      <c r="B307" s="24" t="s">
        <v>334</v>
      </c>
      <c r="C307" s="25">
        <v>44344</v>
      </c>
      <c r="D307" s="24" t="s">
        <v>849</v>
      </c>
      <c r="E307" s="24" t="s">
        <v>376</v>
      </c>
      <c r="F307" s="24" t="s">
        <v>333</v>
      </c>
      <c r="G307" s="24" t="s">
        <v>345</v>
      </c>
      <c r="H307" s="10">
        <v>2222.4218735731229</v>
      </c>
    </row>
    <row r="308" spans="1:8" x14ac:dyDescent="0.2">
      <c r="A308" s="9"/>
      <c r="B308" s="24" t="s">
        <v>581</v>
      </c>
      <c r="C308" s="25">
        <v>44347</v>
      </c>
      <c r="D308" s="24" t="s">
        <v>850</v>
      </c>
      <c r="E308" s="24"/>
      <c r="F308" s="24" t="s">
        <v>333</v>
      </c>
      <c r="G308" s="24" t="s">
        <v>345</v>
      </c>
      <c r="H308" s="10">
        <v>1080.5603224060394</v>
      </c>
    </row>
    <row r="309" spans="1:8" x14ac:dyDescent="0.2">
      <c r="A309" s="9"/>
      <c r="B309" s="24" t="s">
        <v>581</v>
      </c>
      <c r="C309" s="25">
        <v>44347</v>
      </c>
      <c r="D309" s="24" t="s">
        <v>851</v>
      </c>
      <c r="E309" s="24"/>
      <c r="F309" s="24" t="s">
        <v>333</v>
      </c>
      <c r="G309" s="24" t="s">
        <v>345</v>
      </c>
      <c r="H309" s="10">
        <v>228.7882003392742</v>
      </c>
    </row>
    <row r="310" spans="1:8" x14ac:dyDescent="0.2">
      <c r="A310" s="9"/>
      <c r="B310" s="24" t="s">
        <v>581</v>
      </c>
      <c r="C310" s="25">
        <v>44347</v>
      </c>
      <c r="D310" s="24" t="s">
        <v>852</v>
      </c>
      <c r="E310" s="24"/>
      <c r="F310" s="24" t="s">
        <v>333</v>
      </c>
      <c r="G310" s="24" t="s">
        <v>345</v>
      </c>
      <c r="H310" s="10">
        <v>70.676996936954481</v>
      </c>
    </row>
    <row r="311" spans="1:8" x14ac:dyDescent="0.2">
      <c r="A311" s="9"/>
      <c r="B311" s="24" t="s">
        <v>581</v>
      </c>
      <c r="C311" s="25">
        <v>44347</v>
      </c>
      <c r="D311" s="24" t="s">
        <v>853</v>
      </c>
      <c r="E311" s="24"/>
      <c r="F311" s="24" t="s">
        <v>333</v>
      </c>
      <c r="G311" s="24" t="s">
        <v>345</v>
      </c>
      <c r="H311" s="10">
        <v>148.10308769703522</v>
      </c>
    </row>
    <row r="312" spans="1:8" x14ac:dyDescent="0.2">
      <c r="A312" s="9"/>
      <c r="B312" s="24" t="s">
        <v>581</v>
      </c>
      <c r="C312" s="25">
        <v>44347</v>
      </c>
      <c r="D312" s="24" t="s">
        <v>854</v>
      </c>
      <c r="E312" s="24"/>
      <c r="F312" s="24" t="s">
        <v>333</v>
      </c>
      <c r="G312" s="24" t="s">
        <v>345</v>
      </c>
      <c r="H312" s="10">
        <v>784.51223389431254</v>
      </c>
    </row>
    <row r="313" spans="1:8" x14ac:dyDescent="0.2">
      <c r="A313" s="9"/>
      <c r="B313" s="24" t="s">
        <v>425</v>
      </c>
      <c r="C313" s="25">
        <v>44347</v>
      </c>
      <c r="D313" s="24" t="s">
        <v>855</v>
      </c>
      <c r="E313" s="24" t="s">
        <v>856</v>
      </c>
      <c r="F313" s="24" t="s">
        <v>333</v>
      </c>
      <c r="G313" s="24" t="s">
        <v>343</v>
      </c>
      <c r="H313" s="10">
        <v>-33.624094648412836</v>
      </c>
    </row>
    <row r="314" spans="1:8" x14ac:dyDescent="0.2">
      <c r="A314" s="9"/>
      <c r="B314" s="24" t="s">
        <v>334</v>
      </c>
      <c r="C314" s="25">
        <v>44347</v>
      </c>
      <c r="D314" s="24" t="s">
        <v>857</v>
      </c>
      <c r="E314" s="24" t="s">
        <v>377</v>
      </c>
      <c r="F314" s="24" t="s">
        <v>333</v>
      </c>
      <c r="G314" s="24" t="s">
        <v>345</v>
      </c>
      <c r="H314" s="10">
        <v>11.491700293431174</v>
      </c>
    </row>
    <row r="315" spans="1:8" x14ac:dyDescent="0.2">
      <c r="A315" s="9"/>
      <c r="B315" s="24" t="s">
        <v>334</v>
      </c>
      <c r="C315" s="25">
        <v>44347</v>
      </c>
      <c r="D315" s="24" t="s">
        <v>858</v>
      </c>
      <c r="E315" s="24" t="s">
        <v>423</v>
      </c>
      <c r="F315" s="24" t="s">
        <v>333</v>
      </c>
      <c r="G315" s="24" t="s">
        <v>345</v>
      </c>
      <c r="H315" s="10">
        <v>5168.8695077500543</v>
      </c>
    </row>
    <row r="316" spans="1:8" x14ac:dyDescent="0.2">
      <c r="A316" s="9"/>
      <c r="B316" s="24" t="s">
        <v>334</v>
      </c>
      <c r="C316" s="25">
        <v>44347</v>
      </c>
      <c r="D316" s="24" t="s">
        <v>859</v>
      </c>
      <c r="E316" s="24" t="s">
        <v>421</v>
      </c>
      <c r="F316" s="24" t="s">
        <v>333</v>
      </c>
      <c r="G316" s="24" t="s">
        <v>345</v>
      </c>
      <c r="H316" s="10">
        <v>29346.51920648224</v>
      </c>
    </row>
    <row r="317" spans="1:8" x14ac:dyDescent="0.2">
      <c r="A317" s="9"/>
      <c r="B317" s="24" t="s">
        <v>334</v>
      </c>
      <c r="C317" s="25">
        <v>44347</v>
      </c>
      <c r="D317" s="24" t="s">
        <v>860</v>
      </c>
      <c r="E317" s="24" t="s">
        <v>421</v>
      </c>
      <c r="F317" s="24" t="s">
        <v>333</v>
      </c>
      <c r="G317" s="24" t="s">
        <v>345</v>
      </c>
      <c r="H317" s="10">
        <v>37125.415302252848</v>
      </c>
    </row>
    <row r="318" spans="1:8" x14ac:dyDescent="0.2">
      <c r="A318" s="9"/>
      <c r="B318" s="24" t="s">
        <v>342</v>
      </c>
      <c r="C318" s="25">
        <v>44348</v>
      </c>
      <c r="D318" s="24" t="s">
        <v>861</v>
      </c>
      <c r="E318" s="24" t="s">
        <v>494</v>
      </c>
      <c r="F318" s="24" t="s">
        <v>333</v>
      </c>
      <c r="G318" s="24" t="s">
        <v>343</v>
      </c>
      <c r="H318" s="10">
        <v>15097.39021316781</v>
      </c>
    </row>
    <row r="319" spans="1:8" x14ac:dyDescent="0.2">
      <c r="A319" s="9"/>
      <c r="B319" s="24" t="s">
        <v>334</v>
      </c>
      <c r="C319" s="25">
        <v>44348</v>
      </c>
      <c r="D319" s="24" t="s">
        <v>862</v>
      </c>
      <c r="E319" s="24" t="s">
        <v>344</v>
      </c>
      <c r="F319" s="24" t="s">
        <v>333</v>
      </c>
      <c r="G319" s="24" t="s">
        <v>345</v>
      </c>
      <c r="H319" s="10">
        <v>518.18416041293972</v>
      </c>
    </row>
    <row r="320" spans="1:8" x14ac:dyDescent="0.2">
      <c r="A320" s="9"/>
      <c r="B320" s="24" t="s">
        <v>334</v>
      </c>
      <c r="C320" s="25">
        <v>44348</v>
      </c>
      <c r="D320" s="24" t="s">
        <v>863</v>
      </c>
      <c r="E320" s="24" t="s">
        <v>344</v>
      </c>
      <c r="F320" s="24" t="s">
        <v>333</v>
      </c>
      <c r="G320" s="24" t="s">
        <v>345</v>
      </c>
      <c r="H320" s="10">
        <v>116.59922455205839</v>
      </c>
    </row>
    <row r="321" spans="1:8" x14ac:dyDescent="0.2">
      <c r="A321" s="9"/>
      <c r="B321" s="24" t="s">
        <v>334</v>
      </c>
      <c r="C321" s="25">
        <v>44348</v>
      </c>
      <c r="D321" s="24" t="s">
        <v>864</v>
      </c>
      <c r="E321" s="24" t="s">
        <v>639</v>
      </c>
      <c r="F321" s="24" t="s">
        <v>333</v>
      </c>
      <c r="G321" s="24" t="s">
        <v>345</v>
      </c>
      <c r="H321" s="10">
        <v>19562.332750584323</v>
      </c>
    </row>
    <row r="322" spans="1:8" x14ac:dyDescent="0.2">
      <c r="A322" s="9"/>
      <c r="B322" s="24" t="s">
        <v>495</v>
      </c>
      <c r="C322" s="25">
        <v>44350</v>
      </c>
      <c r="D322" s="24" t="s">
        <v>865</v>
      </c>
      <c r="E322" s="24"/>
      <c r="F322" s="24" t="s">
        <v>333</v>
      </c>
      <c r="G322" s="24" t="s">
        <v>866</v>
      </c>
      <c r="H322" s="10">
        <v>735.14666775690455</v>
      </c>
    </row>
    <row r="323" spans="1:8" x14ac:dyDescent="0.2">
      <c r="A323" s="9"/>
      <c r="B323" s="24" t="s">
        <v>334</v>
      </c>
      <c r="C323" s="25">
        <v>44350</v>
      </c>
      <c r="D323" s="24" t="s">
        <v>867</v>
      </c>
      <c r="E323" s="24" t="s">
        <v>377</v>
      </c>
      <c r="F323" s="24" t="s">
        <v>333</v>
      </c>
      <c r="G323" s="24" t="s">
        <v>345</v>
      </c>
      <c r="H323" s="10">
        <v>69.544949059721191</v>
      </c>
    </row>
    <row r="324" spans="1:8" x14ac:dyDescent="0.2">
      <c r="A324" s="9"/>
      <c r="B324" s="24" t="s">
        <v>334</v>
      </c>
      <c r="C324" s="25">
        <v>44351</v>
      </c>
      <c r="D324" s="24" t="s">
        <v>868</v>
      </c>
      <c r="E324" s="24" t="s">
        <v>344</v>
      </c>
      <c r="F324" s="24" t="s">
        <v>333</v>
      </c>
      <c r="G324" s="24" t="s">
        <v>345</v>
      </c>
      <c r="H324" s="10">
        <v>607.41593774714784</v>
      </c>
    </row>
    <row r="325" spans="1:8" x14ac:dyDescent="0.2">
      <c r="A325" s="9"/>
      <c r="B325" s="24" t="s">
        <v>334</v>
      </c>
      <c r="C325" s="25">
        <v>44351</v>
      </c>
      <c r="D325" s="24" t="s">
        <v>869</v>
      </c>
      <c r="E325" s="24" t="s">
        <v>344</v>
      </c>
      <c r="F325" s="24" t="s">
        <v>333</v>
      </c>
      <c r="G325" s="24" t="s">
        <v>345</v>
      </c>
      <c r="H325" s="10">
        <v>605.69049448998044</v>
      </c>
    </row>
    <row r="326" spans="1:8" x14ac:dyDescent="0.2">
      <c r="A326" s="9"/>
      <c r="B326" s="24" t="s">
        <v>334</v>
      </c>
      <c r="C326" s="25">
        <v>44351</v>
      </c>
      <c r="D326" s="24" t="s">
        <v>870</v>
      </c>
      <c r="E326" s="24" t="s">
        <v>566</v>
      </c>
      <c r="F326" s="24" t="s">
        <v>333</v>
      </c>
      <c r="G326" s="24" t="s">
        <v>345</v>
      </c>
      <c r="H326" s="10">
        <v>26.672477017046752</v>
      </c>
    </row>
    <row r="327" spans="1:8" x14ac:dyDescent="0.2">
      <c r="A327" s="9"/>
      <c r="B327" s="24" t="s">
        <v>334</v>
      </c>
      <c r="C327" s="25">
        <v>44351</v>
      </c>
      <c r="D327" s="24" t="s">
        <v>871</v>
      </c>
      <c r="E327" s="24" t="s">
        <v>600</v>
      </c>
      <c r="F327" s="24" t="s">
        <v>333</v>
      </c>
      <c r="G327" s="24" t="s">
        <v>345</v>
      </c>
      <c r="H327" s="10">
        <v>59.204271761557955</v>
      </c>
    </row>
    <row r="328" spans="1:8" x14ac:dyDescent="0.2">
      <c r="A328" s="9"/>
      <c r="B328" s="24" t="s">
        <v>334</v>
      </c>
      <c r="C328" s="25">
        <v>44351</v>
      </c>
      <c r="D328" s="24" t="s">
        <v>872</v>
      </c>
      <c r="E328" s="24" t="s">
        <v>344</v>
      </c>
      <c r="F328" s="24" t="s">
        <v>333</v>
      </c>
      <c r="G328" s="24" t="s">
        <v>345</v>
      </c>
      <c r="H328" s="10">
        <v>34.317149225885849</v>
      </c>
    </row>
    <row r="329" spans="1:8" x14ac:dyDescent="0.2">
      <c r="A329" s="9"/>
      <c r="B329" s="24" t="s">
        <v>334</v>
      </c>
      <c r="C329" s="25">
        <v>44351</v>
      </c>
      <c r="D329" s="24" t="s">
        <v>873</v>
      </c>
      <c r="E329" s="24" t="s">
        <v>874</v>
      </c>
      <c r="F329" s="24" t="s">
        <v>333</v>
      </c>
      <c r="G329" s="24" t="s">
        <v>345</v>
      </c>
      <c r="H329" s="10">
        <v>91.879853444166443</v>
      </c>
    </row>
    <row r="330" spans="1:8" x14ac:dyDescent="0.2">
      <c r="A330" s="9"/>
      <c r="B330" s="24" t="s">
        <v>334</v>
      </c>
      <c r="C330" s="25">
        <v>44355</v>
      </c>
      <c r="D330" s="24" t="s">
        <v>875</v>
      </c>
      <c r="E330" s="24" t="s">
        <v>377</v>
      </c>
      <c r="F330" s="24" t="s">
        <v>333</v>
      </c>
      <c r="G330" s="24" t="s">
        <v>345</v>
      </c>
      <c r="H330" s="10">
        <v>42.58489816647986</v>
      </c>
    </row>
    <row r="331" spans="1:8" x14ac:dyDescent="0.2">
      <c r="A331" s="9"/>
      <c r="B331" s="24" t="s">
        <v>334</v>
      </c>
      <c r="C331" s="25">
        <v>44355</v>
      </c>
      <c r="D331" s="24" t="s">
        <v>876</v>
      </c>
      <c r="E331" s="24" t="s">
        <v>422</v>
      </c>
      <c r="F331" s="24" t="s">
        <v>333</v>
      </c>
      <c r="G331" s="24" t="s">
        <v>345</v>
      </c>
      <c r="H331" s="10">
        <v>206.52597208707002</v>
      </c>
    </row>
    <row r="332" spans="1:8" x14ac:dyDescent="0.2">
      <c r="A332" s="9"/>
      <c r="B332" s="24" t="s">
        <v>334</v>
      </c>
      <c r="C332" s="25">
        <v>44355</v>
      </c>
      <c r="D332" s="24" t="s">
        <v>877</v>
      </c>
      <c r="E332" s="24" t="s">
        <v>508</v>
      </c>
      <c r="F332" s="24" t="s">
        <v>333</v>
      </c>
      <c r="G332" s="24" t="s">
        <v>345</v>
      </c>
      <c r="H332" s="10">
        <v>2.6600583547998111</v>
      </c>
    </row>
    <row r="333" spans="1:8" x14ac:dyDescent="0.2">
      <c r="A333" s="9"/>
      <c r="B333" s="24" t="s">
        <v>334</v>
      </c>
      <c r="C333" s="25">
        <v>44356</v>
      </c>
      <c r="D333" s="24" t="s">
        <v>878</v>
      </c>
      <c r="E333" s="24" t="s">
        <v>879</v>
      </c>
      <c r="F333" s="24" t="s">
        <v>333</v>
      </c>
      <c r="G333" s="24" t="s">
        <v>345</v>
      </c>
      <c r="H333" s="10">
        <v>238.18306295815606</v>
      </c>
    </row>
    <row r="334" spans="1:8" x14ac:dyDescent="0.2">
      <c r="A334" s="9"/>
      <c r="B334" s="24" t="s">
        <v>334</v>
      </c>
      <c r="C334" s="25">
        <v>44356</v>
      </c>
      <c r="D334" s="24" t="s">
        <v>880</v>
      </c>
      <c r="E334" s="24" t="s">
        <v>376</v>
      </c>
      <c r="F334" s="24" t="s">
        <v>333</v>
      </c>
      <c r="G334" s="24" t="s">
        <v>345</v>
      </c>
      <c r="H334" s="10">
        <v>630.37391886334797</v>
      </c>
    </row>
    <row r="335" spans="1:8" x14ac:dyDescent="0.2">
      <c r="A335" s="9"/>
      <c r="B335" s="24" t="s">
        <v>334</v>
      </c>
      <c r="C335" s="25">
        <v>44356</v>
      </c>
      <c r="D335" s="24" t="s">
        <v>881</v>
      </c>
      <c r="E335" s="24" t="s">
        <v>508</v>
      </c>
      <c r="F335" s="24" t="s">
        <v>333</v>
      </c>
      <c r="G335" s="24" t="s">
        <v>345</v>
      </c>
      <c r="H335" s="10">
        <v>2.6720405996412517</v>
      </c>
    </row>
    <row r="336" spans="1:8" x14ac:dyDescent="0.2">
      <c r="A336" s="9"/>
      <c r="B336" s="24" t="s">
        <v>334</v>
      </c>
      <c r="C336" s="25">
        <v>44356</v>
      </c>
      <c r="D336" s="24" t="s">
        <v>882</v>
      </c>
      <c r="E336" s="24" t="s">
        <v>344</v>
      </c>
      <c r="F336" s="24" t="s">
        <v>333</v>
      </c>
      <c r="G336" s="24" t="s">
        <v>345</v>
      </c>
      <c r="H336" s="10">
        <v>807.67519578214444</v>
      </c>
    </row>
    <row r="337" spans="1:8" x14ac:dyDescent="0.2">
      <c r="A337" s="9"/>
      <c r="B337" s="24" t="s">
        <v>334</v>
      </c>
      <c r="C337" s="25">
        <v>44357</v>
      </c>
      <c r="D337" s="24" t="s">
        <v>883</v>
      </c>
      <c r="E337" s="24" t="s">
        <v>504</v>
      </c>
      <c r="F337" s="24" t="s">
        <v>333</v>
      </c>
      <c r="G337" s="24" t="s">
        <v>345</v>
      </c>
      <c r="H337" s="10">
        <v>54.686965456334853</v>
      </c>
    </row>
    <row r="338" spans="1:8" x14ac:dyDescent="0.2">
      <c r="A338" s="9"/>
      <c r="B338" s="24" t="s">
        <v>334</v>
      </c>
      <c r="C338" s="25">
        <v>44357</v>
      </c>
      <c r="D338" s="24" t="s">
        <v>884</v>
      </c>
      <c r="E338" s="24" t="s">
        <v>346</v>
      </c>
      <c r="F338" s="24" t="s">
        <v>333</v>
      </c>
      <c r="G338" s="24" t="s">
        <v>345</v>
      </c>
      <c r="H338" s="10">
        <v>20.765230310216541</v>
      </c>
    </row>
    <row r="339" spans="1:8" x14ac:dyDescent="0.2">
      <c r="A339" s="9"/>
      <c r="B339" s="24" t="s">
        <v>334</v>
      </c>
      <c r="C339" s="25">
        <v>44358</v>
      </c>
      <c r="D339" s="24" t="s">
        <v>885</v>
      </c>
      <c r="E339" s="24" t="s">
        <v>344</v>
      </c>
      <c r="F339" s="24" t="s">
        <v>333</v>
      </c>
      <c r="G339" s="24" t="s">
        <v>345</v>
      </c>
      <c r="H339" s="10">
        <v>389.00357877736877</v>
      </c>
    </row>
    <row r="340" spans="1:8" x14ac:dyDescent="0.2">
      <c r="A340" s="9"/>
      <c r="B340" s="24" t="s">
        <v>334</v>
      </c>
      <c r="C340" s="25">
        <v>44358</v>
      </c>
      <c r="D340" s="24" t="s">
        <v>886</v>
      </c>
      <c r="E340" s="24" t="s">
        <v>376</v>
      </c>
      <c r="F340" s="24" t="s">
        <v>333</v>
      </c>
      <c r="G340" s="24" t="s">
        <v>345</v>
      </c>
      <c r="H340" s="10">
        <v>2115.872723080945</v>
      </c>
    </row>
    <row r="341" spans="1:8" x14ac:dyDescent="0.2">
      <c r="A341" s="9"/>
      <c r="B341" s="24" t="s">
        <v>334</v>
      </c>
      <c r="C341" s="25">
        <v>44358</v>
      </c>
      <c r="D341" s="24" t="s">
        <v>887</v>
      </c>
      <c r="E341" s="24" t="s">
        <v>759</v>
      </c>
      <c r="F341" s="24" t="s">
        <v>333</v>
      </c>
      <c r="G341" s="24" t="s">
        <v>707</v>
      </c>
      <c r="H341" s="10">
        <v>2302.6579565326133</v>
      </c>
    </row>
    <row r="342" spans="1:8" x14ac:dyDescent="0.2">
      <c r="A342" s="9"/>
      <c r="B342" s="24" t="s">
        <v>334</v>
      </c>
      <c r="C342" s="25">
        <v>44362</v>
      </c>
      <c r="D342" s="24" t="s">
        <v>888</v>
      </c>
      <c r="E342" s="24" t="s">
        <v>377</v>
      </c>
      <c r="F342" s="24" t="s">
        <v>333</v>
      </c>
      <c r="G342" s="24" t="s">
        <v>345</v>
      </c>
      <c r="H342" s="10">
        <v>379.14219127286316</v>
      </c>
    </row>
    <row r="343" spans="1:8" x14ac:dyDescent="0.2">
      <c r="A343" s="9"/>
      <c r="B343" s="24" t="s">
        <v>334</v>
      </c>
      <c r="C343" s="25">
        <v>44362</v>
      </c>
      <c r="D343" s="24" t="s">
        <v>889</v>
      </c>
      <c r="E343" s="24" t="s">
        <v>377</v>
      </c>
      <c r="F343" s="24" t="s">
        <v>333</v>
      </c>
      <c r="G343" s="24" t="s">
        <v>345</v>
      </c>
      <c r="H343" s="10">
        <v>2.7559163135313356</v>
      </c>
    </row>
    <row r="344" spans="1:8" x14ac:dyDescent="0.2">
      <c r="A344" s="9"/>
      <c r="B344" s="24" t="s">
        <v>334</v>
      </c>
      <c r="C344" s="25">
        <v>44362</v>
      </c>
      <c r="D344" s="24" t="s">
        <v>890</v>
      </c>
      <c r="E344" s="24" t="s">
        <v>344</v>
      </c>
      <c r="F344" s="24" t="s">
        <v>333</v>
      </c>
      <c r="G344" s="24" t="s">
        <v>345</v>
      </c>
      <c r="H344" s="10">
        <v>143.66711564887268</v>
      </c>
    </row>
    <row r="345" spans="1:8" x14ac:dyDescent="0.2">
      <c r="A345" s="9"/>
      <c r="B345" s="24" t="s">
        <v>334</v>
      </c>
      <c r="C345" s="25">
        <v>44362</v>
      </c>
      <c r="D345" s="24" t="s">
        <v>891</v>
      </c>
      <c r="E345" s="24" t="s">
        <v>377</v>
      </c>
      <c r="F345" s="24" t="s">
        <v>333</v>
      </c>
      <c r="G345" s="24" t="s">
        <v>345</v>
      </c>
      <c r="H345" s="10">
        <v>17.002805430004198</v>
      </c>
    </row>
    <row r="346" spans="1:8" x14ac:dyDescent="0.2">
      <c r="A346" s="9"/>
      <c r="B346" s="24" t="s">
        <v>334</v>
      </c>
      <c r="C346" s="25">
        <v>44362</v>
      </c>
      <c r="D346" s="24" t="s">
        <v>892</v>
      </c>
      <c r="E346" s="24" t="s">
        <v>344</v>
      </c>
      <c r="F346" s="24" t="s">
        <v>333</v>
      </c>
      <c r="G346" s="24" t="s">
        <v>345</v>
      </c>
      <c r="H346" s="10">
        <v>721.81042924838118</v>
      </c>
    </row>
    <row r="347" spans="1:8" x14ac:dyDescent="0.2">
      <c r="A347" s="9"/>
      <c r="B347" s="24" t="s">
        <v>334</v>
      </c>
      <c r="C347" s="25">
        <v>44362</v>
      </c>
      <c r="D347" s="24" t="s">
        <v>893</v>
      </c>
      <c r="E347" s="24" t="s">
        <v>344</v>
      </c>
      <c r="F347" s="24" t="s">
        <v>333</v>
      </c>
      <c r="G347" s="24" t="s">
        <v>345</v>
      </c>
      <c r="H347" s="10">
        <v>85.073938374228192</v>
      </c>
    </row>
    <row r="348" spans="1:8" x14ac:dyDescent="0.2">
      <c r="A348" s="9"/>
      <c r="B348" s="24" t="s">
        <v>334</v>
      </c>
      <c r="C348" s="25">
        <v>44363</v>
      </c>
      <c r="D348" s="24" t="s">
        <v>894</v>
      </c>
      <c r="E348" s="24" t="s">
        <v>344</v>
      </c>
      <c r="F348" s="24" t="s">
        <v>333</v>
      </c>
      <c r="G348" s="24" t="s">
        <v>345</v>
      </c>
      <c r="H348" s="10">
        <v>738.30998039504482</v>
      </c>
    </row>
    <row r="349" spans="1:8" x14ac:dyDescent="0.2">
      <c r="A349" s="9"/>
      <c r="B349" s="24" t="s">
        <v>334</v>
      </c>
      <c r="C349" s="25">
        <v>44364</v>
      </c>
      <c r="D349" s="24" t="s">
        <v>895</v>
      </c>
      <c r="E349" s="24" t="s">
        <v>376</v>
      </c>
      <c r="F349" s="24" t="s">
        <v>333</v>
      </c>
      <c r="G349" s="24" t="s">
        <v>345</v>
      </c>
      <c r="H349" s="10">
        <v>3638.1450367169236</v>
      </c>
    </row>
    <row r="350" spans="1:8" x14ac:dyDescent="0.2">
      <c r="A350" s="9"/>
      <c r="B350" s="24" t="s">
        <v>334</v>
      </c>
      <c r="C350" s="25">
        <v>44365</v>
      </c>
      <c r="D350" s="24" t="s">
        <v>896</v>
      </c>
      <c r="E350" s="24" t="s">
        <v>378</v>
      </c>
      <c r="F350" s="24" t="s">
        <v>333</v>
      </c>
      <c r="G350" s="24" t="s">
        <v>345</v>
      </c>
      <c r="H350" s="10">
        <v>13.623812384717951</v>
      </c>
    </row>
    <row r="351" spans="1:8" x14ac:dyDescent="0.2">
      <c r="A351" s="9"/>
      <c r="B351" s="24" t="s">
        <v>334</v>
      </c>
      <c r="C351" s="25">
        <v>44365</v>
      </c>
      <c r="D351" s="24" t="s">
        <v>897</v>
      </c>
      <c r="E351" s="24" t="s">
        <v>566</v>
      </c>
      <c r="F351" s="24" t="s">
        <v>333</v>
      </c>
      <c r="G351" s="24" t="s">
        <v>345</v>
      </c>
      <c r="H351" s="10">
        <v>5.9671579310374137</v>
      </c>
    </row>
    <row r="352" spans="1:8" x14ac:dyDescent="0.2">
      <c r="A352" s="9"/>
      <c r="B352" s="24" t="s">
        <v>334</v>
      </c>
      <c r="C352" s="25">
        <v>44365</v>
      </c>
      <c r="D352" s="24" t="s">
        <v>898</v>
      </c>
      <c r="E352" s="24" t="s">
        <v>377</v>
      </c>
      <c r="F352" s="24" t="s">
        <v>333</v>
      </c>
      <c r="G352" s="24" t="s">
        <v>345</v>
      </c>
      <c r="H352" s="10">
        <v>7.9322460850336709</v>
      </c>
    </row>
    <row r="353" spans="1:8" x14ac:dyDescent="0.2">
      <c r="A353" s="9"/>
      <c r="B353" s="24" t="s">
        <v>334</v>
      </c>
      <c r="C353" s="25">
        <v>44369</v>
      </c>
      <c r="D353" s="24" t="s">
        <v>899</v>
      </c>
      <c r="E353" s="24" t="s">
        <v>510</v>
      </c>
      <c r="F353" s="24" t="s">
        <v>333</v>
      </c>
      <c r="G353" s="24" t="s">
        <v>345</v>
      </c>
      <c r="H353" s="10">
        <v>77.033852085621547</v>
      </c>
    </row>
    <row r="354" spans="1:8" x14ac:dyDescent="0.2">
      <c r="A354" s="9"/>
      <c r="B354" s="24" t="s">
        <v>334</v>
      </c>
      <c r="C354" s="25">
        <v>44369</v>
      </c>
      <c r="D354" s="24" t="s">
        <v>900</v>
      </c>
      <c r="E354" s="24" t="s">
        <v>375</v>
      </c>
      <c r="F354" s="24" t="s">
        <v>333</v>
      </c>
      <c r="G354" s="24" t="s">
        <v>345</v>
      </c>
      <c r="H354" s="10">
        <v>844.40077622115984</v>
      </c>
    </row>
    <row r="355" spans="1:8" x14ac:dyDescent="0.2">
      <c r="A355" s="9"/>
      <c r="B355" s="24" t="s">
        <v>334</v>
      </c>
      <c r="C355" s="25">
        <v>44369</v>
      </c>
      <c r="D355" s="24" t="s">
        <v>901</v>
      </c>
      <c r="E355" s="24" t="s">
        <v>344</v>
      </c>
      <c r="F355" s="24" t="s">
        <v>333</v>
      </c>
      <c r="G355" s="24" t="s">
        <v>345</v>
      </c>
      <c r="H355" s="10">
        <v>316.94235830094505</v>
      </c>
    </row>
    <row r="356" spans="1:8" x14ac:dyDescent="0.2">
      <c r="A356" s="9"/>
      <c r="B356" s="24" t="s">
        <v>334</v>
      </c>
      <c r="C356" s="25">
        <v>44370</v>
      </c>
      <c r="D356" s="24" t="s">
        <v>902</v>
      </c>
      <c r="E356" s="24" t="s">
        <v>420</v>
      </c>
      <c r="F356" s="24" t="s">
        <v>333</v>
      </c>
      <c r="G356" s="24" t="s">
        <v>345</v>
      </c>
      <c r="H356" s="10">
        <v>1914.6908321931576</v>
      </c>
    </row>
    <row r="357" spans="1:8" x14ac:dyDescent="0.2">
      <c r="A357" s="9"/>
      <c r="B357" s="24" t="s">
        <v>334</v>
      </c>
      <c r="C357" s="25">
        <v>44370</v>
      </c>
      <c r="D357" s="24" t="s">
        <v>903</v>
      </c>
      <c r="E357" s="24" t="s">
        <v>344</v>
      </c>
      <c r="F357" s="24" t="s">
        <v>333</v>
      </c>
      <c r="G357" s="24" t="s">
        <v>345</v>
      </c>
      <c r="H357" s="10">
        <v>288.24488190569485</v>
      </c>
    </row>
    <row r="358" spans="1:8" x14ac:dyDescent="0.2">
      <c r="A358" s="9"/>
      <c r="B358" s="24" t="s">
        <v>334</v>
      </c>
      <c r="C358" s="25">
        <v>44370</v>
      </c>
      <c r="D358" s="24" t="s">
        <v>904</v>
      </c>
      <c r="E358" s="24" t="s">
        <v>905</v>
      </c>
      <c r="F358" s="24" t="s">
        <v>333</v>
      </c>
      <c r="G358" s="24" t="s">
        <v>345</v>
      </c>
      <c r="H358" s="10">
        <v>1243.3616004617656</v>
      </c>
    </row>
    <row r="359" spans="1:8" x14ac:dyDescent="0.2">
      <c r="A359" s="9"/>
      <c r="B359" s="24" t="s">
        <v>334</v>
      </c>
      <c r="C359" s="25">
        <v>44370</v>
      </c>
      <c r="D359" s="24" t="s">
        <v>906</v>
      </c>
      <c r="E359" s="24" t="s">
        <v>344</v>
      </c>
      <c r="F359" s="24" t="s">
        <v>333</v>
      </c>
      <c r="G359" s="24" t="s">
        <v>345</v>
      </c>
      <c r="H359" s="10">
        <v>757.30183846872819</v>
      </c>
    </row>
    <row r="360" spans="1:8" x14ac:dyDescent="0.2">
      <c r="A360" s="9"/>
      <c r="B360" s="24" t="s">
        <v>334</v>
      </c>
      <c r="C360" s="25">
        <v>44370</v>
      </c>
      <c r="D360" s="24" t="s">
        <v>907</v>
      </c>
      <c r="E360" s="24" t="s">
        <v>908</v>
      </c>
      <c r="F360" s="24" t="s">
        <v>333</v>
      </c>
      <c r="G360" s="24" t="s">
        <v>345</v>
      </c>
      <c r="H360" s="10">
        <v>3535.0977310805342</v>
      </c>
    </row>
    <row r="361" spans="1:8" x14ac:dyDescent="0.2">
      <c r="A361" s="9"/>
      <c r="B361" s="24" t="s">
        <v>334</v>
      </c>
      <c r="C361" s="25">
        <v>44371</v>
      </c>
      <c r="D361" s="24" t="s">
        <v>909</v>
      </c>
      <c r="E361" s="24" t="s">
        <v>910</v>
      </c>
      <c r="F361" s="24" t="s">
        <v>333</v>
      </c>
      <c r="G361" s="24" t="s">
        <v>345</v>
      </c>
      <c r="H361" s="10">
        <v>81.539176146003214</v>
      </c>
    </row>
    <row r="362" spans="1:8" x14ac:dyDescent="0.2">
      <c r="A362" s="9"/>
      <c r="B362" s="24" t="s">
        <v>334</v>
      </c>
      <c r="C362" s="25">
        <v>44371</v>
      </c>
      <c r="D362" s="24" t="s">
        <v>911</v>
      </c>
      <c r="E362" s="24" t="s">
        <v>377</v>
      </c>
      <c r="F362" s="24" t="s">
        <v>333</v>
      </c>
      <c r="G362" s="24" t="s">
        <v>345</v>
      </c>
      <c r="H362" s="10">
        <v>2.7559163135313356</v>
      </c>
    </row>
    <row r="363" spans="1:8" x14ac:dyDescent="0.2">
      <c r="A363" s="9"/>
      <c r="B363" s="24" t="s">
        <v>334</v>
      </c>
      <c r="C363" s="25">
        <v>44372</v>
      </c>
      <c r="D363" s="24" t="s">
        <v>912</v>
      </c>
      <c r="E363" s="24" t="s">
        <v>615</v>
      </c>
      <c r="F363" s="24" t="s">
        <v>333</v>
      </c>
      <c r="G363" s="24" t="s">
        <v>345</v>
      </c>
      <c r="H363" s="10">
        <v>13.360202998206258</v>
      </c>
    </row>
    <row r="364" spans="1:8" x14ac:dyDescent="0.2">
      <c r="A364" s="9"/>
      <c r="B364" s="24" t="s">
        <v>334</v>
      </c>
      <c r="C364" s="25">
        <v>44372</v>
      </c>
      <c r="D364" s="24" t="s">
        <v>913</v>
      </c>
      <c r="E364" s="24" t="s">
        <v>421</v>
      </c>
      <c r="F364" s="24" t="s">
        <v>333</v>
      </c>
      <c r="G364" s="24" t="s">
        <v>345</v>
      </c>
      <c r="H364" s="10">
        <v>36512.58405471396</v>
      </c>
    </row>
    <row r="365" spans="1:8" x14ac:dyDescent="0.2">
      <c r="A365" s="9"/>
      <c r="B365" s="24" t="s">
        <v>334</v>
      </c>
      <c r="C365" s="25">
        <v>44372</v>
      </c>
      <c r="D365" s="24" t="s">
        <v>914</v>
      </c>
      <c r="E365" s="24" t="s">
        <v>421</v>
      </c>
      <c r="F365" s="24" t="s">
        <v>333</v>
      </c>
      <c r="G365" s="24" t="s">
        <v>345</v>
      </c>
      <c r="H365" s="10">
        <v>36480.747230170251</v>
      </c>
    </row>
    <row r="366" spans="1:8" x14ac:dyDescent="0.2">
      <c r="A366" s="9"/>
      <c r="B366" s="24" t="s">
        <v>334</v>
      </c>
      <c r="C366" s="25">
        <v>44372</v>
      </c>
      <c r="D366" s="24" t="s">
        <v>915</v>
      </c>
      <c r="E366" s="24" t="s">
        <v>344</v>
      </c>
      <c r="F366" s="24" t="s">
        <v>333</v>
      </c>
      <c r="G366" s="24" t="s">
        <v>345</v>
      </c>
      <c r="H366" s="10">
        <v>242.54460008044043</v>
      </c>
    </row>
    <row r="367" spans="1:8" x14ac:dyDescent="0.2">
      <c r="A367" s="9"/>
      <c r="B367" s="24" t="s">
        <v>498</v>
      </c>
      <c r="C367" s="25">
        <v>44372</v>
      </c>
      <c r="D367" s="24" t="s">
        <v>916</v>
      </c>
      <c r="E367" s="24" t="s">
        <v>747</v>
      </c>
      <c r="F367" s="24" t="s">
        <v>333</v>
      </c>
      <c r="G367" s="24" t="s">
        <v>345</v>
      </c>
      <c r="H367" s="10">
        <v>-208.8864743208338</v>
      </c>
    </row>
    <row r="368" spans="1:8" x14ac:dyDescent="0.2">
      <c r="A368" s="9"/>
      <c r="B368" s="24" t="s">
        <v>342</v>
      </c>
      <c r="C368" s="25">
        <v>44375</v>
      </c>
      <c r="D368" s="24" t="s">
        <v>917</v>
      </c>
      <c r="E368" s="24" t="s">
        <v>552</v>
      </c>
      <c r="F368" s="24" t="s">
        <v>333</v>
      </c>
      <c r="G368" s="24" t="s">
        <v>343</v>
      </c>
      <c r="H368" s="10">
        <v>167.46603320237185</v>
      </c>
    </row>
    <row r="369" spans="1:8" x14ac:dyDescent="0.2">
      <c r="A369" s="9"/>
      <c r="B369" s="24" t="s">
        <v>342</v>
      </c>
      <c r="C369" s="25">
        <v>44375</v>
      </c>
      <c r="D369" s="24" t="s">
        <v>918</v>
      </c>
      <c r="E369" s="24" t="s">
        <v>552</v>
      </c>
      <c r="F369" s="24" t="s">
        <v>333</v>
      </c>
      <c r="G369" s="24" t="s">
        <v>343</v>
      </c>
      <c r="H369" s="10">
        <v>167.46603320237185</v>
      </c>
    </row>
    <row r="370" spans="1:8" x14ac:dyDescent="0.2">
      <c r="A370" s="9"/>
      <c r="B370" s="24" t="s">
        <v>342</v>
      </c>
      <c r="C370" s="25">
        <v>44375</v>
      </c>
      <c r="D370" s="24" t="s">
        <v>919</v>
      </c>
      <c r="E370" s="24" t="s">
        <v>552</v>
      </c>
      <c r="F370" s="24" t="s">
        <v>333</v>
      </c>
      <c r="G370" s="24" t="s">
        <v>343</v>
      </c>
      <c r="H370" s="10">
        <v>242.8257481434392</v>
      </c>
    </row>
    <row r="371" spans="1:8" x14ac:dyDescent="0.2">
      <c r="A371" s="9"/>
      <c r="B371" s="24" t="s">
        <v>342</v>
      </c>
      <c r="C371" s="25">
        <v>44375</v>
      </c>
      <c r="D371" s="24" t="s">
        <v>920</v>
      </c>
      <c r="E371" s="24" t="s">
        <v>552</v>
      </c>
      <c r="F371" s="24" t="s">
        <v>333</v>
      </c>
      <c r="G371" s="24" t="s">
        <v>343</v>
      </c>
      <c r="H371" s="10">
        <v>579.28023303184079</v>
      </c>
    </row>
    <row r="372" spans="1:8" x14ac:dyDescent="0.2">
      <c r="A372" s="9"/>
      <c r="B372" s="24" t="s">
        <v>342</v>
      </c>
      <c r="C372" s="25">
        <v>44375</v>
      </c>
      <c r="D372" s="24" t="s">
        <v>921</v>
      </c>
      <c r="E372" s="24" t="s">
        <v>552</v>
      </c>
      <c r="F372" s="24" t="s">
        <v>333</v>
      </c>
      <c r="G372" s="24" t="s">
        <v>343</v>
      </c>
      <c r="H372" s="10">
        <v>51.762228444369484</v>
      </c>
    </row>
    <row r="373" spans="1:8" x14ac:dyDescent="0.2">
      <c r="A373" s="9"/>
      <c r="B373" s="24" t="s">
        <v>342</v>
      </c>
      <c r="C373" s="25">
        <v>44375</v>
      </c>
      <c r="D373" s="24" t="s">
        <v>922</v>
      </c>
      <c r="E373" s="24" t="s">
        <v>552</v>
      </c>
      <c r="F373" s="24" t="s">
        <v>333</v>
      </c>
      <c r="G373" s="24" t="s">
        <v>343</v>
      </c>
      <c r="H373" s="10">
        <v>384.4106671236263</v>
      </c>
    </row>
    <row r="374" spans="1:8" x14ac:dyDescent="0.2">
      <c r="A374" s="9"/>
      <c r="B374" s="24" t="s">
        <v>342</v>
      </c>
      <c r="C374" s="25">
        <v>44375</v>
      </c>
      <c r="D374" s="24" t="s">
        <v>923</v>
      </c>
      <c r="E374" s="24" t="s">
        <v>552</v>
      </c>
      <c r="F374" s="24" t="s">
        <v>333</v>
      </c>
      <c r="G374" s="24" t="s">
        <v>343</v>
      </c>
      <c r="H374" s="10">
        <v>553.3991188096561</v>
      </c>
    </row>
    <row r="375" spans="1:8" x14ac:dyDescent="0.2">
      <c r="A375" s="9"/>
      <c r="B375" s="24" t="s">
        <v>342</v>
      </c>
      <c r="C375" s="25">
        <v>44375</v>
      </c>
      <c r="D375" s="24" t="s">
        <v>924</v>
      </c>
      <c r="E375" s="24" t="s">
        <v>552</v>
      </c>
      <c r="F375" s="24" t="s">
        <v>333</v>
      </c>
      <c r="G375" s="24" t="s">
        <v>343</v>
      </c>
      <c r="H375" s="10">
        <v>167.46603320237185</v>
      </c>
    </row>
    <row r="376" spans="1:8" x14ac:dyDescent="0.2">
      <c r="A376" s="9"/>
      <c r="B376" s="24" t="s">
        <v>342</v>
      </c>
      <c r="C376" s="25">
        <v>44375</v>
      </c>
      <c r="D376" s="24" t="s">
        <v>925</v>
      </c>
      <c r="E376" s="24" t="s">
        <v>552</v>
      </c>
      <c r="F376" s="24" t="s">
        <v>333</v>
      </c>
      <c r="G376" s="24" t="s">
        <v>343</v>
      </c>
      <c r="H376" s="10">
        <v>58.993716241744636</v>
      </c>
    </row>
    <row r="377" spans="1:8" x14ac:dyDescent="0.2">
      <c r="A377" s="9"/>
      <c r="B377" s="24" t="s">
        <v>342</v>
      </c>
      <c r="C377" s="25">
        <v>44375</v>
      </c>
      <c r="D377" s="24" t="s">
        <v>926</v>
      </c>
      <c r="E377" s="24" t="s">
        <v>552</v>
      </c>
      <c r="F377" s="24" t="s">
        <v>333</v>
      </c>
      <c r="G377" s="24" t="s">
        <v>343</v>
      </c>
      <c r="H377" s="10">
        <v>311.52488221850308</v>
      </c>
    </row>
    <row r="378" spans="1:8" x14ac:dyDescent="0.2">
      <c r="A378" s="9"/>
      <c r="B378" s="24" t="s">
        <v>342</v>
      </c>
      <c r="C378" s="25">
        <v>44375</v>
      </c>
      <c r="D378" s="24" t="s">
        <v>922</v>
      </c>
      <c r="E378" s="24" t="s">
        <v>552</v>
      </c>
      <c r="F378" s="24" t="s">
        <v>333</v>
      </c>
      <c r="G378" s="24" t="s">
        <v>343</v>
      </c>
      <c r="H378" s="10">
        <v>192.58593818272763</v>
      </c>
    </row>
    <row r="379" spans="1:8" x14ac:dyDescent="0.2">
      <c r="A379" s="9"/>
      <c r="B379" s="24" t="s">
        <v>334</v>
      </c>
      <c r="C379" s="25">
        <v>44375</v>
      </c>
      <c r="D379" s="24" t="s">
        <v>927</v>
      </c>
      <c r="E379" s="24" t="s">
        <v>346</v>
      </c>
      <c r="F379" s="24" t="s">
        <v>333</v>
      </c>
      <c r="G379" s="24" t="s">
        <v>345</v>
      </c>
      <c r="H379" s="10">
        <v>63.350128476696398</v>
      </c>
    </row>
    <row r="380" spans="1:8" x14ac:dyDescent="0.2">
      <c r="A380" s="9"/>
      <c r="B380" s="24" t="s">
        <v>334</v>
      </c>
      <c r="C380" s="25">
        <v>44375</v>
      </c>
      <c r="D380" s="24" t="s">
        <v>928</v>
      </c>
      <c r="E380" s="24" t="s">
        <v>643</v>
      </c>
      <c r="F380" s="24" t="s">
        <v>333</v>
      </c>
      <c r="G380" s="24" t="s">
        <v>345</v>
      </c>
      <c r="H380" s="10">
        <v>19.27943194987791</v>
      </c>
    </row>
    <row r="381" spans="1:8" x14ac:dyDescent="0.2">
      <c r="A381" s="9"/>
      <c r="B381" s="24" t="s">
        <v>929</v>
      </c>
      <c r="C381" s="25">
        <v>44376</v>
      </c>
      <c r="D381" s="24" t="s">
        <v>930</v>
      </c>
      <c r="E381" s="24" t="s">
        <v>931</v>
      </c>
      <c r="F381" s="24" t="s">
        <v>333</v>
      </c>
      <c r="G381" s="24" t="s">
        <v>347</v>
      </c>
      <c r="H381" s="10">
        <v>-5846.1252758940227</v>
      </c>
    </row>
    <row r="382" spans="1:8" x14ac:dyDescent="0.2">
      <c r="A382" s="9"/>
      <c r="B382" s="24" t="s">
        <v>334</v>
      </c>
      <c r="C382" s="25">
        <v>44376</v>
      </c>
      <c r="D382" s="24" t="s">
        <v>932</v>
      </c>
      <c r="E382" s="24" t="s">
        <v>344</v>
      </c>
      <c r="F382" s="24" t="s">
        <v>333</v>
      </c>
      <c r="G382" s="24" t="s">
        <v>345</v>
      </c>
      <c r="H382" s="10">
        <v>89.064025906427901</v>
      </c>
    </row>
    <row r="383" spans="1:8" x14ac:dyDescent="0.2">
      <c r="A383" s="9"/>
      <c r="B383" s="24" t="s">
        <v>334</v>
      </c>
      <c r="C383" s="25">
        <v>44376</v>
      </c>
      <c r="D383" s="24" t="s">
        <v>933</v>
      </c>
      <c r="E383" s="24" t="s">
        <v>344</v>
      </c>
      <c r="F383" s="24" t="s">
        <v>333</v>
      </c>
      <c r="G383" s="24" t="s">
        <v>345</v>
      </c>
      <c r="H383" s="10">
        <v>278.31160093214061</v>
      </c>
    </row>
    <row r="384" spans="1:8" x14ac:dyDescent="0.2">
      <c r="A384" s="9"/>
      <c r="B384" s="24" t="s">
        <v>334</v>
      </c>
      <c r="C384" s="25">
        <v>44376</v>
      </c>
      <c r="D384" s="24" t="s">
        <v>934</v>
      </c>
      <c r="E384" s="24" t="s">
        <v>935</v>
      </c>
      <c r="F384" s="24" t="s">
        <v>333</v>
      </c>
      <c r="G384" s="24" t="s">
        <v>345</v>
      </c>
      <c r="H384" s="10">
        <v>8887.9259690972885</v>
      </c>
    </row>
    <row r="385" spans="1:8" x14ac:dyDescent="0.2">
      <c r="A385" s="9"/>
      <c r="B385" s="24" t="s">
        <v>334</v>
      </c>
      <c r="C385" s="25">
        <v>44376</v>
      </c>
      <c r="D385" s="24" t="s">
        <v>936</v>
      </c>
      <c r="E385" s="24" t="s">
        <v>376</v>
      </c>
      <c r="F385" s="24" t="s">
        <v>333</v>
      </c>
      <c r="G385" s="24" t="s">
        <v>345</v>
      </c>
      <c r="H385" s="10">
        <v>3022.1258471736214</v>
      </c>
    </row>
    <row r="386" spans="1:8" x14ac:dyDescent="0.2">
      <c r="A386" s="9"/>
      <c r="B386" s="24" t="s">
        <v>495</v>
      </c>
      <c r="C386" s="25">
        <v>44377</v>
      </c>
      <c r="D386" s="24" t="s">
        <v>937</v>
      </c>
      <c r="E386" s="24"/>
      <c r="F386" s="24" t="s">
        <v>333</v>
      </c>
      <c r="G386" s="24" t="s">
        <v>707</v>
      </c>
      <c r="H386" s="10">
        <v>1508.6005722718946</v>
      </c>
    </row>
    <row r="387" spans="1:8" x14ac:dyDescent="0.2">
      <c r="A387" s="9"/>
      <c r="B387" s="24" t="s">
        <v>334</v>
      </c>
      <c r="C387" s="25">
        <v>44377</v>
      </c>
      <c r="D387" s="24" t="s">
        <v>938</v>
      </c>
      <c r="E387" s="24" t="s">
        <v>521</v>
      </c>
      <c r="F387" s="24" t="s">
        <v>333</v>
      </c>
      <c r="G387" s="24" t="s">
        <v>345</v>
      </c>
      <c r="H387" s="10">
        <v>7731.3757325117604</v>
      </c>
    </row>
    <row r="388" spans="1:8" x14ac:dyDescent="0.2">
      <c r="A388" s="9"/>
      <c r="B388" s="24" t="s">
        <v>334</v>
      </c>
      <c r="C388" s="25">
        <v>44377</v>
      </c>
      <c r="D388" s="24" t="s">
        <v>939</v>
      </c>
      <c r="E388" s="24" t="s">
        <v>510</v>
      </c>
      <c r="F388" s="24" t="s">
        <v>333</v>
      </c>
      <c r="G388" s="24" t="s">
        <v>345</v>
      </c>
      <c r="H388" s="10">
        <v>15.62484727323853</v>
      </c>
    </row>
    <row r="389" spans="1:8" x14ac:dyDescent="0.2">
      <c r="A389" s="9"/>
      <c r="B389" s="24" t="s">
        <v>334</v>
      </c>
      <c r="C389" s="25">
        <v>44377</v>
      </c>
      <c r="D389" s="24" t="s">
        <v>940</v>
      </c>
      <c r="E389" s="24" t="s">
        <v>781</v>
      </c>
      <c r="F389" s="24" t="s">
        <v>333</v>
      </c>
      <c r="G389" s="24" t="s">
        <v>345</v>
      </c>
      <c r="H389" s="10">
        <v>2.7559163135313356</v>
      </c>
    </row>
    <row r="390" spans="1:8" x14ac:dyDescent="0.2">
      <c r="A390" s="9"/>
      <c r="B390" s="24" t="s">
        <v>334</v>
      </c>
      <c r="C390" s="25">
        <v>44377</v>
      </c>
      <c r="D390" s="24" t="s">
        <v>941</v>
      </c>
      <c r="E390" s="24" t="s">
        <v>615</v>
      </c>
      <c r="F390" s="24" t="s">
        <v>333</v>
      </c>
      <c r="G390" s="24" t="s">
        <v>345</v>
      </c>
      <c r="H390" s="10">
        <v>40283.156861418487</v>
      </c>
    </row>
    <row r="391" spans="1:8" x14ac:dyDescent="0.2">
      <c r="A391" s="9"/>
      <c r="B391" s="24" t="s">
        <v>334</v>
      </c>
      <c r="C391" s="25">
        <v>44378</v>
      </c>
      <c r="D391" s="24" t="s">
        <v>942</v>
      </c>
      <c r="E391" s="24" t="s">
        <v>508</v>
      </c>
      <c r="F391" s="24" t="s">
        <v>333</v>
      </c>
      <c r="G391" s="24" t="s">
        <v>345</v>
      </c>
      <c r="H391" s="10">
        <v>30.640723970606221</v>
      </c>
    </row>
    <row r="392" spans="1:8" x14ac:dyDescent="0.2">
      <c r="A392" s="9"/>
      <c r="B392" s="24" t="s">
        <v>334</v>
      </c>
      <c r="C392" s="25">
        <v>44378</v>
      </c>
      <c r="D392" s="24" t="s">
        <v>943</v>
      </c>
      <c r="E392" s="24" t="s">
        <v>344</v>
      </c>
      <c r="F392" s="24" t="s">
        <v>333</v>
      </c>
      <c r="G392" s="24" t="s">
        <v>345</v>
      </c>
      <c r="H392" s="10">
        <v>773.16445161759066</v>
      </c>
    </row>
    <row r="393" spans="1:8" x14ac:dyDescent="0.2">
      <c r="A393" s="9"/>
      <c r="B393" s="24" t="s">
        <v>334</v>
      </c>
      <c r="C393" s="25">
        <v>44378</v>
      </c>
      <c r="D393" s="24" t="s">
        <v>944</v>
      </c>
      <c r="E393" s="24" t="s">
        <v>377</v>
      </c>
      <c r="F393" s="24" t="s">
        <v>333</v>
      </c>
      <c r="G393" s="24" t="s">
        <v>345</v>
      </c>
      <c r="H393" s="10">
        <v>512.56473988300525</v>
      </c>
    </row>
    <row r="394" spans="1:8" x14ac:dyDescent="0.2">
      <c r="A394" s="9"/>
      <c r="B394" s="24" t="s">
        <v>334</v>
      </c>
      <c r="C394" s="25">
        <v>44379</v>
      </c>
      <c r="D394" s="24" t="s">
        <v>945</v>
      </c>
      <c r="E394" s="24" t="s">
        <v>344</v>
      </c>
      <c r="F394" s="24" t="s">
        <v>333</v>
      </c>
      <c r="G394" s="24" t="s">
        <v>345</v>
      </c>
      <c r="H394" s="10">
        <v>544.68198293469311</v>
      </c>
    </row>
    <row r="395" spans="1:8" x14ac:dyDescent="0.2">
      <c r="A395" s="9"/>
      <c r="B395" s="24" t="s">
        <v>334</v>
      </c>
      <c r="C395" s="25">
        <v>44382</v>
      </c>
      <c r="D395" s="24" t="s">
        <v>946</v>
      </c>
      <c r="E395" s="24" t="s">
        <v>376</v>
      </c>
      <c r="F395" s="24" t="s">
        <v>333</v>
      </c>
      <c r="G395" s="24" t="s">
        <v>345</v>
      </c>
      <c r="H395" s="10">
        <v>953.53602256252395</v>
      </c>
    </row>
    <row r="396" spans="1:8" x14ac:dyDescent="0.2">
      <c r="A396" s="9"/>
      <c r="B396" s="24" t="s">
        <v>334</v>
      </c>
      <c r="C396" s="25">
        <v>44382</v>
      </c>
      <c r="D396" s="24" t="s">
        <v>947</v>
      </c>
      <c r="E396" s="24" t="s">
        <v>643</v>
      </c>
      <c r="F396" s="24" t="s">
        <v>333</v>
      </c>
      <c r="G396" s="24" t="s">
        <v>345</v>
      </c>
      <c r="H396" s="10">
        <v>39.42896554120415</v>
      </c>
    </row>
    <row r="397" spans="1:8" x14ac:dyDescent="0.2">
      <c r="A397" s="9"/>
      <c r="B397" s="24" t="s">
        <v>334</v>
      </c>
      <c r="C397" s="25">
        <v>44382</v>
      </c>
      <c r="D397" s="24" t="s">
        <v>948</v>
      </c>
      <c r="E397" s="24" t="s">
        <v>643</v>
      </c>
      <c r="F397" s="24" t="s">
        <v>333</v>
      </c>
      <c r="G397" s="24" t="s">
        <v>345</v>
      </c>
      <c r="H397" s="10">
        <v>67.317457944674189</v>
      </c>
    </row>
    <row r="398" spans="1:8" x14ac:dyDescent="0.2">
      <c r="A398" s="9"/>
      <c r="B398" s="24" t="s">
        <v>334</v>
      </c>
      <c r="C398" s="25">
        <v>44382</v>
      </c>
      <c r="D398" s="24" t="s">
        <v>949</v>
      </c>
      <c r="E398" s="24" t="s">
        <v>377</v>
      </c>
      <c r="F398" s="24" t="s">
        <v>333</v>
      </c>
      <c r="G398" s="24" t="s">
        <v>345</v>
      </c>
      <c r="H398" s="10">
        <v>33.18033679006664</v>
      </c>
    </row>
    <row r="399" spans="1:8" x14ac:dyDescent="0.2">
      <c r="A399" s="9"/>
      <c r="B399" s="24" t="s">
        <v>334</v>
      </c>
      <c r="C399" s="25">
        <v>44382</v>
      </c>
      <c r="D399" s="24" t="s">
        <v>950</v>
      </c>
      <c r="E399" s="24" t="s">
        <v>378</v>
      </c>
      <c r="F399" s="24" t="s">
        <v>333</v>
      </c>
      <c r="G399" s="24" t="s">
        <v>345</v>
      </c>
      <c r="H399" s="10">
        <v>8.6110592808681314</v>
      </c>
    </row>
    <row r="400" spans="1:8" x14ac:dyDescent="0.2">
      <c r="A400" s="9"/>
      <c r="B400" s="24" t="s">
        <v>334</v>
      </c>
      <c r="C400" s="25">
        <v>44383</v>
      </c>
      <c r="D400" s="24" t="s">
        <v>951</v>
      </c>
      <c r="E400" s="24" t="s">
        <v>378</v>
      </c>
      <c r="F400" s="24" t="s">
        <v>333</v>
      </c>
      <c r="G400" s="24" t="s">
        <v>335</v>
      </c>
      <c r="H400" s="10">
        <v>313.43547053201081</v>
      </c>
    </row>
    <row r="401" spans="1:8" x14ac:dyDescent="0.2">
      <c r="A401" s="9"/>
      <c r="B401" s="24" t="s">
        <v>334</v>
      </c>
      <c r="C401" s="25">
        <v>44383</v>
      </c>
      <c r="D401" s="24" t="s">
        <v>952</v>
      </c>
      <c r="E401" s="24" t="s">
        <v>422</v>
      </c>
      <c r="F401" s="24" t="s">
        <v>333</v>
      </c>
      <c r="G401" s="24" t="s">
        <v>345</v>
      </c>
      <c r="H401" s="10">
        <v>533.01157611782389</v>
      </c>
    </row>
    <row r="402" spans="1:8" x14ac:dyDescent="0.2">
      <c r="A402" s="9"/>
      <c r="B402" s="24" t="s">
        <v>334</v>
      </c>
      <c r="C402" s="25">
        <v>44384</v>
      </c>
      <c r="D402" s="24" t="s">
        <v>953</v>
      </c>
      <c r="E402" s="24" t="s">
        <v>344</v>
      </c>
      <c r="F402" s="24" t="s">
        <v>333</v>
      </c>
      <c r="G402" s="24" t="s">
        <v>345</v>
      </c>
      <c r="H402" s="10">
        <v>1361.4096535205165</v>
      </c>
    </row>
    <row r="403" spans="1:8" x14ac:dyDescent="0.2">
      <c r="A403" s="9"/>
      <c r="B403" s="24" t="s">
        <v>334</v>
      </c>
      <c r="C403" s="25">
        <v>44384</v>
      </c>
      <c r="D403" s="24" t="s">
        <v>954</v>
      </c>
      <c r="E403" s="24" t="s">
        <v>510</v>
      </c>
      <c r="F403" s="24" t="s">
        <v>333</v>
      </c>
      <c r="G403" s="24" t="s">
        <v>345</v>
      </c>
      <c r="H403" s="10">
        <v>34.432424970823874</v>
      </c>
    </row>
    <row r="404" spans="1:8" x14ac:dyDescent="0.2">
      <c r="A404" s="9"/>
      <c r="B404" s="24" t="s">
        <v>334</v>
      </c>
      <c r="C404" s="25">
        <v>44385</v>
      </c>
      <c r="D404" s="24" t="s">
        <v>955</v>
      </c>
      <c r="E404" s="24" t="s">
        <v>420</v>
      </c>
      <c r="F404" s="24" t="s">
        <v>333</v>
      </c>
      <c r="G404" s="24" t="s">
        <v>345</v>
      </c>
      <c r="H404" s="10">
        <v>2516.6854311693874</v>
      </c>
    </row>
    <row r="405" spans="1:8" x14ac:dyDescent="0.2">
      <c r="A405" s="9"/>
      <c r="B405" s="24" t="s">
        <v>334</v>
      </c>
      <c r="C405" s="25">
        <v>44385</v>
      </c>
      <c r="D405" s="24" t="s">
        <v>956</v>
      </c>
      <c r="E405" s="24" t="s">
        <v>346</v>
      </c>
      <c r="F405" s="24" t="s">
        <v>333</v>
      </c>
      <c r="G405" s="24" t="s">
        <v>345</v>
      </c>
      <c r="H405" s="10">
        <v>142.66786986075553</v>
      </c>
    </row>
    <row r="406" spans="1:8" x14ac:dyDescent="0.2">
      <c r="A406" s="9"/>
      <c r="B406" s="24" t="s">
        <v>334</v>
      </c>
      <c r="C406" s="25">
        <v>44385</v>
      </c>
      <c r="D406" s="24" t="s">
        <v>957</v>
      </c>
      <c r="E406" s="24" t="s">
        <v>346</v>
      </c>
      <c r="F406" s="24" t="s">
        <v>333</v>
      </c>
      <c r="G406" s="24" t="s">
        <v>345</v>
      </c>
      <c r="H406" s="10">
        <v>37.727576670552075</v>
      </c>
    </row>
    <row r="407" spans="1:8" x14ac:dyDescent="0.2">
      <c r="A407" s="9"/>
      <c r="B407" s="24" t="s">
        <v>334</v>
      </c>
      <c r="C407" s="25">
        <v>44386</v>
      </c>
      <c r="D407" s="24" t="s">
        <v>958</v>
      </c>
      <c r="E407" s="24" t="s">
        <v>566</v>
      </c>
      <c r="F407" s="24" t="s">
        <v>333</v>
      </c>
      <c r="G407" s="24" t="s">
        <v>345</v>
      </c>
      <c r="H407" s="10">
        <v>22.18322267417058</v>
      </c>
    </row>
    <row r="408" spans="1:8" x14ac:dyDescent="0.2">
      <c r="A408" s="9"/>
      <c r="B408" s="24" t="s">
        <v>334</v>
      </c>
      <c r="C408" s="25">
        <v>44386</v>
      </c>
      <c r="D408" s="24" t="s">
        <v>959</v>
      </c>
      <c r="E408" s="24" t="s">
        <v>606</v>
      </c>
      <c r="F408" s="24" t="s">
        <v>333</v>
      </c>
      <c r="G408" s="24" t="s">
        <v>345</v>
      </c>
      <c r="H408" s="10">
        <v>16.288958502492665</v>
      </c>
    </row>
    <row r="409" spans="1:8" x14ac:dyDescent="0.2">
      <c r="A409" s="9"/>
      <c r="B409" s="24" t="s">
        <v>334</v>
      </c>
      <c r="C409" s="25">
        <v>44386</v>
      </c>
      <c r="D409" s="24" t="s">
        <v>960</v>
      </c>
      <c r="E409" s="24" t="s">
        <v>643</v>
      </c>
      <c r="F409" s="24" t="s">
        <v>333</v>
      </c>
      <c r="G409" s="24" t="s">
        <v>345</v>
      </c>
      <c r="H409" s="10">
        <v>5.9060763243265653</v>
      </c>
    </row>
    <row r="410" spans="1:8" x14ac:dyDescent="0.2">
      <c r="A410" s="9"/>
      <c r="B410" s="24" t="s">
        <v>334</v>
      </c>
      <c r="C410" s="25">
        <v>44386</v>
      </c>
      <c r="D410" s="24" t="s">
        <v>961</v>
      </c>
      <c r="E410" s="24" t="s">
        <v>344</v>
      </c>
      <c r="F410" s="24" t="s">
        <v>333</v>
      </c>
      <c r="G410" s="24" t="s">
        <v>345</v>
      </c>
      <c r="H410" s="10">
        <v>134.91840755291605</v>
      </c>
    </row>
    <row r="411" spans="1:8" x14ac:dyDescent="0.2">
      <c r="A411" s="9"/>
      <c r="B411" s="24" t="s">
        <v>334</v>
      </c>
      <c r="C411" s="25">
        <v>44389</v>
      </c>
      <c r="D411" s="24" t="s">
        <v>962</v>
      </c>
      <c r="E411" s="24" t="s">
        <v>376</v>
      </c>
      <c r="F411" s="24" t="s">
        <v>333</v>
      </c>
      <c r="G411" s="24" t="s">
        <v>345</v>
      </c>
      <c r="H411" s="10">
        <v>420.58350720794334</v>
      </c>
    </row>
    <row r="412" spans="1:8" x14ac:dyDescent="0.2">
      <c r="A412" s="9"/>
      <c r="B412" s="24" t="s">
        <v>334</v>
      </c>
      <c r="C412" s="25">
        <v>44390</v>
      </c>
      <c r="D412" s="24" t="s">
        <v>963</v>
      </c>
      <c r="E412" s="24" t="s">
        <v>375</v>
      </c>
      <c r="F412" s="24" t="s">
        <v>333</v>
      </c>
      <c r="G412" s="24" t="s">
        <v>345</v>
      </c>
      <c r="H412" s="10">
        <v>197.45194367488571</v>
      </c>
    </row>
    <row r="413" spans="1:8" x14ac:dyDescent="0.2">
      <c r="A413" s="9"/>
      <c r="B413" s="24" t="s">
        <v>334</v>
      </c>
      <c r="C413" s="25">
        <v>44390</v>
      </c>
      <c r="D413" s="24" t="s">
        <v>964</v>
      </c>
      <c r="E413" s="24" t="s">
        <v>910</v>
      </c>
      <c r="F413" s="24" t="s">
        <v>333</v>
      </c>
      <c r="G413" s="24" t="s">
        <v>345</v>
      </c>
      <c r="H413" s="10">
        <v>80.3935109267332</v>
      </c>
    </row>
    <row r="414" spans="1:8" x14ac:dyDescent="0.2">
      <c r="A414" s="9"/>
      <c r="B414" s="24" t="s">
        <v>334</v>
      </c>
      <c r="C414" s="25">
        <v>44391</v>
      </c>
      <c r="D414" s="24" t="s">
        <v>965</v>
      </c>
      <c r="E414" s="24" t="s">
        <v>377</v>
      </c>
      <c r="F414" s="24" t="s">
        <v>333</v>
      </c>
      <c r="G414" s="24" t="s">
        <v>345</v>
      </c>
      <c r="H414" s="10">
        <v>2.7167951091902198</v>
      </c>
    </row>
    <row r="415" spans="1:8" x14ac:dyDescent="0.2">
      <c r="A415" s="9"/>
      <c r="B415" s="24" t="s">
        <v>334</v>
      </c>
      <c r="C415" s="25">
        <v>44391</v>
      </c>
      <c r="D415" s="24" t="s">
        <v>966</v>
      </c>
      <c r="E415" s="24" t="s">
        <v>344</v>
      </c>
      <c r="F415" s="24" t="s">
        <v>333</v>
      </c>
      <c r="G415" s="24" t="s">
        <v>345</v>
      </c>
      <c r="H415" s="10">
        <v>846.51791956572652</v>
      </c>
    </row>
    <row r="416" spans="1:8" x14ac:dyDescent="0.2">
      <c r="A416" s="9"/>
      <c r="B416" s="24" t="s">
        <v>334</v>
      </c>
      <c r="C416" s="25">
        <v>44391</v>
      </c>
      <c r="D416" s="24" t="s">
        <v>967</v>
      </c>
      <c r="E416" s="24" t="s">
        <v>346</v>
      </c>
      <c r="F416" s="24" t="s">
        <v>333</v>
      </c>
      <c r="G416" s="24" t="s">
        <v>345</v>
      </c>
      <c r="H416" s="10">
        <v>40.704678027258687</v>
      </c>
    </row>
    <row r="417" spans="1:8" x14ac:dyDescent="0.2">
      <c r="A417" s="9"/>
      <c r="B417" s="24" t="s">
        <v>334</v>
      </c>
      <c r="C417" s="25">
        <v>44391</v>
      </c>
      <c r="D417" s="24" t="s">
        <v>968</v>
      </c>
      <c r="E417" s="24" t="s">
        <v>377</v>
      </c>
      <c r="F417" s="24" t="s">
        <v>333</v>
      </c>
      <c r="G417" s="24" t="s">
        <v>345</v>
      </c>
      <c r="H417" s="10">
        <v>2.7167951091902198</v>
      </c>
    </row>
    <row r="418" spans="1:8" x14ac:dyDescent="0.2">
      <c r="A418" s="9"/>
      <c r="B418" s="24" t="s">
        <v>334</v>
      </c>
      <c r="C418" s="25">
        <v>44391</v>
      </c>
      <c r="D418" s="24" t="s">
        <v>969</v>
      </c>
      <c r="E418" s="24" t="s">
        <v>377</v>
      </c>
      <c r="F418" s="24" t="s">
        <v>333</v>
      </c>
      <c r="G418" s="24" t="s">
        <v>345</v>
      </c>
      <c r="H418" s="10">
        <v>2.7167951091902198</v>
      </c>
    </row>
    <row r="419" spans="1:8" x14ac:dyDescent="0.2">
      <c r="A419" s="9"/>
      <c r="B419" s="24" t="s">
        <v>334</v>
      </c>
      <c r="C419" s="25">
        <v>44391</v>
      </c>
      <c r="D419" s="24" t="s">
        <v>970</v>
      </c>
      <c r="E419" s="24" t="s">
        <v>377</v>
      </c>
      <c r="F419" s="24" t="s">
        <v>333</v>
      </c>
      <c r="G419" s="24" t="s">
        <v>345</v>
      </c>
      <c r="H419" s="10">
        <v>22.537587253630171</v>
      </c>
    </row>
    <row r="420" spans="1:8" x14ac:dyDescent="0.2">
      <c r="A420" s="9"/>
      <c r="B420" s="24" t="s">
        <v>334</v>
      </c>
      <c r="C420" s="25">
        <v>44391</v>
      </c>
      <c r="D420" s="24" t="s">
        <v>971</v>
      </c>
      <c r="E420" s="24" t="s">
        <v>597</v>
      </c>
      <c r="F420" s="24" t="s">
        <v>333</v>
      </c>
      <c r="G420" s="24" t="s">
        <v>345</v>
      </c>
      <c r="H420" s="10">
        <v>2505.0740851157611</v>
      </c>
    </row>
    <row r="421" spans="1:8" x14ac:dyDescent="0.2">
      <c r="A421" s="9"/>
      <c r="B421" s="24" t="s">
        <v>342</v>
      </c>
      <c r="C421" s="25">
        <v>44393</v>
      </c>
      <c r="D421" s="24" t="s">
        <v>972</v>
      </c>
      <c r="E421" s="24" t="s">
        <v>494</v>
      </c>
      <c r="F421" s="24" t="s">
        <v>333</v>
      </c>
      <c r="G421" s="24" t="s">
        <v>343</v>
      </c>
      <c r="H421" s="10">
        <v>497.37559139389748</v>
      </c>
    </row>
    <row r="422" spans="1:8" x14ac:dyDescent="0.2">
      <c r="A422" s="9"/>
      <c r="B422" s="24" t="s">
        <v>334</v>
      </c>
      <c r="C422" s="25">
        <v>44393</v>
      </c>
      <c r="D422" s="24" t="s">
        <v>973</v>
      </c>
      <c r="E422" s="24" t="s">
        <v>544</v>
      </c>
      <c r="F422" s="24" t="s">
        <v>333</v>
      </c>
      <c r="G422" s="24" t="s">
        <v>345</v>
      </c>
      <c r="H422" s="10">
        <v>1409.3433689687508</v>
      </c>
    </row>
    <row r="423" spans="1:8" x14ac:dyDescent="0.2">
      <c r="A423" s="9"/>
      <c r="B423" s="24" t="s">
        <v>498</v>
      </c>
      <c r="C423" s="25">
        <v>44393</v>
      </c>
      <c r="D423" s="24" t="s">
        <v>974</v>
      </c>
      <c r="E423" s="24" t="s">
        <v>494</v>
      </c>
      <c r="F423" s="24" t="s">
        <v>333</v>
      </c>
      <c r="G423" s="24" t="s">
        <v>501</v>
      </c>
      <c r="H423" s="10">
        <v>297.82969544544761</v>
      </c>
    </row>
    <row r="424" spans="1:8" x14ac:dyDescent="0.2">
      <c r="A424" s="9"/>
      <c r="B424" s="24" t="s">
        <v>334</v>
      </c>
      <c r="C424" s="25">
        <v>44396</v>
      </c>
      <c r="D424" s="24" t="s">
        <v>975</v>
      </c>
      <c r="E424" s="24" t="s">
        <v>597</v>
      </c>
      <c r="F424" s="24" t="s">
        <v>333</v>
      </c>
      <c r="G424" s="24" t="s">
        <v>345</v>
      </c>
      <c r="H424" s="10">
        <v>4874.9226467097415</v>
      </c>
    </row>
    <row r="425" spans="1:8" x14ac:dyDescent="0.2">
      <c r="A425" s="9"/>
      <c r="B425" s="24" t="s">
        <v>334</v>
      </c>
      <c r="C425" s="25">
        <v>44397</v>
      </c>
      <c r="D425" s="24" t="s">
        <v>976</v>
      </c>
      <c r="E425" s="24" t="s">
        <v>344</v>
      </c>
      <c r="F425" s="24" t="s">
        <v>333</v>
      </c>
      <c r="G425" s="24" t="s">
        <v>345</v>
      </c>
      <c r="H425" s="10">
        <v>134.06793256221303</v>
      </c>
    </row>
    <row r="426" spans="1:8" x14ac:dyDescent="0.2">
      <c r="A426" s="9"/>
      <c r="B426" s="24" t="s">
        <v>334</v>
      </c>
      <c r="C426" s="25">
        <v>44397</v>
      </c>
      <c r="D426" s="24" t="s">
        <v>977</v>
      </c>
      <c r="E426" s="24" t="s">
        <v>910</v>
      </c>
      <c r="F426" s="24" t="s">
        <v>333</v>
      </c>
      <c r="G426" s="24" t="s">
        <v>345</v>
      </c>
      <c r="H426" s="10">
        <v>76.519124857974973</v>
      </c>
    </row>
    <row r="427" spans="1:8" x14ac:dyDescent="0.2">
      <c r="A427" s="9"/>
      <c r="B427" s="24" t="s">
        <v>334</v>
      </c>
      <c r="C427" s="25">
        <v>44397</v>
      </c>
      <c r="D427" s="24" t="s">
        <v>978</v>
      </c>
      <c r="E427" s="24" t="s">
        <v>377</v>
      </c>
      <c r="F427" s="24" t="s">
        <v>333</v>
      </c>
      <c r="G427" s="24" t="s">
        <v>345</v>
      </c>
      <c r="H427" s="10">
        <v>169.11458947076687</v>
      </c>
    </row>
    <row r="428" spans="1:8" x14ac:dyDescent="0.2">
      <c r="A428" s="9"/>
      <c r="B428" s="24" t="s">
        <v>334</v>
      </c>
      <c r="C428" s="25">
        <v>44397</v>
      </c>
      <c r="D428" s="24" t="s">
        <v>979</v>
      </c>
      <c r="E428" s="24" t="s">
        <v>762</v>
      </c>
      <c r="F428" s="24" t="s">
        <v>333</v>
      </c>
      <c r="G428" s="24" t="s">
        <v>335</v>
      </c>
      <c r="H428" s="10">
        <v>365.43703631156421</v>
      </c>
    </row>
    <row r="429" spans="1:8" x14ac:dyDescent="0.2">
      <c r="A429" s="9"/>
      <c r="B429" s="24" t="s">
        <v>334</v>
      </c>
      <c r="C429" s="25">
        <v>44398</v>
      </c>
      <c r="D429" s="24" t="s">
        <v>980</v>
      </c>
      <c r="E429" s="24" t="s">
        <v>344</v>
      </c>
      <c r="F429" s="24" t="s">
        <v>333</v>
      </c>
      <c r="G429" s="24" t="s">
        <v>345</v>
      </c>
      <c r="H429" s="10">
        <v>145.65565431054173</v>
      </c>
    </row>
    <row r="430" spans="1:8" x14ac:dyDescent="0.2">
      <c r="A430" s="9"/>
      <c r="B430" s="24" t="s">
        <v>334</v>
      </c>
      <c r="C430" s="25">
        <v>44399</v>
      </c>
      <c r="D430" s="24" t="s">
        <v>981</v>
      </c>
      <c r="E430" s="24" t="s">
        <v>344</v>
      </c>
      <c r="F430" s="24" t="s">
        <v>333</v>
      </c>
      <c r="G430" s="24" t="s">
        <v>345</v>
      </c>
      <c r="H430" s="10">
        <v>926.20270133354063</v>
      </c>
    </row>
    <row r="431" spans="1:8" x14ac:dyDescent="0.2">
      <c r="A431" s="9"/>
      <c r="B431" s="24" t="s">
        <v>982</v>
      </c>
      <c r="C431" s="25">
        <v>44399</v>
      </c>
      <c r="D431" s="24" t="s">
        <v>983</v>
      </c>
      <c r="E431" s="24"/>
      <c r="F431" s="24" t="s">
        <v>333</v>
      </c>
      <c r="G431" s="24" t="s">
        <v>984</v>
      </c>
      <c r="H431" s="10">
        <v>7445.9085436049872</v>
      </c>
    </row>
    <row r="432" spans="1:8" x14ac:dyDescent="0.2">
      <c r="A432" s="9"/>
      <c r="B432" s="24" t="s">
        <v>334</v>
      </c>
      <c r="C432" s="25">
        <v>44400</v>
      </c>
      <c r="D432" s="24" t="s">
        <v>985</v>
      </c>
      <c r="E432" s="24" t="s">
        <v>378</v>
      </c>
      <c r="F432" s="24" t="s">
        <v>333</v>
      </c>
      <c r="G432" s="24" t="s">
        <v>345</v>
      </c>
      <c r="H432" s="10">
        <v>2.7404194144875262</v>
      </c>
    </row>
    <row r="433" spans="1:8" x14ac:dyDescent="0.2">
      <c r="A433" s="9"/>
      <c r="B433" s="24" t="s">
        <v>334</v>
      </c>
      <c r="C433" s="25">
        <v>44400</v>
      </c>
      <c r="D433" s="24" t="s">
        <v>986</v>
      </c>
      <c r="E433" s="24" t="s">
        <v>421</v>
      </c>
      <c r="F433" s="24" t="s">
        <v>333</v>
      </c>
      <c r="G433" s="24" t="s">
        <v>345</v>
      </c>
      <c r="H433" s="10">
        <v>35396.969919654941</v>
      </c>
    </row>
    <row r="434" spans="1:8" x14ac:dyDescent="0.2">
      <c r="A434" s="9"/>
      <c r="B434" s="24" t="s">
        <v>334</v>
      </c>
      <c r="C434" s="25">
        <v>44400</v>
      </c>
      <c r="D434" s="24" t="s">
        <v>987</v>
      </c>
      <c r="E434" s="24" t="s">
        <v>988</v>
      </c>
      <c r="F434" s="24" t="s">
        <v>333</v>
      </c>
      <c r="G434" s="24" t="s">
        <v>345</v>
      </c>
      <c r="H434" s="10">
        <v>16.430704334276506</v>
      </c>
    </row>
    <row r="435" spans="1:8" x14ac:dyDescent="0.2">
      <c r="A435" s="9"/>
      <c r="B435" s="24" t="s">
        <v>334</v>
      </c>
      <c r="C435" s="25">
        <v>44400</v>
      </c>
      <c r="D435" s="24" t="s">
        <v>989</v>
      </c>
      <c r="E435" s="24" t="s">
        <v>377</v>
      </c>
      <c r="F435" s="24" t="s">
        <v>333</v>
      </c>
      <c r="G435" s="24" t="s">
        <v>345</v>
      </c>
      <c r="H435" s="10">
        <v>130.13448573021154</v>
      </c>
    </row>
    <row r="436" spans="1:8" x14ac:dyDescent="0.2">
      <c r="A436" s="9"/>
      <c r="B436" s="24" t="s">
        <v>334</v>
      </c>
      <c r="C436" s="25">
        <v>44400</v>
      </c>
      <c r="D436" s="24" t="s">
        <v>990</v>
      </c>
      <c r="E436" s="24" t="s">
        <v>421</v>
      </c>
      <c r="F436" s="24" t="s">
        <v>333</v>
      </c>
      <c r="G436" s="24" t="s">
        <v>345</v>
      </c>
      <c r="H436" s="10">
        <v>35994.275042639383</v>
      </c>
    </row>
    <row r="437" spans="1:8" x14ac:dyDescent="0.2">
      <c r="A437" s="9"/>
      <c r="B437" s="24" t="s">
        <v>334</v>
      </c>
      <c r="C437" s="25">
        <v>44400</v>
      </c>
      <c r="D437" s="24" t="s">
        <v>991</v>
      </c>
      <c r="E437" s="24" t="s">
        <v>910</v>
      </c>
      <c r="F437" s="24" t="s">
        <v>333</v>
      </c>
      <c r="G437" s="24" t="s">
        <v>345</v>
      </c>
      <c r="H437" s="10">
        <v>63.549381249753843</v>
      </c>
    </row>
    <row r="438" spans="1:8" x14ac:dyDescent="0.2">
      <c r="A438" s="9"/>
      <c r="B438" s="24" t="s">
        <v>334</v>
      </c>
      <c r="C438" s="25">
        <v>44400</v>
      </c>
      <c r="D438" s="24" t="s">
        <v>992</v>
      </c>
      <c r="E438" s="24" t="s">
        <v>346</v>
      </c>
      <c r="F438" s="24" t="s">
        <v>333</v>
      </c>
      <c r="G438" s="24" t="s">
        <v>345</v>
      </c>
      <c r="H438" s="10">
        <v>14.788815116113719</v>
      </c>
    </row>
    <row r="439" spans="1:8" x14ac:dyDescent="0.2">
      <c r="A439" s="9"/>
      <c r="B439" s="24" t="s">
        <v>334</v>
      </c>
      <c r="C439" s="25">
        <v>44400</v>
      </c>
      <c r="D439" s="24" t="s">
        <v>993</v>
      </c>
      <c r="E439" s="24" t="s">
        <v>344</v>
      </c>
      <c r="F439" s="24" t="s">
        <v>333</v>
      </c>
      <c r="G439" s="24" t="s">
        <v>345</v>
      </c>
      <c r="H439" s="10">
        <v>544.37486696582812</v>
      </c>
    </row>
    <row r="440" spans="1:8" x14ac:dyDescent="0.2">
      <c r="A440" s="9"/>
      <c r="B440" s="24" t="s">
        <v>334</v>
      </c>
      <c r="C440" s="25">
        <v>44400</v>
      </c>
      <c r="D440" s="24" t="s">
        <v>994</v>
      </c>
      <c r="E440" s="24" t="s">
        <v>377</v>
      </c>
      <c r="F440" s="24" t="s">
        <v>333</v>
      </c>
      <c r="G440" s="24" t="s">
        <v>345</v>
      </c>
      <c r="H440" s="10">
        <v>71.758827340567763</v>
      </c>
    </row>
    <row r="441" spans="1:8" x14ac:dyDescent="0.2">
      <c r="A441" s="9"/>
      <c r="B441" s="24" t="s">
        <v>334</v>
      </c>
      <c r="C441" s="25">
        <v>44403</v>
      </c>
      <c r="D441" s="24" t="s">
        <v>995</v>
      </c>
      <c r="E441" s="24" t="s">
        <v>420</v>
      </c>
      <c r="F441" s="24" t="s">
        <v>333</v>
      </c>
      <c r="G441" s="24" t="s">
        <v>345</v>
      </c>
      <c r="H441" s="10">
        <v>1258.3368095083692</v>
      </c>
    </row>
    <row r="442" spans="1:8" x14ac:dyDescent="0.2">
      <c r="A442" s="9"/>
      <c r="B442" s="24" t="s">
        <v>498</v>
      </c>
      <c r="C442" s="25">
        <v>44403</v>
      </c>
      <c r="D442" s="24" t="s">
        <v>996</v>
      </c>
      <c r="E442" s="24" t="s">
        <v>997</v>
      </c>
      <c r="F442" s="24" t="s">
        <v>333</v>
      </c>
      <c r="G442" s="24" t="s">
        <v>501</v>
      </c>
      <c r="H442" s="10">
        <v>1338.6476353665619</v>
      </c>
    </row>
    <row r="443" spans="1:8" x14ac:dyDescent="0.2">
      <c r="A443" s="9"/>
      <c r="B443" s="24" t="s">
        <v>334</v>
      </c>
      <c r="C443" s="25">
        <v>44404</v>
      </c>
      <c r="D443" s="24" t="s">
        <v>998</v>
      </c>
      <c r="E443" s="24" t="s">
        <v>344</v>
      </c>
      <c r="F443" s="24" t="s">
        <v>333</v>
      </c>
      <c r="G443" s="24" t="s">
        <v>345</v>
      </c>
      <c r="H443" s="10">
        <v>471.00958686504356</v>
      </c>
    </row>
    <row r="444" spans="1:8" x14ac:dyDescent="0.2">
      <c r="A444" s="9"/>
      <c r="B444" s="24" t="s">
        <v>334</v>
      </c>
      <c r="C444" s="25">
        <v>44404</v>
      </c>
      <c r="D444" s="24" t="s">
        <v>999</v>
      </c>
      <c r="E444" s="24" t="s">
        <v>711</v>
      </c>
      <c r="F444" s="24" t="s">
        <v>333</v>
      </c>
      <c r="G444" s="24" t="s">
        <v>345</v>
      </c>
      <c r="H444" s="10">
        <v>1267.3612941319402</v>
      </c>
    </row>
    <row r="445" spans="1:8" x14ac:dyDescent="0.2">
      <c r="A445" s="9"/>
      <c r="B445" s="24" t="s">
        <v>334</v>
      </c>
      <c r="C445" s="25">
        <v>44404</v>
      </c>
      <c r="D445" s="24" t="s">
        <v>1000</v>
      </c>
      <c r="E445" s="24" t="s">
        <v>422</v>
      </c>
      <c r="F445" s="24" t="s">
        <v>333</v>
      </c>
      <c r="G445" s="24" t="s">
        <v>345</v>
      </c>
      <c r="H445" s="10">
        <v>921.04079062607912</v>
      </c>
    </row>
    <row r="446" spans="1:8" x14ac:dyDescent="0.2">
      <c r="A446" s="9"/>
      <c r="B446" s="24" t="s">
        <v>334</v>
      </c>
      <c r="C446" s="25">
        <v>44404</v>
      </c>
      <c r="D446" s="24" t="s">
        <v>1001</v>
      </c>
      <c r="E446" s="24" t="s">
        <v>377</v>
      </c>
      <c r="F446" s="24" t="s">
        <v>333</v>
      </c>
      <c r="G446" s="24" t="s">
        <v>345</v>
      </c>
      <c r="H446" s="10">
        <v>20.352339013629344</v>
      </c>
    </row>
    <row r="447" spans="1:8" x14ac:dyDescent="0.2">
      <c r="A447" s="9"/>
      <c r="B447" s="24" t="s">
        <v>334</v>
      </c>
      <c r="C447" s="25">
        <v>44404</v>
      </c>
      <c r="D447" s="24" t="s">
        <v>1002</v>
      </c>
      <c r="E447" s="24" t="s">
        <v>376</v>
      </c>
      <c r="F447" s="24" t="s">
        <v>333</v>
      </c>
      <c r="G447" s="24" t="s">
        <v>345</v>
      </c>
      <c r="H447" s="10">
        <v>2221.6769187692753</v>
      </c>
    </row>
    <row r="448" spans="1:8" x14ac:dyDescent="0.2">
      <c r="A448" s="9"/>
      <c r="B448" s="24" t="s">
        <v>334</v>
      </c>
      <c r="C448" s="25">
        <v>44405</v>
      </c>
      <c r="D448" s="24" t="s">
        <v>1003</v>
      </c>
      <c r="E448" s="24" t="s">
        <v>566</v>
      </c>
      <c r="F448" s="24" t="s">
        <v>333</v>
      </c>
      <c r="G448" s="24" t="s">
        <v>345</v>
      </c>
      <c r="H448" s="10">
        <v>5.3154686918939085</v>
      </c>
    </row>
    <row r="449" spans="1:8" x14ac:dyDescent="0.2">
      <c r="A449" s="9"/>
      <c r="B449" s="24" t="s">
        <v>334</v>
      </c>
      <c r="C449" s="25">
        <v>44406</v>
      </c>
      <c r="D449" s="24" t="s">
        <v>1004</v>
      </c>
      <c r="E449" s="24" t="s">
        <v>1005</v>
      </c>
      <c r="F449" s="24" t="s">
        <v>333</v>
      </c>
      <c r="G449" s="24" t="s">
        <v>345</v>
      </c>
      <c r="H449" s="10">
        <v>352.14389476164712</v>
      </c>
    </row>
    <row r="450" spans="1:8" x14ac:dyDescent="0.2">
      <c r="A450" s="9"/>
      <c r="B450" s="24" t="s">
        <v>334</v>
      </c>
      <c r="C450" s="25">
        <v>44406</v>
      </c>
      <c r="D450" s="24" t="s">
        <v>1006</v>
      </c>
      <c r="E450" s="24" t="s">
        <v>504</v>
      </c>
      <c r="F450" s="24" t="s">
        <v>333</v>
      </c>
      <c r="G450" s="24" t="s">
        <v>345</v>
      </c>
      <c r="H450" s="10">
        <v>14.115522415140491</v>
      </c>
    </row>
    <row r="451" spans="1:8" x14ac:dyDescent="0.2">
      <c r="A451" s="9"/>
      <c r="B451" s="24" t="s">
        <v>334</v>
      </c>
      <c r="C451" s="25">
        <v>44407</v>
      </c>
      <c r="D451" s="24" t="s">
        <v>1007</v>
      </c>
      <c r="E451" s="24" t="s">
        <v>344</v>
      </c>
      <c r="F451" s="24" t="s">
        <v>333</v>
      </c>
      <c r="G451" s="24" t="s">
        <v>345</v>
      </c>
      <c r="H451" s="10">
        <v>423.57198182805257</v>
      </c>
    </row>
    <row r="452" spans="1:8" x14ac:dyDescent="0.2">
      <c r="A452" s="9"/>
      <c r="B452" s="24" t="s">
        <v>334</v>
      </c>
      <c r="C452" s="25">
        <v>44407</v>
      </c>
      <c r="D452" s="24" t="s">
        <v>1008</v>
      </c>
      <c r="E452" s="24" t="s">
        <v>376</v>
      </c>
      <c r="F452" s="24" t="s">
        <v>333</v>
      </c>
      <c r="G452" s="24" t="s">
        <v>345</v>
      </c>
      <c r="H452" s="10">
        <v>2131.5029454494575</v>
      </c>
    </row>
    <row r="453" spans="1:8" x14ac:dyDescent="0.2">
      <c r="A453" s="9"/>
      <c r="B453" s="24" t="s">
        <v>334</v>
      </c>
      <c r="C453" s="25">
        <v>44411</v>
      </c>
      <c r="D453" s="24" t="s">
        <v>1009</v>
      </c>
      <c r="E453" s="24" t="s">
        <v>377</v>
      </c>
      <c r="F453" s="24" t="s">
        <v>333</v>
      </c>
      <c r="G453" s="24" t="s">
        <v>345</v>
      </c>
      <c r="H453" s="10">
        <v>43.275784581596518</v>
      </c>
    </row>
    <row r="454" spans="1:8" x14ac:dyDescent="0.2">
      <c r="A454" s="9"/>
      <c r="B454" s="24" t="s">
        <v>334</v>
      </c>
      <c r="C454" s="25">
        <v>44411</v>
      </c>
      <c r="D454" s="24" t="s">
        <v>1010</v>
      </c>
      <c r="E454" s="24" t="s">
        <v>377</v>
      </c>
      <c r="F454" s="24" t="s">
        <v>333</v>
      </c>
      <c r="G454" s="24" t="s">
        <v>1011</v>
      </c>
      <c r="H454" s="10">
        <v>6.4995950227112642</v>
      </c>
    </row>
    <row r="455" spans="1:8" x14ac:dyDescent="0.2">
      <c r="A455" s="9"/>
      <c r="B455" s="24" t="s">
        <v>334</v>
      </c>
      <c r="C455" s="25">
        <v>44411</v>
      </c>
      <c r="D455" s="24" t="s">
        <v>1012</v>
      </c>
      <c r="E455" s="24" t="s">
        <v>346</v>
      </c>
      <c r="F455" s="24" t="s">
        <v>333</v>
      </c>
      <c r="G455" s="24" t="s">
        <v>345</v>
      </c>
      <c r="H455" s="10">
        <v>2.7267740420777815</v>
      </c>
    </row>
    <row r="456" spans="1:8" x14ac:dyDescent="0.2">
      <c r="A456" s="9"/>
      <c r="B456" s="24" t="s">
        <v>334</v>
      </c>
      <c r="C456" s="25">
        <v>44412</v>
      </c>
      <c r="D456" s="24" t="s">
        <v>1013</v>
      </c>
      <c r="E456" s="24" t="s">
        <v>585</v>
      </c>
      <c r="F456" s="24" t="s">
        <v>333</v>
      </c>
      <c r="G456" s="24" t="s">
        <v>345</v>
      </c>
      <c r="H456" s="10">
        <v>2313.0788558246431</v>
      </c>
    </row>
    <row r="457" spans="1:8" x14ac:dyDescent="0.2">
      <c r="A457" s="9"/>
      <c r="B457" s="24" t="s">
        <v>334</v>
      </c>
      <c r="C457" s="25">
        <v>44412</v>
      </c>
      <c r="D457" s="24" t="s">
        <v>1014</v>
      </c>
      <c r="E457" s="24" t="s">
        <v>346</v>
      </c>
      <c r="F457" s="24" t="s">
        <v>333</v>
      </c>
      <c r="G457" s="24" t="s">
        <v>345</v>
      </c>
      <c r="H457" s="10">
        <v>5.453548084155563</v>
      </c>
    </row>
    <row r="458" spans="1:8" x14ac:dyDescent="0.2">
      <c r="A458" s="9"/>
      <c r="B458" s="24" t="s">
        <v>334</v>
      </c>
      <c r="C458" s="25">
        <v>44412</v>
      </c>
      <c r="D458" s="24" t="s">
        <v>1015</v>
      </c>
      <c r="E458" s="24" t="s">
        <v>344</v>
      </c>
      <c r="F458" s="24" t="s">
        <v>333</v>
      </c>
      <c r="G458" s="24" t="s">
        <v>345</v>
      </c>
      <c r="H458" s="10">
        <v>1027.5942004261226</v>
      </c>
    </row>
    <row r="459" spans="1:8" x14ac:dyDescent="0.2">
      <c r="A459" s="9"/>
      <c r="B459" s="24" t="s">
        <v>334</v>
      </c>
      <c r="C459" s="25">
        <v>44414</v>
      </c>
      <c r="D459" s="24" t="s">
        <v>1016</v>
      </c>
      <c r="E459" s="24" t="s">
        <v>346</v>
      </c>
      <c r="F459" s="24" t="s">
        <v>333</v>
      </c>
      <c r="G459" s="24" t="s">
        <v>345</v>
      </c>
      <c r="H459" s="10">
        <v>17.571237900458119</v>
      </c>
    </row>
    <row r="460" spans="1:8" x14ac:dyDescent="0.2">
      <c r="A460" s="9"/>
      <c r="B460" s="24" t="s">
        <v>334</v>
      </c>
      <c r="C460" s="25">
        <v>44414</v>
      </c>
      <c r="D460" s="24" t="s">
        <v>1017</v>
      </c>
      <c r="E460" s="24" t="s">
        <v>376</v>
      </c>
      <c r="F460" s="24" t="s">
        <v>333</v>
      </c>
      <c r="G460" s="24" t="s">
        <v>345</v>
      </c>
      <c r="H460" s="10">
        <v>1436.0108865819882</v>
      </c>
    </row>
    <row r="461" spans="1:8" x14ac:dyDescent="0.2">
      <c r="A461" s="9"/>
      <c r="B461" s="24" t="s">
        <v>334</v>
      </c>
      <c r="C461" s="25">
        <v>44414</v>
      </c>
      <c r="D461" s="24" t="s">
        <v>1018</v>
      </c>
      <c r="E461" s="24" t="s">
        <v>1019</v>
      </c>
      <c r="F461" s="24" t="s">
        <v>333</v>
      </c>
      <c r="G461" s="24" t="s">
        <v>707</v>
      </c>
      <c r="H461" s="10">
        <v>4031.8527612944831</v>
      </c>
    </row>
    <row r="462" spans="1:8" x14ac:dyDescent="0.2">
      <c r="A462" s="9"/>
      <c r="B462" s="24" t="s">
        <v>334</v>
      </c>
      <c r="C462" s="25">
        <v>44417</v>
      </c>
      <c r="D462" s="24" t="s">
        <v>1020</v>
      </c>
      <c r="E462" s="24" t="s">
        <v>781</v>
      </c>
      <c r="F462" s="24" t="s">
        <v>333</v>
      </c>
      <c r="G462" s="24" t="s">
        <v>345</v>
      </c>
      <c r="H462" s="10">
        <v>11.612296351607105</v>
      </c>
    </row>
    <row r="463" spans="1:8" x14ac:dyDescent="0.2">
      <c r="A463" s="9"/>
      <c r="B463" s="24" t="s">
        <v>334</v>
      </c>
      <c r="C463" s="25">
        <v>44417</v>
      </c>
      <c r="D463" s="24" t="s">
        <v>1021</v>
      </c>
      <c r="E463" s="24" t="s">
        <v>346</v>
      </c>
      <c r="F463" s="24" t="s">
        <v>333</v>
      </c>
      <c r="G463" s="24" t="s">
        <v>345</v>
      </c>
      <c r="H463" s="10">
        <v>13.763156910659838</v>
      </c>
    </row>
    <row r="464" spans="1:8" x14ac:dyDescent="0.2">
      <c r="A464" s="9"/>
      <c r="B464" s="24" t="s">
        <v>334</v>
      </c>
      <c r="C464" s="25">
        <v>44417</v>
      </c>
      <c r="D464" s="24" t="s">
        <v>1022</v>
      </c>
      <c r="E464" s="24" t="s">
        <v>346</v>
      </c>
      <c r="F464" s="24" t="s">
        <v>333</v>
      </c>
      <c r="G464" s="24" t="s">
        <v>345</v>
      </c>
      <c r="H464" s="10">
        <v>17.195131136033599</v>
      </c>
    </row>
    <row r="465" spans="1:8" x14ac:dyDescent="0.2">
      <c r="A465" s="9"/>
      <c r="B465" s="24" t="s">
        <v>334</v>
      </c>
      <c r="C465" s="25">
        <v>44418</v>
      </c>
      <c r="D465" s="24" t="s">
        <v>1023</v>
      </c>
      <c r="E465" s="24" t="s">
        <v>344</v>
      </c>
      <c r="F465" s="24" t="s">
        <v>333</v>
      </c>
      <c r="G465" s="24" t="s">
        <v>345</v>
      </c>
      <c r="H465" s="10">
        <v>485.78889959982268</v>
      </c>
    </row>
    <row r="466" spans="1:8" x14ac:dyDescent="0.2">
      <c r="A466" s="9"/>
      <c r="B466" s="24" t="s">
        <v>334</v>
      </c>
      <c r="C466" s="25">
        <v>44418</v>
      </c>
      <c r="D466" s="24" t="s">
        <v>1024</v>
      </c>
      <c r="E466" s="24" t="s">
        <v>375</v>
      </c>
      <c r="F466" s="24" t="s">
        <v>333</v>
      </c>
      <c r="G466" s="24" t="s">
        <v>345</v>
      </c>
      <c r="H466" s="10">
        <v>488.45690695995916</v>
      </c>
    </row>
    <row r="467" spans="1:8" x14ac:dyDescent="0.2">
      <c r="A467" s="9"/>
      <c r="B467" s="24" t="s">
        <v>334</v>
      </c>
      <c r="C467" s="25">
        <v>44418</v>
      </c>
      <c r="D467" s="24" t="s">
        <v>1025</v>
      </c>
      <c r="E467" s="24" t="s">
        <v>377</v>
      </c>
      <c r="F467" s="24" t="s">
        <v>333</v>
      </c>
      <c r="G467" s="24" t="s">
        <v>345</v>
      </c>
      <c r="H467" s="10">
        <v>75.620966322105375</v>
      </c>
    </row>
    <row r="468" spans="1:8" x14ac:dyDescent="0.2">
      <c r="A468" s="9"/>
      <c r="B468" s="24" t="s">
        <v>334</v>
      </c>
      <c r="C468" s="25">
        <v>44418</v>
      </c>
      <c r="D468" s="24" t="s">
        <v>1026</v>
      </c>
      <c r="E468" s="24" t="s">
        <v>722</v>
      </c>
      <c r="F468" s="24" t="s">
        <v>333</v>
      </c>
      <c r="G468" s="24" t="s">
        <v>345</v>
      </c>
      <c r="H468" s="10">
        <v>2443.2012950380804</v>
      </c>
    </row>
    <row r="469" spans="1:8" x14ac:dyDescent="0.2">
      <c r="A469" s="9"/>
      <c r="B469" s="24" t="s">
        <v>334</v>
      </c>
      <c r="C469" s="25">
        <v>44418</v>
      </c>
      <c r="D469" s="24" t="s">
        <v>1027</v>
      </c>
      <c r="E469" s="24" t="s">
        <v>344</v>
      </c>
      <c r="F469" s="24" t="s">
        <v>333</v>
      </c>
      <c r="G469" s="24" t="s">
        <v>345</v>
      </c>
      <c r="H469" s="10">
        <v>191.00346964571565</v>
      </c>
    </row>
    <row r="470" spans="1:8" x14ac:dyDescent="0.2">
      <c r="A470" s="9"/>
      <c r="B470" s="24" t="s">
        <v>495</v>
      </c>
      <c r="C470" s="25">
        <v>44419</v>
      </c>
      <c r="D470" s="24" t="s">
        <v>1028</v>
      </c>
      <c r="E470" s="24" t="s">
        <v>564</v>
      </c>
      <c r="F470" s="24" t="s">
        <v>333</v>
      </c>
      <c r="G470" s="24" t="s">
        <v>866</v>
      </c>
      <c r="H470" s="10">
        <v>47.459972335819316</v>
      </c>
    </row>
    <row r="471" spans="1:8" x14ac:dyDescent="0.2">
      <c r="A471" s="9"/>
      <c r="B471" s="24" t="s">
        <v>334</v>
      </c>
      <c r="C471" s="25">
        <v>44419</v>
      </c>
      <c r="D471" s="24" t="s">
        <v>1029</v>
      </c>
      <c r="E471" s="24" t="s">
        <v>910</v>
      </c>
      <c r="F471" s="24" t="s">
        <v>333</v>
      </c>
      <c r="G471" s="24" t="s">
        <v>345</v>
      </c>
      <c r="H471" s="10">
        <v>46.578472106699344</v>
      </c>
    </row>
    <row r="472" spans="1:8" x14ac:dyDescent="0.2">
      <c r="A472" s="9"/>
      <c r="B472" s="24" t="s">
        <v>334</v>
      </c>
      <c r="C472" s="25">
        <v>44419</v>
      </c>
      <c r="D472" s="24" t="s">
        <v>1030</v>
      </c>
      <c r="E472" s="24" t="s">
        <v>564</v>
      </c>
      <c r="F472" s="24" t="s">
        <v>333</v>
      </c>
      <c r="G472" s="24" t="s">
        <v>345</v>
      </c>
      <c r="H472" s="10">
        <v>736.32301805210716</v>
      </c>
    </row>
    <row r="473" spans="1:8" x14ac:dyDescent="0.2">
      <c r="A473" s="9"/>
      <c r="B473" s="24" t="s">
        <v>495</v>
      </c>
      <c r="C473" s="25">
        <v>44420</v>
      </c>
      <c r="D473" s="24" t="s">
        <v>1031</v>
      </c>
      <c r="E473" s="24" t="s">
        <v>344</v>
      </c>
      <c r="F473" s="24" t="s">
        <v>333</v>
      </c>
      <c r="G473" s="24" t="s">
        <v>866</v>
      </c>
      <c r="H473" s="10">
        <v>151.90011948195365</v>
      </c>
    </row>
    <row r="474" spans="1:8" x14ac:dyDescent="0.2">
      <c r="A474" s="9"/>
      <c r="B474" s="24" t="s">
        <v>334</v>
      </c>
      <c r="C474" s="25">
        <v>44420</v>
      </c>
      <c r="D474" s="24" t="s">
        <v>1032</v>
      </c>
      <c r="E474" s="24" t="s">
        <v>344</v>
      </c>
      <c r="F474" s="24" t="s">
        <v>333</v>
      </c>
      <c r="G474" s="24" t="s">
        <v>345</v>
      </c>
      <c r="H474" s="10">
        <v>1104.4845270781607</v>
      </c>
    </row>
    <row r="475" spans="1:8" x14ac:dyDescent="0.2">
      <c r="A475" s="9"/>
      <c r="B475" s="24" t="s">
        <v>334</v>
      </c>
      <c r="C475" s="25">
        <v>44420</v>
      </c>
      <c r="D475" s="24" t="s">
        <v>1033</v>
      </c>
      <c r="E475" s="24" t="s">
        <v>377</v>
      </c>
      <c r="F475" s="24" t="s">
        <v>333</v>
      </c>
      <c r="G475" s="24" t="s">
        <v>345</v>
      </c>
      <c r="H475" s="10">
        <v>37.975029870488413</v>
      </c>
    </row>
    <row r="476" spans="1:8" x14ac:dyDescent="0.2">
      <c r="A476" s="9"/>
      <c r="B476" s="24" t="s">
        <v>334</v>
      </c>
      <c r="C476" s="25">
        <v>44420</v>
      </c>
      <c r="D476" s="24" t="s">
        <v>1034</v>
      </c>
      <c r="E476" s="24" t="s">
        <v>377</v>
      </c>
      <c r="F476" s="24" t="s">
        <v>333</v>
      </c>
      <c r="G476" s="24" t="s">
        <v>345</v>
      </c>
      <c r="H476" s="10">
        <v>96.530151756831117</v>
      </c>
    </row>
    <row r="477" spans="1:8" x14ac:dyDescent="0.2">
      <c r="A477" s="9"/>
      <c r="B477" s="24" t="s">
        <v>334</v>
      </c>
      <c r="C477" s="25">
        <v>44420</v>
      </c>
      <c r="D477" s="24" t="s">
        <v>1035</v>
      </c>
      <c r="E477" s="24" t="s">
        <v>377</v>
      </c>
      <c r="F477" s="24" t="s">
        <v>333</v>
      </c>
      <c r="G477" s="24" t="s">
        <v>345</v>
      </c>
      <c r="H477" s="10">
        <v>20.533078670301226</v>
      </c>
    </row>
    <row r="478" spans="1:8" x14ac:dyDescent="0.2">
      <c r="A478" s="9"/>
      <c r="B478" s="24" t="s">
        <v>334</v>
      </c>
      <c r="C478" s="25">
        <v>44421</v>
      </c>
      <c r="D478" s="24" t="s">
        <v>1036</v>
      </c>
      <c r="E478" s="24" t="s">
        <v>344</v>
      </c>
      <c r="F478" s="24" t="s">
        <v>333</v>
      </c>
      <c r="G478" s="24" t="s">
        <v>345</v>
      </c>
      <c r="H478" s="10">
        <v>420.02898250747279</v>
      </c>
    </row>
    <row r="479" spans="1:8" x14ac:dyDescent="0.2">
      <c r="A479" s="9"/>
      <c r="B479" s="24" t="s">
        <v>334</v>
      </c>
      <c r="C479" s="25">
        <v>44421</v>
      </c>
      <c r="D479" s="24" t="s">
        <v>1037</v>
      </c>
      <c r="E479" s="24" t="s">
        <v>643</v>
      </c>
      <c r="F479" s="24" t="s">
        <v>333</v>
      </c>
      <c r="G479" s="24" t="s">
        <v>345</v>
      </c>
      <c r="H479" s="10">
        <v>36.646902858614325</v>
      </c>
    </row>
    <row r="480" spans="1:8" x14ac:dyDescent="0.2">
      <c r="A480" s="9"/>
      <c r="B480" s="24" t="s">
        <v>334</v>
      </c>
      <c r="C480" s="25">
        <v>44421</v>
      </c>
      <c r="D480" s="24" t="s">
        <v>1038</v>
      </c>
      <c r="E480" s="24" t="s">
        <v>1039</v>
      </c>
      <c r="F480" s="24" t="s">
        <v>333</v>
      </c>
      <c r="G480" s="24" t="s">
        <v>1011</v>
      </c>
      <c r="H480" s="10">
        <v>266.40112257644398</v>
      </c>
    </row>
    <row r="481" spans="1:8" x14ac:dyDescent="0.2">
      <c r="A481" s="9"/>
      <c r="B481" s="24" t="s">
        <v>334</v>
      </c>
      <c r="C481" s="25">
        <v>44421</v>
      </c>
      <c r="D481" s="24" t="s">
        <v>1040</v>
      </c>
      <c r="E481" s="24" t="s">
        <v>346</v>
      </c>
      <c r="F481" s="24" t="s">
        <v>333</v>
      </c>
      <c r="G481" s="24" t="s">
        <v>345</v>
      </c>
      <c r="H481" s="10">
        <v>7.0284951601832475</v>
      </c>
    </row>
    <row r="482" spans="1:8" x14ac:dyDescent="0.2">
      <c r="A482" s="9"/>
      <c r="B482" s="24" t="s">
        <v>334</v>
      </c>
      <c r="C482" s="25">
        <v>44421</v>
      </c>
      <c r="D482" s="24" t="s">
        <v>1041</v>
      </c>
      <c r="E482" s="24" t="s">
        <v>781</v>
      </c>
      <c r="F482" s="24" t="s">
        <v>333</v>
      </c>
      <c r="G482" s="24" t="s">
        <v>345</v>
      </c>
      <c r="H482" s="10">
        <v>7.0284951601832475</v>
      </c>
    </row>
    <row r="483" spans="1:8" x14ac:dyDescent="0.2">
      <c r="A483" s="9"/>
      <c r="B483" s="24" t="s">
        <v>334</v>
      </c>
      <c r="C483" s="25">
        <v>44421</v>
      </c>
      <c r="D483" s="24" t="s">
        <v>1042</v>
      </c>
      <c r="E483" s="24" t="s">
        <v>874</v>
      </c>
      <c r="F483" s="24" t="s">
        <v>333</v>
      </c>
      <c r="G483" s="24" t="s">
        <v>345</v>
      </c>
      <c r="H483" s="10">
        <v>896.56800636972991</v>
      </c>
    </row>
    <row r="484" spans="1:8" x14ac:dyDescent="0.2">
      <c r="A484" s="9"/>
      <c r="B484" s="24" t="s">
        <v>498</v>
      </c>
      <c r="C484" s="25">
        <v>44421</v>
      </c>
      <c r="D484" s="24" t="s">
        <v>1043</v>
      </c>
      <c r="E484" s="24" t="s">
        <v>1044</v>
      </c>
      <c r="F484" s="24" t="s">
        <v>333</v>
      </c>
      <c r="G484" s="24" t="s">
        <v>501</v>
      </c>
      <c r="H484" s="10">
        <v>896.57975970611812</v>
      </c>
    </row>
    <row r="485" spans="1:8" x14ac:dyDescent="0.2">
      <c r="A485" s="9"/>
      <c r="B485" s="24" t="s">
        <v>929</v>
      </c>
      <c r="C485" s="25">
        <v>44425</v>
      </c>
      <c r="D485" s="24" t="s">
        <v>1045</v>
      </c>
      <c r="E485" s="24" t="s">
        <v>421</v>
      </c>
      <c r="F485" s="24" t="s">
        <v>333</v>
      </c>
      <c r="G485" s="24" t="s">
        <v>347</v>
      </c>
      <c r="H485" s="10">
        <v>-12.940423363481196</v>
      </c>
    </row>
    <row r="486" spans="1:8" x14ac:dyDescent="0.2">
      <c r="A486" s="9"/>
      <c r="B486" s="24" t="s">
        <v>334</v>
      </c>
      <c r="C486" s="25">
        <v>44425</v>
      </c>
      <c r="D486" s="24" t="s">
        <v>1046</v>
      </c>
      <c r="E486" s="24" t="s">
        <v>375</v>
      </c>
      <c r="F486" s="24" t="s">
        <v>333</v>
      </c>
      <c r="G486" s="24" t="s">
        <v>345</v>
      </c>
      <c r="H486" s="10">
        <v>1344.6639561723825</v>
      </c>
    </row>
    <row r="487" spans="1:8" x14ac:dyDescent="0.2">
      <c r="A487" s="9"/>
      <c r="B487" s="24" t="s">
        <v>581</v>
      </c>
      <c r="C487" s="25">
        <v>44426</v>
      </c>
      <c r="D487" s="24" t="s">
        <v>1047</v>
      </c>
      <c r="E487" s="24"/>
      <c r="F487" s="24" t="s">
        <v>333</v>
      </c>
      <c r="G487" s="24" t="s">
        <v>345</v>
      </c>
      <c r="H487" s="10">
        <v>-28.055213958791658</v>
      </c>
    </row>
    <row r="488" spans="1:8" x14ac:dyDescent="0.2">
      <c r="A488" s="9"/>
      <c r="B488" s="24" t="s">
        <v>334</v>
      </c>
      <c r="C488" s="25">
        <v>44426</v>
      </c>
      <c r="D488" s="24" t="s">
        <v>1048</v>
      </c>
      <c r="E488" s="24" t="s">
        <v>344</v>
      </c>
      <c r="F488" s="24" t="s">
        <v>333</v>
      </c>
      <c r="G488" s="24" t="s">
        <v>345</v>
      </c>
      <c r="H488" s="10">
        <v>453.57300455958477</v>
      </c>
    </row>
    <row r="489" spans="1:8" x14ac:dyDescent="0.2">
      <c r="A489" s="9"/>
      <c r="B489" s="24" t="s">
        <v>334</v>
      </c>
      <c r="C489" s="25">
        <v>44426</v>
      </c>
      <c r="D489" s="24" t="s">
        <v>1049</v>
      </c>
      <c r="E489" s="24" t="s">
        <v>910</v>
      </c>
      <c r="F489" s="24" t="s">
        <v>333</v>
      </c>
      <c r="G489" s="24" t="s">
        <v>345</v>
      </c>
      <c r="H489" s="10">
        <v>79.640607366892453</v>
      </c>
    </row>
    <row r="490" spans="1:8" x14ac:dyDescent="0.2">
      <c r="A490" s="9"/>
      <c r="B490" s="24" t="s">
        <v>334</v>
      </c>
      <c r="C490" s="25">
        <v>44426</v>
      </c>
      <c r="D490" s="24" t="s">
        <v>1050</v>
      </c>
      <c r="E490" s="24" t="s">
        <v>613</v>
      </c>
      <c r="F490" s="24" t="s">
        <v>333</v>
      </c>
      <c r="G490" s="24" t="s">
        <v>335</v>
      </c>
      <c r="H490" s="10">
        <v>368.97248923684396</v>
      </c>
    </row>
    <row r="491" spans="1:8" x14ac:dyDescent="0.2">
      <c r="A491" s="9"/>
      <c r="B491" s="24" t="s">
        <v>334</v>
      </c>
      <c r="C491" s="25">
        <v>44427</v>
      </c>
      <c r="D491" s="24" t="s">
        <v>1051</v>
      </c>
      <c r="E491" s="24" t="s">
        <v>1039</v>
      </c>
      <c r="F491" s="24" t="s">
        <v>333</v>
      </c>
      <c r="G491" s="24" t="s">
        <v>1011</v>
      </c>
      <c r="H491" s="10">
        <v>1318.6773294179259</v>
      </c>
    </row>
    <row r="492" spans="1:8" x14ac:dyDescent="0.2">
      <c r="A492" s="9"/>
      <c r="B492" s="24" t="s">
        <v>334</v>
      </c>
      <c r="C492" s="25">
        <v>44427</v>
      </c>
      <c r="D492" s="24" t="s">
        <v>1052</v>
      </c>
      <c r="E492" s="24" t="s">
        <v>1053</v>
      </c>
      <c r="F492" s="24" t="s">
        <v>333</v>
      </c>
      <c r="G492" s="24" t="s">
        <v>345</v>
      </c>
      <c r="H492" s="10">
        <v>180.23741351406372</v>
      </c>
    </row>
    <row r="493" spans="1:8" x14ac:dyDescent="0.2">
      <c r="A493" s="9"/>
      <c r="B493" s="24" t="s">
        <v>334</v>
      </c>
      <c r="C493" s="25">
        <v>44427</v>
      </c>
      <c r="D493" s="24" t="s">
        <v>1054</v>
      </c>
      <c r="E493" s="24" t="s">
        <v>643</v>
      </c>
      <c r="F493" s="24" t="s">
        <v>333</v>
      </c>
      <c r="G493" s="24" t="s">
        <v>345</v>
      </c>
      <c r="H493" s="10">
        <v>25.363699925878674</v>
      </c>
    </row>
    <row r="494" spans="1:8" x14ac:dyDescent="0.2">
      <c r="A494" s="9"/>
      <c r="B494" s="24" t="s">
        <v>334</v>
      </c>
      <c r="C494" s="25">
        <v>44428</v>
      </c>
      <c r="D494" s="24" t="s">
        <v>1055</v>
      </c>
      <c r="E494" s="24" t="s">
        <v>675</v>
      </c>
      <c r="F494" s="24" t="s">
        <v>333</v>
      </c>
      <c r="G494" s="24" t="s">
        <v>345</v>
      </c>
      <c r="H494" s="10">
        <v>550.44924033435007</v>
      </c>
    </row>
    <row r="495" spans="1:8" x14ac:dyDescent="0.2">
      <c r="A495" s="9"/>
      <c r="B495" s="24" t="s">
        <v>334</v>
      </c>
      <c r="C495" s="25">
        <v>44428</v>
      </c>
      <c r="D495" s="24" t="s">
        <v>1056</v>
      </c>
      <c r="E495" s="24" t="s">
        <v>421</v>
      </c>
      <c r="F495" s="24" t="s">
        <v>333</v>
      </c>
      <c r="G495" s="24" t="s">
        <v>345</v>
      </c>
      <c r="H495" s="10">
        <v>35677.229099909579</v>
      </c>
    </row>
    <row r="496" spans="1:8" x14ac:dyDescent="0.2">
      <c r="A496" s="9"/>
      <c r="B496" s="24" t="s">
        <v>334</v>
      </c>
      <c r="C496" s="25">
        <v>44428</v>
      </c>
      <c r="D496" s="24" t="s">
        <v>1057</v>
      </c>
      <c r="E496" s="24" t="s">
        <v>777</v>
      </c>
      <c r="F496" s="24" t="s">
        <v>333</v>
      </c>
      <c r="G496" s="24" t="s">
        <v>345</v>
      </c>
      <c r="H496" s="10">
        <v>23.375739560481577</v>
      </c>
    </row>
    <row r="497" spans="1:8" x14ac:dyDescent="0.2">
      <c r="A497" s="9"/>
      <c r="B497" s="24" t="s">
        <v>334</v>
      </c>
      <c r="C497" s="25">
        <v>44428</v>
      </c>
      <c r="D497" s="24" t="s">
        <v>1058</v>
      </c>
      <c r="E497" s="24" t="s">
        <v>421</v>
      </c>
      <c r="F497" s="24" t="s">
        <v>333</v>
      </c>
      <c r="G497" s="24" t="s">
        <v>345</v>
      </c>
      <c r="H497" s="10">
        <v>35677.229099909579</v>
      </c>
    </row>
    <row r="498" spans="1:8" x14ac:dyDescent="0.2">
      <c r="A498" s="9"/>
      <c r="B498" s="24" t="s">
        <v>334</v>
      </c>
      <c r="C498" s="25">
        <v>44428</v>
      </c>
      <c r="D498" s="24" t="s">
        <v>1059</v>
      </c>
      <c r="E498" s="24" t="s">
        <v>1060</v>
      </c>
      <c r="F498" s="24" t="s">
        <v>333</v>
      </c>
      <c r="G498" s="24" t="s">
        <v>345</v>
      </c>
      <c r="H498" s="10">
        <v>174.37249865631884</v>
      </c>
    </row>
    <row r="499" spans="1:8" x14ac:dyDescent="0.2">
      <c r="A499" s="9"/>
      <c r="B499" s="24" t="s">
        <v>334</v>
      </c>
      <c r="C499" s="25">
        <v>44428</v>
      </c>
      <c r="D499" s="24" t="s">
        <v>1061</v>
      </c>
      <c r="E499" s="24" t="s">
        <v>346</v>
      </c>
      <c r="F499" s="24" t="s">
        <v>333</v>
      </c>
      <c r="G499" s="24" t="s">
        <v>345</v>
      </c>
      <c r="H499" s="10">
        <v>7.2047952060072422</v>
      </c>
    </row>
    <row r="500" spans="1:8" x14ac:dyDescent="0.2">
      <c r="A500" s="9"/>
      <c r="B500" s="24" t="s">
        <v>334</v>
      </c>
      <c r="C500" s="25">
        <v>44432</v>
      </c>
      <c r="D500" s="24" t="s">
        <v>1062</v>
      </c>
      <c r="E500" s="24" t="s">
        <v>376</v>
      </c>
      <c r="F500" s="24" t="s">
        <v>333</v>
      </c>
      <c r="G500" s="24" t="s">
        <v>345</v>
      </c>
      <c r="H500" s="10">
        <v>1516.4389674868946</v>
      </c>
    </row>
    <row r="501" spans="1:8" x14ac:dyDescent="0.2">
      <c r="A501" s="9"/>
      <c r="B501" s="24" t="s">
        <v>334</v>
      </c>
      <c r="C501" s="25">
        <v>44432</v>
      </c>
      <c r="D501" s="24" t="s">
        <v>1063</v>
      </c>
      <c r="E501" s="24" t="s">
        <v>910</v>
      </c>
      <c r="F501" s="24" t="s">
        <v>333</v>
      </c>
      <c r="G501" s="24" t="s">
        <v>345</v>
      </c>
      <c r="H501" s="10">
        <v>42.535324389135738</v>
      </c>
    </row>
    <row r="502" spans="1:8" x14ac:dyDescent="0.2">
      <c r="A502" s="9"/>
      <c r="B502" s="24" t="s">
        <v>334</v>
      </c>
      <c r="C502" s="25">
        <v>44432</v>
      </c>
      <c r="D502" s="24" t="s">
        <v>1064</v>
      </c>
      <c r="E502" s="24" t="s">
        <v>1065</v>
      </c>
      <c r="F502" s="24" t="s">
        <v>333</v>
      </c>
      <c r="G502" s="24" t="s">
        <v>345</v>
      </c>
      <c r="H502" s="10">
        <v>15.161803940863527</v>
      </c>
    </row>
    <row r="503" spans="1:8" x14ac:dyDescent="0.2">
      <c r="A503" s="9"/>
      <c r="B503" s="24" t="s">
        <v>495</v>
      </c>
      <c r="C503" s="25">
        <v>44433</v>
      </c>
      <c r="D503" s="24" t="s">
        <v>1066</v>
      </c>
      <c r="E503" s="24" t="s">
        <v>344</v>
      </c>
      <c r="F503" s="24" t="s">
        <v>333</v>
      </c>
      <c r="G503" s="24" t="s">
        <v>866</v>
      </c>
      <c r="H503" s="10">
        <v>187.72428879338935</v>
      </c>
    </row>
    <row r="504" spans="1:8" x14ac:dyDescent="0.2">
      <c r="A504" s="9"/>
      <c r="B504" s="24" t="s">
        <v>334</v>
      </c>
      <c r="C504" s="25">
        <v>44433</v>
      </c>
      <c r="D504" s="24" t="s">
        <v>1067</v>
      </c>
      <c r="E504" s="24" t="s">
        <v>344</v>
      </c>
      <c r="F504" s="24" t="s">
        <v>333</v>
      </c>
      <c r="G504" s="24" t="s">
        <v>345</v>
      </c>
      <c r="H504" s="10">
        <v>1023.5980660541121</v>
      </c>
    </row>
    <row r="505" spans="1:8" x14ac:dyDescent="0.2">
      <c r="A505" s="9"/>
      <c r="B505" s="24" t="s">
        <v>334</v>
      </c>
      <c r="C505" s="25">
        <v>44434</v>
      </c>
      <c r="D505" s="24" t="s">
        <v>1068</v>
      </c>
      <c r="E505" s="24" t="s">
        <v>377</v>
      </c>
      <c r="F505" s="24" t="s">
        <v>333</v>
      </c>
      <c r="G505" s="24" t="s">
        <v>345</v>
      </c>
      <c r="H505" s="10">
        <v>34.343248926514129</v>
      </c>
    </row>
    <row r="506" spans="1:8" x14ac:dyDescent="0.2">
      <c r="A506" s="9"/>
      <c r="B506" s="24" t="s">
        <v>334</v>
      </c>
      <c r="C506" s="25">
        <v>44434</v>
      </c>
      <c r="D506" s="24" t="s">
        <v>1069</v>
      </c>
      <c r="E506" s="24" t="s">
        <v>377</v>
      </c>
      <c r="F506" s="24" t="s">
        <v>333</v>
      </c>
      <c r="G506" s="24" t="s">
        <v>345</v>
      </c>
      <c r="H506" s="10">
        <v>34.343248926514129</v>
      </c>
    </row>
    <row r="507" spans="1:8" x14ac:dyDescent="0.2">
      <c r="A507" s="9"/>
      <c r="B507" s="24" t="s">
        <v>334</v>
      </c>
      <c r="C507" s="25">
        <v>44434</v>
      </c>
      <c r="D507" s="24" t="s">
        <v>1070</v>
      </c>
      <c r="E507" s="24" t="s">
        <v>344</v>
      </c>
      <c r="F507" s="24" t="s">
        <v>333</v>
      </c>
      <c r="G507" s="24" t="s">
        <v>345</v>
      </c>
      <c r="H507" s="10">
        <v>153.51032656714614</v>
      </c>
    </row>
    <row r="508" spans="1:8" x14ac:dyDescent="0.2">
      <c r="A508" s="9"/>
      <c r="B508" s="24" t="s">
        <v>334</v>
      </c>
      <c r="C508" s="25">
        <v>44434</v>
      </c>
      <c r="D508" s="24" t="s">
        <v>1071</v>
      </c>
      <c r="E508" s="24" t="s">
        <v>377</v>
      </c>
      <c r="F508" s="24" t="s">
        <v>333</v>
      </c>
      <c r="G508" s="24" t="s">
        <v>345</v>
      </c>
      <c r="H508" s="10">
        <v>152.38200627387258</v>
      </c>
    </row>
    <row r="509" spans="1:8" x14ac:dyDescent="0.2">
      <c r="A509" s="9"/>
      <c r="B509" s="24" t="s">
        <v>334</v>
      </c>
      <c r="C509" s="25">
        <v>44434</v>
      </c>
      <c r="D509" s="24" t="s">
        <v>1072</v>
      </c>
      <c r="E509" s="24" t="s">
        <v>377</v>
      </c>
      <c r="F509" s="24" t="s">
        <v>333</v>
      </c>
      <c r="G509" s="24" t="s">
        <v>1011</v>
      </c>
      <c r="H509" s="10">
        <v>44.180791483493024</v>
      </c>
    </row>
    <row r="510" spans="1:8" x14ac:dyDescent="0.2">
      <c r="A510" s="9"/>
      <c r="B510" s="24" t="s">
        <v>334</v>
      </c>
      <c r="C510" s="25">
        <v>44434</v>
      </c>
      <c r="D510" s="24" t="s">
        <v>1073</v>
      </c>
      <c r="E510" s="24" t="s">
        <v>377</v>
      </c>
      <c r="F510" s="24" t="s">
        <v>333</v>
      </c>
      <c r="G510" s="24" t="s">
        <v>345</v>
      </c>
      <c r="H510" s="10">
        <v>34.343248926514129</v>
      </c>
    </row>
    <row r="511" spans="1:8" x14ac:dyDescent="0.2">
      <c r="A511" s="9"/>
      <c r="B511" s="24" t="s">
        <v>334</v>
      </c>
      <c r="C511" s="25">
        <v>44435</v>
      </c>
      <c r="D511" s="24" t="s">
        <v>1074</v>
      </c>
      <c r="E511" s="24" t="s">
        <v>344</v>
      </c>
      <c r="F511" s="24" t="s">
        <v>333</v>
      </c>
      <c r="G511" s="24" t="s">
        <v>345</v>
      </c>
      <c r="H511" s="10">
        <v>264.75565548208669</v>
      </c>
    </row>
    <row r="512" spans="1:8" x14ac:dyDescent="0.2">
      <c r="A512" s="9"/>
      <c r="B512" s="24" t="s">
        <v>334</v>
      </c>
      <c r="C512" s="25">
        <v>44437</v>
      </c>
      <c r="D512" s="24" t="s">
        <v>1075</v>
      </c>
      <c r="E512" s="24" t="s">
        <v>5</v>
      </c>
      <c r="F512" s="24" t="s">
        <v>333</v>
      </c>
      <c r="G512" s="24" t="s">
        <v>335</v>
      </c>
      <c r="H512" s="10">
        <v>51690.432720748562</v>
      </c>
    </row>
    <row r="513" spans="1:8" x14ac:dyDescent="0.2">
      <c r="A513" s="9"/>
      <c r="B513" s="24" t="s">
        <v>334</v>
      </c>
      <c r="C513" s="25">
        <v>44438</v>
      </c>
      <c r="D513" s="24" t="s">
        <v>1076</v>
      </c>
      <c r="E513" s="24" t="s">
        <v>344</v>
      </c>
      <c r="F513" s="24" t="s">
        <v>333</v>
      </c>
      <c r="G513" s="24" t="s">
        <v>345</v>
      </c>
      <c r="H513" s="10">
        <v>679.66018332427529</v>
      </c>
    </row>
    <row r="514" spans="1:8" x14ac:dyDescent="0.2">
      <c r="A514" s="9"/>
      <c r="B514" s="24" t="s">
        <v>334</v>
      </c>
      <c r="C514" s="25">
        <v>44438</v>
      </c>
      <c r="D514" s="24" t="s">
        <v>1077</v>
      </c>
      <c r="E514" s="24" t="s">
        <v>378</v>
      </c>
      <c r="F514" s="24" t="s">
        <v>333</v>
      </c>
      <c r="G514" s="24" t="s">
        <v>335</v>
      </c>
      <c r="H514" s="10">
        <v>4.983414628624911</v>
      </c>
    </row>
    <row r="515" spans="1:8" x14ac:dyDescent="0.2">
      <c r="A515" s="9"/>
      <c r="B515" s="24" t="s">
        <v>334</v>
      </c>
      <c r="C515" s="25">
        <v>44438</v>
      </c>
      <c r="D515" s="24" t="s">
        <v>1078</v>
      </c>
      <c r="E515" s="24" t="s">
        <v>604</v>
      </c>
      <c r="F515" s="24" t="s">
        <v>333</v>
      </c>
      <c r="G515" s="24" t="s">
        <v>345</v>
      </c>
      <c r="H515" s="10">
        <v>5931.5445217299657</v>
      </c>
    </row>
    <row r="516" spans="1:8" x14ac:dyDescent="0.2">
      <c r="A516" s="9"/>
      <c r="B516" s="24" t="s">
        <v>334</v>
      </c>
      <c r="C516" s="25">
        <v>44438</v>
      </c>
      <c r="D516" s="24" t="s">
        <v>1079</v>
      </c>
      <c r="E516" s="24" t="s">
        <v>377</v>
      </c>
      <c r="F516" s="24" t="s">
        <v>333</v>
      </c>
      <c r="G516" s="24" t="s">
        <v>345</v>
      </c>
      <c r="H516" s="10">
        <v>16.431164270796287</v>
      </c>
    </row>
    <row r="517" spans="1:8" x14ac:dyDescent="0.2">
      <c r="A517" s="9"/>
      <c r="B517" s="24" t="s">
        <v>334</v>
      </c>
      <c r="C517" s="25">
        <v>44439</v>
      </c>
      <c r="D517" s="24" t="s">
        <v>1080</v>
      </c>
      <c r="E517" s="24" t="s">
        <v>346</v>
      </c>
      <c r="F517" s="24" t="s">
        <v>333</v>
      </c>
      <c r="G517" s="24" t="s">
        <v>335</v>
      </c>
      <c r="H517" s="10">
        <v>72.506332179214809</v>
      </c>
    </row>
    <row r="518" spans="1:8" x14ac:dyDescent="0.2">
      <c r="A518" s="9"/>
      <c r="B518" s="24" t="s">
        <v>334</v>
      </c>
      <c r="C518" s="25">
        <v>44439</v>
      </c>
      <c r="D518" s="24" t="s">
        <v>1081</v>
      </c>
      <c r="E518" s="24" t="s">
        <v>625</v>
      </c>
      <c r="F518" s="24" t="s">
        <v>333</v>
      </c>
      <c r="G518" s="24" t="s">
        <v>345</v>
      </c>
      <c r="H518" s="10">
        <v>2576.4488696718558</v>
      </c>
    </row>
    <row r="519" spans="1:8" x14ac:dyDescent="0.2">
      <c r="A519" s="9"/>
      <c r="B519" s="24" t="s">
        <v>334</v>
      </c>
      <c r="C519" s="25">
        <v>44439</v>
      </c>
      <c r="D519" s="24" t="s">
        <v>1082</v>
      </c>
      <c r="E519" s="24" t="s">
        <v>504</v>
      </c>
      <c r="F519" s="24" t="s">
        <v>333</v>
      </c>
      <c r="G519" s="24" t="s">
        <v>345</v>
      </c>
      <c r="H519" s="10">
        <v>7.0402484965715137</v>
      </c>
    </row>
    <row r="520" spans="1:8" x14ac:dyDescent="0.2">
      <c r="A520" s="9"/>
      <c r="B520" s="24" t="s">
        <v>334</v>
      </c>
      <c r="C520" s="25">
        <v>44439</v>
      </c>
      <c r="D520" s="24" t="s">
        <v>1083</v>
      </c>
      <c r="E520" s="24" t="s">
        <v>625</v>
      </c>
      <c r="F520" s="24" t="s">
        <v>333</v>
      </c>
      <c r="G520" s="24" t="s">
        <v>345</v>
      </c>
      <c r="H520" s="10">
        <v>2643.4663937577502</v>
      </c>
    </row>
    <row r="521" spans="1:8" x14ac:dyDescent="0.2">
      <c r="A521" s="9"/>
      <c r="B521" s="24" t="s">
        <v>334</v>
      </c>
      <c r="C521" s="25">
        <v>44439</v>
      </c>
      <c r="D521" s="24" t="s">
        <v>1084</v>
      </c>
      <c r="E521" s="24" t="s">
        <v>344</v>
      </c>
      <c r="F521" s="24" t="s">
        <v>333</v>
      </c>
      <c r="G521" s="24" t="s">
        <v>345</v>
      </c>
      <c r="H521" s="10">
        <v>161.6906486933795</v>
      </c>
    </row>
    <row r="522" spans="1:8" x14ac:dyDescent="0.2">
      <c r="A522" s="9"/>
      <c r="B522" s="24" t="s">
        <v>334</v>
      </c>
      <c r="C522" s="25">
        <v>44439</v>
      </c>
      <c r="D522" s="24" t="s">
        <v>1085</v>
      </c>
      <c r="E522" s="24" t="s">
        <v>377</v>
      </c>
      <c r="F522" s="24" t="s">
        <v>333</v>
      </c>
      <c r="G522" s="24" t="s">
        <v>345</v>
      </c>
      <c r="H522" s="10">
        <v>39.185623518479844</v>
      </c>
    </row>
    <row r="523" spans="1:8" x14ac:dyDescent="0.2">
      <c r="A523" s="9"/>
      <c r="B523" s="24" t="s">
        <v>334</v>
      </c>
      <c r="C523" s="25">
        <v>44439</v>
      </c>
      <c r="D523" s="24" t="s">
        <v>1086</v>
      </c>
      <c r="E523" s="24" t="s">
        <v>346</v>
      </c>
      <c r="F523" s="24" t="s">
        <v>333</v>
      </c>
      <c r="G523" s="24" t="s">
        <v>345</v>
      </c>
      <c r="H523" s="10">
        <v>33.003368578251774</v>
      </c>
    </row>
    <row r="524" spans="1:8" x14ac:dyDescent="0.2">
      <c r="A524" s="9"/>
      <c r="B524" s="24" t="s">
        <v>334</v>
      </c>
      <c r="C524" s="25">
        <v>44439</v>
      </c>
      <c r="D524" s="24" t="s">
        <v>1087</v>
      </c>
      <c r="E524" s="24" t="s">
        <v>376</v>
      </c>
      <c r="F524" s="24" t="s">
        <v>333</v>
      </c>
      <c r="G524" s="24" t="s">
        <v>345</v>
      </c>
      <c r="H524" s="10">
        <v>833.22927657336277</v>
      </c>
    </row>
    <row r="525" spans="1:8" x14ac:dyDescent="0.2">
      <c r="A525" s="9"/>
      <c r="B525" s="24" t="s">
        <v>342</v>
      </c>
      <c r="C525" s="25">
        <v>44440</v>
      </c>
      <c r="D525" s="24" t="s">
        <v>1088</v>
      </c>
      <c r="E525" s="24" t="s">
        <v>1089</v>
      </c>
      <c r="F525" s="24" t="s">
        <v>333</v>
      </c>
      <c r="G525" s="24" t="s">
        <v>343</v>
      </c>
      <c r="H525" s="10">
        <v>196.83928557194915</v>
      </c>
    </row>
    <row r="526" spans="1:8" x14ac:dyDescent="0.2">
      <c r="A526" s="9"/>
      <c r="B526" s="24" t="s">
        <v>334</v>
      </c>
      <c r="C526" s="25">
        <v>44440</v>
      </c>
      <c r="D526" s="24" t="s">
        <v>1090</v>
      </c>
      <c r="E526" s="24" t="s">
        <v>420</v>
      </c>
      <c r="F526" s="24" t="s">
        <v>333</v>
      </c>
      <c r="G526" s="24" t="s">
        <v>345</v>
      </c>
      <c r="H526" s="10">
        <v>1960.8942162691317</v>
      </c>
    </row>
    <row r="527" spans="1:8" x14ac:dyDescent="0.2">
      <c r="A527" s="9"/>
      <c r="B527" s="24" t="s">
        <v>334</v>
      </c>
      <c r="C527" s="25">
        <v>44441</v>
      </c>
      <c r="D527" s="24" t="s">
        <v>1091</v>
      </c>
      <c r="E527" s="24" t="s">
        <v>344</v>
      </c>
      <c r="F527" s="24" t="s">
        <v>333</v>
      </c>
      <c r="G527" s="24" t="s">
        <v>345</v>
      </c>
      <c r="H527" s="10">
        <v>781.49883021720291</v>
      </c>
    </row>
    <row r="528" spans="1:8" x14ac:dyDescent="0.2">
      <c r="A528" s="9"/>
      <c r="B528" s="24" t="s">
        <v>334</v>
      </c>
      <c r="C528" s="25">
        <v>44441</v>
      </c>
      <c r="D528" s="24" t="s">
        <v>1092</v>
      </c>
      <c r="E528" s="24" t="s">
        <v>423</v>
      </c>
      <c r="F528" s="24" t="s">
        <v>333</v>
      </c>
      <c r="G528" s="24" t="s">
        <v>345</v>
      </c>
      <c r="H528" s="10">
        <v>3503.4580842013065</v>
      </c>
    </row>
    <row r="529" spans="1:8" x14ac:dyDescent="0.2">
      <c r="A529" s="9"/>
      <c r="B529" s="24" t="s">
        <v>495</v>
      </c>
      <c r="C529" s="25">
        <v>44442</v>
      </c>
      <c r="D529" s="24" t="s">
        <v>1093</v>
      </c>
      <c r="E529" s="24" t="s">
        <v>344</v>
      </c>
      <c r="F529" s="24" t="s">
        <v>333</v>
      </c>
      <c r="G529" s="24" t="s">
        <v>866</v>
      </c>
      <c r="H529" s="10">
        <v>133.7921310682195</v>
      </c>
    </row>
    <row r="530" spans="1:8" x14ac:dyDescent="0.2">
      <c r="A530" s="9"/>
      <c r="B530" s="24" t="s">
        <v>929</v>
      </c>
      <c r="C530" s="25">
        <v>44446</v>
      </c>
      <c r="D530" s="24" t="s">
        <v>1094</v>
      </c>
      <c r="E530" s="24" t="s">
        <v>1039</v>
      </c>
      <c r="F530" s="24" t="s">
        <v>333</v>
      </c>
      <c r="G530" s="24" t="s">
        <v>347</v>
      </c>
      <c r="H530" s="10">
        <v>-1314.5583621446672</v>
      </c>
    </row>
    <row r="531" spans="1:8" x14ac:dyDescent="0.2">
      <c r="A531" s="9"/>
      <c r="B531" s="24" t="s">
        <v>334</v>
      </c>
      <c r="C531" s="25">
        <v>44446</v>
      </c>
      <c r="D531" s="24" t="s">
        <v>1095</v>
      </c>
      <c r="E531" s="24" t="s">
        <v>376</v>
      </c>
      <c r="F531" s="24" t="s">
        <v>333</v>
      </c>
      <c r="G531" s="24" t="s">
        <v>345</v>
      </c>
      <c r="H531" s="10">
        <v>1456.1654815150587</v>
      </c>
    </row>
    <row r="532" spans="1:8" x14ac:dyDescent="0.2">
      <c r="A532" s="9"/>
      <c r="B532" s="24" t="s">
        <v>334</v>
      </c>
      <c r="C532" s="25">
        <v>44447</v>
      </c>
      <c r="D532" s="24" t="s">
        <v>1096</v>
      </c>
      <c r="E532" s="24" t="s">
        <v>377</v>
      </c>
      <c r="F532" s="24" t="s">
        <v>333</v>
      </c>
      <c r="G532" s="24" t="s">
        <v>345</v>
      </c>
      <c r="H532" s="10">
        <v>50.779849027906408</v>
      </c>
    </row>
    <row r="533" spans="1:8" x14ac:dyDescent="0.2">
      <c r="A533" s="9"/>
      <c r="B533" s="24" t="s">
        <v>495</v>
      </c>
      <c r="C533" s="25">
        <v>44448</v>
      </c>
      <c r="D533" s="24" t="s">
        <v>1097</v>
      </c>
      <c r="E533" s="24" t="s">
        <v>344</v>
      </c>
      <c r="F533" s="24" t="s">
        <v>333</v>
      </c>
      <c r="G533" s="24" t="s">
        <v>866</v>
      </c>
      <c r="H533" s="10">
        <v>501.90502833604677</v>
      </c>
    </row>
    <row r="534" spans="1:8" x14ac:dyDescent="0.2">
      <c r="A534" s="9"/>
      <c r="B534" s="24" t="s">
        <v>334</v>
      </c>
      <c r="C534" s="25">
        <v>44448</v>
      </c>
      <c r="D534" s="24" t="s">
        <v>1098</v>
      </c>
      <c r="E534" s="24" t="s">
        <v>796</v>
      </c>
      <c r="F534" s="24" t="s">
        <v>333</v>
      </c>
      <c r="G534" s="24" t="s">
        <v>345</v>
      </c>
      <c r="H534" s="10">
        <v>202.05318331477758</v>
      </c>
    </row>
    <row r="535" spans="1:8" x14ac:dyDescent="0.2">
      <c r="A535" s="9"/>
      <c r="B535" s="24" t="s">
        <v>334</v>
      </c>
      <c r="C535" s="25">
        <v>44448</v>
      </c>
      <c r="D535" s="24" t="s">
        <v>1099</v>
      </c>
      <c r="E535" s="24" t="s">
        <v>1100</v>
      </c>
      <c r="F535" s="24" t="s">
        <v>333</v>
      </c>
      <c r="G535" s="24" t="s">
        <v>345</v>
      </c>
      <c r="H535" s="10">
        <v>4438.9953720027006</v>
      </c>
    </row>
    <row r="536" spans="1:8" x14ac:dyDescent="0.2">
      <c r="A536" s="9"/>
      <c r="B536" s="24" t="s">
        <v>334</v>
      </c>
      <c r="C536" s="25">
        <v>44448</v>
      </c>
      <c r="D536" s="24" t="s">
        <v>1101</v>
      </c>
      <c r="E536" s="24" t="s">
        <v>344</v>
      </c>
      <c r="F536" s="24" t="s">
        <v>333</v>
      </c>
      <c r="G536" s="24" t="s">
        <v>345</v>
      </c>
      <c r="H536" s="10">
        <v>1778.9819098530552</v>
      </c>
    </row>
    <row r="537" spans="1:8" x14ac:dyDescent="0.2">
      <c r="A537" s="9"/>
      <c r="B537" s="24" t="s">
        <v>334</v>
      </c>
      <c r="C537" s="25">
        <v>44453</v>
      </c>
      <c r="D537" s="24" t="s">
        <v>1102</v>
      </c>
      <c r="E537" s="24" t="s">
        <v>344</v>
      </c>
      <c r="F537" s="24" t="s">
        <v>333</v>
      </c>
      <c r="G537" s="24" t="s">
        <v>345</v>
      </c>
      <c r="H537" s="10">
        <v>540.53473812954178</v>
      </c>
    </row>
    <row r="538" spans="1:8" x14ac:dyDescent="0.2">
      <c r="A538" s="9"/>
      <c r="B538" s="24" t="s">
        <v>334</v>
      </c>
      <c r="C538" s="25">
        <v>44454</v>
      </c>
      <c r="D538" s="24" t="s">
        <v>1103</v>
      </c>
      <c r="E538" s="24" t="s">
        <v>377</v>
      </c>
      <c r="F538" s="24" t="s">
        <v>333</v>
      </c>
      <c r="G538" s="24" t="s">
        <v>335</v>
      </c>
      <c r="H538" s="10">
        <v>51.998377938589904</v>
      </c>
    </row>
    <row r="539" spans="1:8" x14ac:dyDescent="0.2">
      <c r="A539" s="9"/>
      <c r="B539" s="24" t="s">
        <v>334</v>
      </c>
      <c r="C539" s="25">
        <v>44454</v>
      </c>
      <c r="D539" s="24" t="s">
        <v>1104</v>
      </c>
      <c r="E539" s="24" t="s">
        <v>378</v>
      </c>
      <c r="F539" s="24" t="s">
        <v>333</v>
      </c>
      <c r="G539" s="24" t="s">
        <v>345</v>
      </c>
      <c r="H539" s="10">
        <v>2.9760225318616125</v>
      </c>
    </row>
    <row r="540" spans="1:8" x14ac:dyDescent="0.2">
      <c r="A540" s="9"/>
      <c r="B540" s="24" t="s">
        <v>334</v>
      </c>
      <c r="C540" s="25">
        <v>44454</v>
      </c>
      <c r="D540" s="24" t="s">
        <v>1105</v>
      </c>
      <c r="E540" s="24" t="s">
        <v>377</v>
      </c>
      <c r="F540" s="24" t="s">
        <v>333</v>
      </c>
      <c r="G540" s="24" t="s">
        <v>345</v>
      </c>
      <c r="H540" s="10">
        <v>454.01918547101371</v>
      </c>
    </row>
    <row r="541" spans="1:8" x14ac:dyDescent="0.2">
      <c r="A541" s="9"/>
      <c r="B541" s="24" t="s">
        <v>495</v>
      </c>
      <c r="C541" s="25">
        <v>44455</v>
      </c>
      <c r="D541" s="24" t="s">
        <v>1106</v>
      </c>
      <c r="E541" s="24" t="s">
        <v>344</v>
      </c>
      <c r="F541" s="24" t="s">
        <v>333</v>
      </c>
      <c r="G541" s="24" t="s">
        <v>866</v>
      </c>
      <c r="H541" s="10">
        <v>242.72158570883923</v>
      </c>
    </row>
    <row r="542" spans="1:8" x14ac:dyDescent="0.2">
      <c r="A542" s="9"/>
      <c r="B542" s="24" t="s">
        <v>334</v>
      </c>
      <c r="C542" s="25">
        <v>44455</v>
      </c>
      <c r="D542" s="24" t="s">
        <v>1107</v>
      </c>
      <c r="E542" s="24" t="s">
        <v>819</v>
      </c>
      <c r="F542" s="24" t="s">
        <v>333</v>
      </c>
      <c r="G542" s="24" t="s">
        <v>345</v>
      </c>
      <c r="H542" s="10">
        <v>1306.1926925078592</v>
      </c>
    </row>
    <row r="543" spans="1:8" x14ac:dyDescent="0.2">
      <c r="A543" s="9"/>
      <c r="B543" s="24" t="s">
        <v>334</v>
      </c>
      <c r="C543" s="25">
        <v>44455</v>
      </c>
      <c r="D543" s="24" t="s">
        <v>1108</v>
      </c>
      <c r="E543" s="24" t="s">
        <v>421</v>
      </c>
      <c r="F543" s="24" t="s">
        <v>333</v>
      </c>
      <c r="G543" s="24" t="s">
        <v>345</v>
      </c>
      <c r="H543" s="10">
        <v>70191.038008342759</v>
      </c>
    </row>
    <row r="544" spans="1:8" x14ac:dyDescent="0.2">
      <c r="A544" s="9"/>
      <c r="B544" s="24" t="s">
        <v>334</v>
      </c>
      <c r="C544" s="25">
        <v>44455</v>
      </c>
      <c r="D544" s="24" t="s">
        <v>1109</v>
      </c>
      <c r="E544" s="24" t="s">
        <v>378</v>
      </c>
      <c r="F544" s="24" t="s">
        <v>333</v>
      </c>
      <c r="G544" s="24" t="s">
        <v>345</v>
      </c>
      <c r="H544" s="10">
        <v>42.69537837048707</v>
      </c>
    </row>
    <row r="545" spans="1:8" x14ac:dyDescent="0.2">
      <c r="A545" s="9"/>
      <c r="B545" s="24" t="s">
        <v>334</v>
      </c>
      <c r="C545" s="25">
        <v>44456</v>
      </c>
      <c r="D545" s="24" t="s">
        <v>1110</v>
      </c>
      <c r="E545" s="24" t="s">
        <v>344</v>
      </c>
      <c r="F545" s="24" t="s">
        <v>333</v>
      </c>
      <c r="G545" s="24" t="s">
        <v>345</v>
      </c>
      <c r="H545" s="10">
        <v>336.7592110660097</v>
      </c>
    </row>
    <row r="546" spans="1:8" x14ac:dyDescent="0.2">
      <c r="A546" s="9"/>
      <c r="B546" s="24" t="s">
        <v>334</v>
      </c>
      <c r="C546" s="25">
        <v>44459</v>
      </c>
      <c r="D546" s="24" t="s">
        <v>1111</v>
      </c>
      <c r="E546" s="24" t="s">
        <v>377</v>
      </c>
      <c r="F546" s="24" t="s">
        <v>333</v>
      </c>
      <c r="G546" s="24" t="s">
        <v>335</v>
      </c>
      <c r="H546" s="10">
        <v>37.340881137964402</v>
      </c>
    </row>
    <row r="547" spans="1:8" x14ac:dyDescent="0.2">
      <c r="A547" s="9"/>
      <c r="B547" s="24" t="s">
        <v>334</v>
      </c>
      <c r="C547" s="25">
        <v>44459</v>
      </c>
      <c r="D547" s="24" t="s">
        <v>1112</v>
      </c>
      <c r="E547" s="24" t="s">
        <v>377</v>
      </c>
      <c r="F547" s="24" t="s">
        <v>333</v>
      </c>
      <c r="G547" s="24" t="s">
        <v>345</v>
      </c>
      <c r="H547" s="10">
        <v>34.950689813162164</v>
      </c>
    </row>
    <row r="548" spans="1:8" x14ac:dyDescent="0.2">
      <c r="A548" s="9"/>
      <c r="B548" s="24" t="s">
        <v>334</v>
      </c>
      <c r="C548" s="25">
        <v>44459</v>
      </c>
      <c r="D548" s="24" t="s">
        <v>1113</v>
      </c>
      <c r="E548" s="24" t="s">
        <v>377</v>
      </c>
      <c r="F548" s="24" t="s">
        <v>333</v>
      </c>
      <c r="G548" s="24" t="s">
        <v>345</v>
      </c>
      <c r="H548" s="10">
        <v>81.453971029535154</v>
      </c>
    </row>
    <row r="549" spans="1:8" x14ac:dyDescent="0.2">
      <c r="A549" s="9"/>
      <c r="B549" s="24" t="s">
        <v>334</v>
      </c>
      <c r="C549" s="25">
        <v>44459</v>
      </c>
      <c r="D549" s="24" t="s">
        <v>1114</v>
      </c>
      <c r="E549" s="24" t="s">
        <v>377</v>
      </c>
      <c r="F549" s="24" t="s">
        <v>333</v>
      </c>
      <c r="G549" s="24" t="s">
        <v>345</v>
      </c>
      <c r="H549" s="10">
        <v>27.452050362802197</v>
      </c>
    </row>
    <row r="550" spans="1:8" x14ac:dyDescent="0.2">
      <c r="A550" s="9"/>
      <c r="B550" s="24" t="s">
        <v>334</v>
      </c>
      <c r="C550" s="25">
        <v>44459</v>
      </c>
      <c r="D550" s="24" t="s">
        <v>1115</v>
      </c>
      <c r="E550" s="24" t="s">
        <v>377</v>
      </c>
      <c r="F550" s="24" t="s">
        <v>333</v>
      </c>
      <c r="G550" s="24" t="s">
        <v>345</v>
      </c>
      <c r="H550" s="10">
        <v>33.579844788643229</v>
      </c>
    </row>
    <row r="551" spans="1:8" x14ac:dyDescent="0.2">
      <c r="A551" s="9"/>
      <c r="B551" s="24" t="s">
        <v>334</v>
      </c>
      <c r="C551" s="25">
        <v>44460</v>
      </c>
      <c r="D551" s="24" t="s">
        <v>1116</v>
      </c>
      <c r="E551" s="24" t="s">
        <v>910</v>
      </c>
      <c r="F551" s="24" t="s">
        <v>333</v>
      </c>
      <c r="G551" s="24" t="s">
        <v>345</v>
      </c>
      <c r="H551" s="10">
        <v>84.840075406338329</v>
      </c>
    </row>
    <row r="552" spans="1:8" x14ac:dyDescent="0.2">
      <c r="A552" s="9"/>
      <c r="B552" s="24" t="s">
        <v>334</v>
      </c>
      <c r="C552" s="25">
        <v>44460</v>
      </c>
      <c r="D552" s="24" t="s">
        <v>1117</v>
      </c>
      <c r="E552" s="24" t="s">
        <v>377</v>
      </c>
      <c r="F552" s="24" t="s">
        <v>333</v>
      </c>
      <c r="G552" s="24" t="s">
        <v>345</v>
      </c>
      <c r="H552" s="10">
        <v>160.18968525831482</v>
      </c>
    </row>
    <row r="553" spans="1:8" x14ac:dyDescent="0.2">
      <c r="A553" s="9"/>
      <c r="B553" s="24" t="s">
        <v>334</v>
      </c>
      <c r="C553" s="25">
        <v>44460</v>
      </c>
      <c r="D553" s="24" t="s">
        <v>1118</v>
      </c>
      <c r="E553" s="24" t="s">
        <v>377</v>
      </c>
      <c r="F553" s="24" t="s">
        <v>333</v>
      </c>
      <c r="G553" s="24" t="s">
        <v>345</v>
      </c>
      <c r="H553" s="10">
        <v>2.8940061628733003</v>
      </c>
    </row>
    <row r="554" spans="1:8" x14ac:dyDescent="0.2">
      <c r="A554" s="9"/>
      <c r="B554" s="24" t="s">
        <v>334</v>
      </c>
      <c r="C554" s="25">
        <v>44460</v>
      </c>
      <c r="D554" s="24" t="s">
        <v>1119</v>
      </c>
      <c r="E554" s="24" t="s">
        <v>344</v>
      </c>
      <c r="F554" s="24" t="s">
        <v>333</v>
      </c>
      <c r="G554" s="24" t="s">
        <v>345</v>
      </c>
      <c r="H554" s="10">
        <v>214.49623815271866</v>
      </c>
    </row>
    <row r="555" spans="1:8" x14ac:dyDescent="0.2">
      <c r="A555" s="9"/>
      <c r="B555" s="24" t="s">
        <v>334</v>
      </c>
      <c r="C555" s="25">
        <v>44460</v>
      </c>
      <c r="D555" s="24" t="s">
        <v>1120</v>
      </c>
      <c r="E555" s="24" t="s">
        <v>377</v>
      </c>
      <c r="F555" s="24" t="s">
        <v>333</v>
      </c>
      <c r="G555" s="24" t="s">
        <v>345</v>
      </c>
      <c r="H555" s="10">
        <v>2.8940061628733003</v>
      </c>
    </row>
    <row r="556" spans="1:8" x14ac:dyDescent="0.2">
      <c r="A556" s="9"/>
      <c r="B556" s="24" t="s">
        <v>334</v>
      </c>
      <c r="C556" s="25">
        <v>44460</v>
      </c>
      <c r="D556" s="24" t="s">
        <v>1121</v>
      </c>
      <c r="E556" s="24" t="s">
        <v>508</v>
      </c>
      <c r="F556" s="24" t="s">
        <v>333</v>
      </c>
      <c r="G556" s="24" t="s">
        <v>345</v>
      </c>
      <c r="H556" s="10">
        <v>35.395921530527289</v>
      </c>
    </row>
    <row r="557" spans="1:8" x14ac:dyDescent="0.2">
      <c r="A557" s="9"/>
      <c r="B557" s="24" t="s">
        <v>334</v>
      </c>
      <c r="C557" s="25">
        <v>44461</v>
      </c>
      <c r="D557" s="24" t="s">
        <v>1122</v>
      </c>
      <c r="E557" s="24" t="s">
        <v>510</v>
      </c>
      <c r="F557" s="24" t="s">
        <v>333</v>
      </c>
      <c r="G557" s="24" t="s">
        <v>345</v>
      </c>
      <c r="H557" s="10">
        <v>34.856956820032664</v>
      </c>
    </row>
    <row r="558" spans="1:8" x14ac:dyDescent="0.2">
      <c r="A558" s="9"/>
      <c r="B558" s="24" t="s">
        <v>334</v>
      </c>
      <c r="C558" s="25">
        <v>44461</v>
      </c>
      <c r="D558" s="24" t="s">
        <v>1123</v>
      </c>
      <c r="E558" s="24" t="s">
        <v>422</v>
      </c>
      <c r="F558" s="24" t="s">
        <v>333</v>
      </c>
      <c r="G558" s="24" t="s">
        <v>345</v>
      </c>
      <c r="H558" s="10">
        <v>660.87618468367816</v>
      </c>
    </row>
    <row r="559" spans="1:8" x14ac:dyDescent="0.2">
      <c r="A559" s="9"/>
      <c r="B559" s="24" t="s">
        <v>334</v>
      </c>
      <c r="C559" s="25">
        <v>44461</v>
      </c>
      <c r="D559" s="24" t="s">
        <v>1124</v>
      </c>
      <c r="E559" s="24" t="s">
        <v>344</v>
      </c>
      <c r="F559" s="24" t="s">
        <v>333</v>
      </c>
      <c r="G559" s="24" t="s">
        <v>345</v>
      </c>
      <c r="H559" s="10">
        <v>724.89581899112636</v>
      </c>
    </row>
    <row r="560" spans="1:8" x14ac:dyDescent="0.2">
      <c r="A560" s="9"/>
      <c r="B560" s="24" t="s">
        <v>334</v>
      </c>
      <c r="C560" s="25">
        <v>44462</v>
      </c>
      <c r="D560" s="24" t="s">
        <v>1125</v>
      </c>
      <c r="E560" s="24" t="s">
        <v>420</v>
      </c>
      <c r="F560" s="24" t="s">
        <v>333</v>
      </c>
      <c r="G560" s="24" t="s">
        <v>345</v>
      </c>
      <c r="H560" s="10">
        <v>3268.1531215738391</v>
      </c>
    </row>
    <row r="561" spans="1:8" x14ac:dyDescent="0.2">
      <c r="A561" s="9"/>
      <c r="B561" s="24" t="s">
        <v>334</v>
      </c>
      <c r="C561" s="25">
        <v>44462</v>
      </c>
      <c r="D561" s="24" t="s">
        <v>1126</v>
      </c>
      <c r="E561" s="24" t="s">
        <v>739</v>
      </c>
      <c r="F561" s="24" t="s">
        <v>333</v>
      </c>
      <c r="G561" s="24" t="s">
        <v>345</v>
      </c>
      <c r="H561" s="10">
        <v>2025.171616307686</v>
      </c>
    </row>
    <row r="562" spans="1:8" x14ac:dyDescent="0.2">
      <c r="A562" s="9"/>
      <c r="B562" s="24" t="s">
        <v>334</v>
      </c>
      <c r="C562" s="25">
        <v>44463</v>
      </c>
      <c r="D562" s="24" t="s">
        <v>1127</v>
      </c>
      <c r="E562" s="24" t="s">
        <v>344</v>
      </c>
      <c r="F562" s="24" t="s">
        <v>333</v>
      </c>
      <c r="G562" s="24" t="s">
        <v>345</v>
      </c>
      <c r="H562" s="10">
        <v>684.97728054210074</v>
      </c>
    </row>
    <row r="563" spans="1:8" x14ac:dyDescent="0.2">
      <c r="A563" s="9"/>
      <c r="B563" s="24" t="s">
        <v>334</v>
      </c>
      <c r="C563" s="25">
        <v>44463</v>
      </c>
      <c r="D563" s="24" t="s">
        <v>1128</v>
      </c>
      <c r="E563" s="24" t="s">
        <v>344</v>
      </c>
      <c r="F563" s="24" t="s">
        <v>333</v>
      </c>
      <c r="G563" s="24" t="s">
        <v>345</v>
      </c>
      <c r="H563" s="10">
        <v>297.94203528625565</v>
      </c>
    </row>
    <row r="564" spans="1:8" x14ac:dyDescent="0.2">
      <c r="A564" s="9"/>
      <c r="B564" s="24" t="s">
        <v>495</v>
      </c>
      <c r="C564" s="25">
        <v>44466</v>
      </c>
      <c r="D564" s="24" t="s">
        <v>1129</v>
      </c>
      <c r="E564" s="24" t="s">
        <v>344</v>
      </c>
      <c r="F564" s="24" t="s">
        <v>333</v>
      </c>
      <c r="G564" s="24" t="s">
        <v>866</v>
      </c>
      <c r="H564" s="10">
        <v>343.27365408850989</v>
      </c>
    </row>
    <row r="565" spans="1:8" x14ac:dyDescent="0.2">
      <c r="A565" s="9"/>
      <c r="B565" s="24" t="s">
        <v>334</v>
      </c>
      <c r="C565" s="25">
        <v>44466</v>
      </c>
      <c r="D565" s="24" t="s">
        <v>1130</v>
      </c>
      <c r="E565" s="24" t="s">
        <v>346</v>
      </c>
      <c r="F565" s="24" t="s">
        <v>333</v>
      </c>
      <c r="G565" s="24" t="s">
        <v>345</v>
      </c>
      <c r="H565" s="10">
        <v>22.624801216632967</v>
      </c>
    </row>
    <row r="566" spans="1:8" x14ac:dyDescent="0.2">
      <c r="A566" s="9"/>
      <c r="B566" s="24" t="s">
        <v>334</v>
      </c>
      <c r="C566" s="25">
        <v>44466</v>
      </c>
      <c r="D566" s="24" t="s">
        <v>1131</v>
      </c>
      <c r="E566" s="24" t="s">
        <v>1132</v>
      </c>
      <c r="F566" s="24" t="s">
        <v>333</v>
      </c>
      <c r="G566" s="24" t="s">
        <v>345</v>
      </c>
      <c r="H566" s="10">
        <v>4133.9530624868858</v>
      </c>
    </row>
    <row r="567" spans="1:8" x14ac:dyDescent="0.2">
      <c r="A567" s="9"/>
      <c r="B567" s="24" t="s">
        <v>334</v>
      </c>
      <c r="C567" s="25">
        <v>44466</v>
      </c>
      <c r="D567" s="24" t="s">
        <v>1133</v>
      </c>
      <c r="E567" s="24" t="s">
        <v>585</v>
      </c>
      <c r="F567" s="24" t="s">
        <v>333</v>
      </c>
      <c r="G567" s="24" t="s">
        <v>345</v>
      </c>
      <c r="H567" s="10">
        <v>2174.68055378801</v>
      </c>
    </row>
    <row r="568" spans="1:8" x14ac:dyDescent="0.2">
      <c r="A568" s="9"/>
      <c r="B568" s="24" t="s">
        <v>334</v>
      </c>
      <c r="C568" s="25">
        <v>44466</v>
      </c>
      <c r="D568" s="24" t="s">
        <v>1134</v>
      </c>
      <c r="E568" s="24" t="s">
        <v>377</v>
      </c>
      <c r="F568" s="24" t="s">
        <v>333</v>
      </c>
      <c r="G568" s="24" t="s">
        <v>345</v>
      </c>
      <c r="H568" s="10">
        <v>46.140065867996178</v>
      </c>
    </row>
    <row r="569" spans="1:8" x14ac:dyDescent="0.2">
      <c r="A569" s="9"/>
      <c r="B569" s="24" t="s">
        <v>334</v>
      </c>
      <c r="C569" s="25">
        <v>44467</v>
      </c>
      <c r="D569" s="24" t="s">
        <v>1135</v>
      </c>
      <c r="E569" s="24" t="s">
        <v>421</v>
      </c>
      <c r="F569" s="24" t="s">
        <v>333</v>
      </c>
      <c r="G569" s="24" t="s">
        <v>345</v>
      </c>
      <c r="H569" s="10">
        <v>35565.789147326221</v>
      </c>
    </row>
    <row r="570" spans="1:8" x14ac:dyDescent="0.2">
      <c r="A570" s="9"/>
      <c r="B570" s="24" t="s">
        <v>334</v>
      </c>
      <c r="C570" s="25">
        <v>44467</v>
      </c>
      <c r="D570" s="24" t="s">
        <v>1136</v>
      </c>
      <c r="E570" s="24" t="s">
        <v>421</v>
      </c>
      <c r="F570" s="24" t="s">
        <v>333</v>
      </c>
      <c r="G570" s="24" t="s">
        <v>345</v>
      </c>
      <c r="H570" s="10">
        <v>35565.789147326221</v>
      </c>
    </row>
    <row r="571" spans="1:8" x14ac:dyDescent="0.2">
      <c r="A571" s="9"/>
      <c r="B571" s="24" t="s">
        <v>334</v>
      </c>
      <c r="C571" s="25">
        <v>44468</v>
      </c>
      <c r="D571" s="24" t="s">
        <v>1137</v>
      </c>
      <c r="E571" s="24" t="s">
        <v>377</v>
      </c>
      <c r="F571" s="24" t="s">
        <v>333</v>
      </c>
      <c r="G571" s="24" t="s">
        <v>345</v>
      </c>
      <c r="H571" s="10">
        <v>135.45589169626811</v>
      </c>
    </row>
    <row r="572" spans="1:8" x14ac:dyDescent="0.2">
      <c r="A572" s="9"/>
      <c r="B572" s="24" t="s">
        <v>334</v>
      </c>
      <c r="C572" s="25">
        <v>44468</v>
      </c>
      <c r="D572" s="24" t="s">
        <v>1138</v>
      </c>
      <c r="E572" s="24" t="s">
        <v>344</v>
      </c>
      <c r="F572" s="24" t="s">
        <v>333</v>
      </c>
      <c r="G572" s="24" t="s">
        <v>345</v>
      </c>
      <c r="H572" s="10">
        <v>487.2592481595625</v>
      </c>
    </row>
    <row r="573" spans="1:8" x14ac:dyDescent="0.2">
      <c r="A573" s="9"/>
      <c r="B573" s="24" t="s">
        <v>334</v>
      </c>
      <c r="C573" s="25">
        <v>44468</v>
      </c>
      <c r="D573" s="24" t="s">
        <v>1139</v>
      </c>
      <c r="E573" s="24" t="s">
        <v>344</v>
      </c>
      <c r="F573" s="24" t="s">
        <v>333</v>
      </c>
      <c r="G573" s="24" t="s">
        <v>345</v>
      </c>
      <c r="H573" s="10">
        <v>262.04229891765732</v>
      </c>
    </row>
    <row r="574" spans="1:8" x14ac:dyDescent="0.2">
      <c r="A574" s="9"/>
      <c r="B574" s="24" t="s">
        <v>498</v>
      </c>
      <c r="C574" s="25">
        <v>44468</v>
      </c>
      <c r="D574" s="24" t="s">
        <v>1140</v>
      </c>
      <c r="E574" s="24" t="s">
        <v>615</v>
      </c>
      <c r="F574" s="24" t="s">
        <v>333</v>
      </c>
      <c r="G574" s="24" t="s">
        <v>345</v>
      </c>
      <c r="H574" s="10">
        <v>-13.064035917424007</v>
      </c>
    </row>
    <row r="575" spans="1:8" x14ac:dyDescent="0.2">
      <c r="A575" s="9"/>
      <c r="B575" s="24" t="s">
        <v>334</v>
      </c>
      <c r="C575" s="25">
        <v>44469</v>
      </c>
      <c r="D575" s="24" t="s">
        <v>1141</v>
      </c>
      <c r="E575" s="24" t="s">
        <v>1005</v>
      </c>
      <c r="F575" s="24" t="s">
        <v>333</v>
      </c>
      <c r="G575" s="24" t="s">
        <v>345</v>
      </c>
      <c r="H575" s="10">
        <v>1215.8106538827394</v>
      </c>
    </row>
    <row r="576" spans="1:8" x14ac:dyDescent="0.2">
      <c r="A576" s="9"/>
      <c r="B576" s="24" t="s">
        <v>334</v>
      </c>
      <c r="C576" s="25">
        <v>44469</v>
      </c>
      <c r="D576" s="24" t="s">
        <v>1142</v>
      </c>
      <c r="E576" s="24" t="s">
        <v>377</v>
      </c>
      <c r="F576" s="24" t="s">
        <v>333</v>
      </c>
      <c r="G576" s="24" t="s">
        <v>345</v>
      </c>
      <c r="H576" s="10">
        <v>17.738968949757798</v>
      </c>
    </row>
    <row r="577" spans="1:8" x14ac:dyDescent="0.2">
      <c r="A577" s="9"/>
      <c r="B577" s="24" t="s">
        <v>334</v>
      </c>
      <c r="C577" s="25">
        <v>44469</v>
      </c>
      <c r="D577" s="24" t="s">
        <v>1143</v>
      </c>
      <c r="E577" s="24" t="s">
        <v>506</v>
      </c>
      <c r="F577" s="24" t="s">
        <v>333</v>
      </c>
      <c r="G577" s="24" t="s">
        <v>345</v>
      </c>
      <c r="H577" s="10">
        <v>89.08149334544818</v>
      </c>
    </row>
    <row r="578" spans="1:8" x14ac:dyDescent="0.2">
      <c r="A578" s="9"/>
      <c r="B578" s="24" t="s">
        <v>334</v>
      </c>
      <c r="C578" s="25">
        <v>44469</v>
      </c>
      <c r="D578" s="24" t="s">
        <v>1144</v>
      </c>
      <c r="E578" s="24" t="s">
        <v>346</v>
      </c>
      <c r="F578" s="24" t="s">
        <v>333</v>
      </c>
      <c r="G578" s="24" t="s">
        <v>345</v>
      </c>
      <c r="H578" s="10">
        <v>48.061592227150918</v>
      </c>
    </row>
    <row r="579" spans="1:8" x14ac:dyDescent="0.2">
      <c r="A579" s="9"/>
      <c r="B579" s="24" t="s">
        <v>334</v>
      </c>
      <c r="C579" s="25">
        <v>44469</v>
      </c>
      <c r="D579" s="24" t="s">
        <v>1145</v>
      </c>
      <c r="E579" s="24" t="s">
        <v>376</v>
      </c>
      <c r="F579" s="24" t="s">
        <v>333</v>
      </c>
      <c r="G579" s="24" t="s">
        <v>345</v>
      </c>
      <c r="H579" s="10">
        <v>1634.1878687162607</v>
      </c>
    </row>
    <row r="580" spans="1:8" x14ac:dyDescent="0.2">
      <c r="A580" s="9"/>
      <c r="B580" s="24" t="s">
        <v>334</v>
      </c>
      <c r="C580" s="25">
        <v>44469</v>
      </c>
      <c r="D580" s="24" t="s">
        <v>1146</v>
      </c>
      <c r="E580" s="24" t="s">
        <v>377</v>
      </c>
      <c r="F580" s="24" t="s">
        <v>333</v>
      </c>
      <c r="G580" s="24" t="s">
        <v>345</v>
      </c>
      <c r="H580" s="10">
        <v>87.511465710529066</v>
      </c>
    </row>
    <row r="581" spans="1:8" x14ac:dyDescent="0.2">
      <c r="A581" s="9"/>
      <c r="B581" s="24" t="s">
        <v>334</v>
      </c>
      <c r="C581" s="25">
        <v>44469</v>
      </c>
      <c r="D581" s="24" t="s">
        <v>1147</v>
      </c>
      <c r="E581" s="24" t="s">
        <v>344</v>
      </c>
      <c r="F581" s="24" t="s">
        <v>333</v>
      </c>
      <c r="G581" s="24" t="s">
        <v>345</v>
      </c>
      <c r="H581" s="10">
        <v>198.42102983100946</v>
      </c>
    </row>
    <row r="582" spans="1:8" x14ac:dyDescent="0.2">
      <c r="A582" s="9"/>
      <c r="B582" s="24" t="s">
        <v>498</v>
      </c>
      <c r="C582" s="25">
        <v>44469</v>
      </c>
      <c r="D582" s="24" t="s">
        <v>1148</v>
      </c>
      <c r="E582" s="24" t="s">
        <v>1149</v>
      </c>
      <c r="F582" s="24" t="s">
        <v>333</v>
      </c>
      <c r="G582" s="24" t="s">
        <v>501</v>
      </c>
      <c r="H582" s="10">
        <v>126.39894123513021</v>
      </c>
    </row>
    <row r="583" spans="1:8" x14ac:dyDescent="0.2">
      <c r="A583" s="9"/>
      <c r="B583" s="24" t="s">
        <v>498</v>
      </c>
      <c r="C583" s="25">
        <v>44469</v>
      </c>
      <c r="D583" s="24" t="s">
        <v>1150</v>
      </c>
      <c r="E583" s="24" t="s">
        <v>905</v>
      </c>
      <c r="F583" s="24" t="s">
        <v>333</v>
      </c>
      <c r="G583" s="24" t="s">
        <v>345</v>
      </c>
      <c r="H583" s="10">
        <v>-1215.8106538827394</v>
      </c>
    </row>
    <row r="584" spans="1:8" x14ac:dyDescent="0.2">
      <c r="A584" s="9"/>
      <c r="B584" s="24" t="s">
        <v>334</v>
      </c>
      <c r="C584" s="25">
        <v>44470</v>
      </c>
      <c r="D584" s="24" t="s">
        <v>1151</v>
      </c>
      <c r="E584" s="24" t="s">
        <v>378</v>
      </c>
      <c r="F584" s="24" t="s">
        <v>333</v>
      </c>
      <c r="G584" s="24" t="s">
        <v>345</v>
      </c>
      <c r="H584" s="10">
        <v>36.49854728344318</v>
      </c>
    </row>
    <row r="585" spans="1:8" x14ac:dyDescent="0.2">
      <c r="A585" s="9"/>
      <c r="B585" s="24" t="s">
        <v>334</v>
      </c>
      <c r="C585" s="25">
        <v>44473</v>
      </c>
      <c r="D585" s="24" t="s">
        <v>1152</v>
      </c>
      <c r="E585" s="24" t="s">
        <v>422</v>
      </c>
      <c r="F585" s="24" t="s">
        <v>333</v>
      </c>
      <c r="G585" s="24" t="s">
        <v>345</v>
      </c>
      <c r="H585" s="10">
        <v>305.48529734247211</v>
      </c>
    </row>
    <row r="586" spans="1:8" x14ac:dyDescent="0.2">
      <c r="A586" s="9"/>
      <c r="B586" s="24" t="s">
        <v>334</v>
      </c>
      <c r="C586" s="25">
        <v>44474</v>
      </c>
      <c r="D586" s="24" t="s">
        <v>1153</v>
      </c>
      <c r="E586" s="24" t="s">
        <v>344</v>
      </c>
      <c r="F586" s="24" t="s">
        <v>333</v>
      </c>
      <c r="G586" s="24" t="s">
        <v>345</v>
      </c>
      <c r="H586" s="10">
        <v>882.32481808127761</v>
      </c>
    </row>
    <row r="587" spans="1:8" x14ac:dyDescent="0.2">
      <c r="A587" s="9"/>
      <c r="B587" s="24" t="s">
        <v>334</v>
      </c>
      <c r="C587" s="25">
        <v>44474</v>
      </c>
      <c r="D587" s="24" t="s">
        <v>1154</v>
      </c>
      <c r="E587" s="24" t="s">
        <v>344</v>
      </c>
      <c r="F587" s="24" t="s">
        <v>333</v>
      </c>
      <c r="G587" s="24" t="s">
        <v>345</v>
      </c>
      <c r="H587" s="10">
        <v>406.90367721846894</v>
      </c>
    </row>
    <row r="588" spans="1:8" x14ac:dyDescent="0.2">
      <c r="A588" s="9"/>
      <c r="B588" s="24" t="s">
        <v>334</v>
      </c>
      <c r="C588" s="25">
        <v>44474</v>
      </c>
      <c r="D588" s="24" t="s">
        <v>1155</v>
      </c>
      <c r="E588" s="24" t="s">
        <v>344</v>
      </c>
      <c r="F588" s="24" t="s">
        <v>333</v>
      </c>
      <c r="G588" s="24" t="s">
        <v>345</v>
      </c>
      <c r="H588" s="10">
        <v>362.53676266692577</v>
      </c>
    </row>
    <row r="589" spans="1:8" x14ac:dyDescent="0.2">
      <c r="A589" s="9"/>
      <c r="B589" s="24" t="s">
        <v>334</v>
      </c>
      <c r="C589" s="25">
        <v>44474</v>
      </c>
      <c r="D589" s="24" t="s">
        <v>1156</v>
      </c>
      <c r="E589" s="24" t="s">
        <v>566</v>
      </c>
      <c r="F589" s="24" t="s">
        <v>333</v>
      </c>
      <c r="G589" s="24" t="s">
        <v>345</v>
      </c>
      <c r="H589" s="10">
        <v>13.879892703020046</v>
      </c>
    </row>
    <row r="590" spans="1:8" x14ac:dyDescent="0.2">
      <c r="A590" s="9"/>
      <c r="B590" s="24" t="s">
        <v>334</v>
      </c>
      <c r="C590" s="25">
        <v>44474</v>
      </c>
      <c r="D590" s="24" t="s">
        <v>1157</v>
      </c>
      <c r="E590" s="24" t="s">
        <v>504</v>
      </c>
      <c r="F590" s="24" t="s">
        <v>333</v>
      </c>
      <c r="G590" s="24" t="s">
        <v>345</v>
      </c>
      <c r="H590" s="10">
        <v>31.879653223408081</v>
      </c>
    </row>
    <row r="591" spans="1:8" x14ac:dyDescent="0.2">
      <c r="A591" s="9"/>
      <c r="B591" s="24" t="s">
        <v>498</v>
      </c>
      <c r="C591" s="25">
        <v>44474</v>
      </c>
      <c r="D591" s="24" t="s">
        <v>1158</v>
      </c>
      <c r="E591" s="24"/>
      <c r="F591" s="24" t="s">
        <v>333</v>
      </c>
      <c r="G591" s="24" t="s">
        <v>335</v>
      </c>
      <c r="H591" s="10">
        <v>-1312.6479129207285</v>
      </c>
    </row>
    <row r="592" spans="1:8" x14ac:dyDescent="0.2">
      <c r="A592" s="9"/>
      <c r="B592" s="24" t="s">
        <v>334</v>
      </c>
      <c r="C592" s="25">
        <v>44475</v>
      </c>
      <c r="D592" s="24" t="s">
        <v>1159</v>
      </c>
      <c r="E592" s="24" t="s">
        <v>378</v>
      </c>
      <c r="F592" s="24" t="s">
        <v>333</v>
      </c>
      <c r="G592" s="24" t="s">
        <v>345</v>
      </c>
      <c r="H592" s="10">
        <v>16.22415551740972</v>
      </c>
    </row>
    <row r="593" spans="1:8" x14ac:dyDescent="0.2">
      <c r="A593" s="9"/>
      <c r="B593" s="24" t="s">
        <v>334</v>
      </c>
      <c r="C593" s="25">
        <v>44475</v>
      </c>
      <c r="D593" s="24" t="s">
        <v>1160</v>
      </c>
      <c r="E593" s="24" t="s">
        <v>377</v>
      </c>
      <c r="F593" s="24" t="s">
        <v>333</v>
      </c>
      <c r="G593" s="24" t="s">
        <v>345</v>
      </c>
      <c r="H593" s="10">
        <v>138.56682180105295</v>
      </c>
    </row>
    <row r="594" spans="1:8" x14ac:dyDescent="0.2">
      <c r="A594" s="9"/>
      <c r="B594" s="24" t="s">
        <v>334</v>
      </c>
      <c r="C594" s="25">
        <v>44475</v>
      </c>
      <c r="D594" s="24" t="s">
        <v>1161</v>
      </c>
      <c r="E594" s="24" t="s">
        <v>510</v>
      </c>
      <c r="F594" s="24" t="s">
        <v>333</v>
      </c>
      <c r="G594" s="24" t="s">
        <v>345</v>
      </c>
      <c r="H594" s="10">
        <v>58.908307157633573</v>
      </c>
    </row>
    <row r="595" spans="1:8" x14ac:dyDescent="0.2">
      <c r="A595" s="9"/>
      <c r="B595" s="24" t="s">
        <v>334</v>
      </c>
      <c r="C595" s="25">
        <v>44475</v>
      </c>
      <c r="D595" s="24" t="s">
        <v>1162</v>
      </c>
      <c r="E595" s="24" t="s">
        <v>377</v>
      </c>
      <c r="F595" s="24" t="s">
        <v>333</v>
      </c>
      <c r="G595" s="24" t="s">
        <v>345</v>
      </c>
      <c r="H595" s="10">
        <v>66.811490210105688</v>
      </c>
    </row>
    <row r="596" spans="1:8" x14ac:dyDescent="0.2">
      <c r="A596" s="9"/>
      <c r="B596" s="24" t="s">
        <v>334</v>
      </c>
      <c r="C596" s="25">
        <v>44475</v>
      </c>
      <c r="D596" s="24" t="s">
        <v>1163</v>
      </c>
      <c r="E596" s="24" t="s">
        <v>378</v>
      </c>
      <c r="F596" s="24" t="s">
        <v>333</v>
      </c>
      <c r="G596" s="24" t="s">
        <v>345</v>
      </c>
      <c r="H596" s="10">
        <v>44.680256610892286</v>
      </c>
    </row>
    <row r="597" spans="1:8" x14ac:dyDescent="0.2">
      <c r="A597" s="9"/>
      <c r="B597" s="24" t="s">
        <v>498</v>
      </c>
      <c r="C597" s="25">
        <v>44475</v>
      </c>
      <c r="D597" s="24" t="s">
        <v>1164</v>
      </c>
      <c r="E597" s="24"/>
      <c r="F597" s="24" t="s">
        <v>333</v>
      </c>
      <c r="G597" s="24" t="s">
        <v>335</v>
      </c>
      <c r="H597" s="10">
        <v>0.42939467392286096</v>
      </c>
    </row>
    <row r="598" spans="1:8" x14ac:dyDescent="0.2">
      <c r="A598" s="9"/>
      <c r="B598" s="24" t="s">
        <v>334</v>
      </c>
      <c r="C598" s="25">
        <v>44476</v>
      </c>
      <c r="D598" s="24" t="s">
        <v>1165</v>
      </c>
      <c r="E598" s="24" t="s">
        <v>378</v>
      </c>
      <c r="F598" s="24" t="s">
        <v>333</v>
      </c>
      <c r="G598" s="24" t="s">
        <v>345</v>
      </c>
      <c r="H598" s="10">
        <v>16.0036555497196</v>
      </c>
    </row>
    <row r="599" spans="1:8" x14ac:dyDescent="0.2">
      <c r="A599" s="9"/>
      <c r="B599" s="24" t="s">
        <v>334</v>
      </c>
      <c r="C599" s="25">
        <v>44476</v>
      </c>
      <c r="D599" s="24" t="s">
        <v>1166</v>
      </c>
      <c r="E599" s="24" t="s">
        <v>344</v>
      </c>
      <c r="F599" s="24" t="s">
        <v>333</v>
      </c>
      <c r="G599" s="24" t="s">
        <v>345</v>
      </c>
      <c r="H599" s="10">
        <v>137.29024304074176</v>
      </c>
    </row>
    <row r="600" spans="1:8" x14ac:dyDescent="0.2">
      <c r="A600" s="9"/>
      <c r="B600" s="24" t="s">
        <v>334</v>
      </c>
      <c r="C600" s="25">
        <v>44476</v>
      </c>
      <c r="D600" s="24" t="s">
        <v>1167</v>
      </c>
      <c r="E600" s="24" t="s">
        <v>377</v>
      </c>
      <c r="F600" s="24" t="s">
        <v>333</v>
      </c>
      <c r="G600" s="24" t="s">
        <v>335</v>
      </c>
      <c r="H600" s="10">
        <v>22.409759874190392</v>
      </c>
    </row>
    <row r="601" spans="1:8" x14ac:dyDescent="0.2">
      <c r="A601" s="9"/>
      <c r="B601" s="24" t="s">
        <v>334</v>
      </c>
      <c r="C601" s="25">
        <v>44476</v>
      </c>
      <c r="D601" s="24" t="s">
        <v>1168</v>
      </c>
      <c r="E601" s="24" t="s">
        <v>377</v>
      </c>
      <c r="F601" s="24" t="s">
        <v>333</v>
      </c>
      <c r="G601" s="24" t="s">
        <v>335</v>
      </c>
      <c r="H601" s="10">
        <v>7.5666304702082519</v>
      </c>
    </row>
    <row r="602" spans="1:8" x14ac:dyDescent="0.2">
      <c r="A602" s="9"/>
      <c r="B602" s="24" t="s">
        <v>342</v>
      </c>
      <c r="C602" s="25">
        <v>44477</v>
      </c>
      <c r="D602" s="24" t="s">
        <v>1169</v>
      </c>
      <c r="E602" s="24" t="s">
        <v>1170</v>
      </c>
      <c r="F602" s="24" t="s">
        <v>333</v>
      </c>
      <c r="G602" s="24" t="s">
        <v>343</v>
      </c>
      <c r="H602" s="10">
        <v>2343.2879724272539</v>
      </c>
    </row>
    <row r="603" spans="1:8" x14ac:dyDescent="0.2">
      <c r="A603" s="9"/>
      <c r="B603" s="24" t="s">
        <v>334</v>
      </c>
      <c r="C603" s="25">
        <v>44480</v>
      </c>
      <c r="D603" s="24" t="s">
        <v>1171</v>
      </c>
      <c r="E603" s="24" t="s">
        <v>378</v>
      </c>
      <c r="F603" s="24" t="s">
        <v>333</v>
      </c>
      <c r="G603" s="24" t="s">
        <v>345</v>
      </c>
      <c r="H603" s="10">
        <v>1816.838496936369</v>
      </c>
    </row>
    <row r="604" spans="1:8" x14ac:dyDescent="0.2">
      <c r="A604" s="9"/>
      <c r="B604" s="24" t="s">
        <v>334</v>
      </c>
      <c r="C604" s="25">
        <v>44480</v>
      </c>
      <c r="D604" s="24" t="s">
        <v>1172</v>
      </c>
      <c r="E604" s="24" t="s">
        <v>1173</v>
      </c>
      <c r="F604" s="24" t="s">
        <v>333</v>
      </c>
      <c r="G604" s="24" t="s">
        <v>345</v>
      </c>
      <c r="H604" s="10">
        <v>1778.738423571808</v>
      </c>
    </row>
    <row r="605" spans="1:8" x14ac:dyDescent="0.2">
      <c r="A605" s="9"/>
      <c r="B605" s="24" t="s">
        <v>334</v>
      </c>
      <c r="C605" s="25">
        <v>44480</v>
      </c>
      <c r="D605" s="24" t="s">
        <v>1174</v>
      </c>
      <c r="E605" s="24" t="s">
        <v>643</v>
      </c>
      <c r="F605" s="24" t="s">
        <v>333</v>
      </c>
      <c r="G605" s="24" t="s">
        <v>345</v>
      </c>
      <c r="H605" s="10">
        <v>38.158099671847751</v>
      </c>
    </row>
    <row r="606" spans="1:8" x14ac:dyDescent="0.2">
      <c r="A606" s="9"/>
      <c r="B606" s="24" t="s">
        <v>334</v>
      </c>
      <c r="C606" s="25">
        <v>44481</v>
      </c>
      <c r="D606" s="24" t="s">
        <v>1175</v>
      </c>
      <c r="E606" s="24" t="s">
        <v>1176</v>
      </c>
      <c r="F606" s="24" t="s">
        <v>333</v>
      </c>
      <c r="G606" s="24" t="s">
        <v>345</v>
      </c>
      <c r="H606" s="10">
        <v>39.875678367539194</v>
      </c>
    </row>
    <row r="607" spans="1:8" x14ac:dyDescent="0.2">
      <c r="A607" s="9"/>
      <c r="B607" s="24" t="s">
        <v>334</v>
      </c>
      <c r="C607" s="25">
        <v>44481</v>
      </c>
      <c r="D607" s="24" t="s">
        <v>1177</v>
      </c>
      <c r="E607" s="24" t="s">
        <v>344</v>
      </c>
      <c r="F607" s="24" t="s">
        <v>333</v>
      </c>
      <c r="G607" s="24" t="s">
        <v>345</v>
      </c>
      <c r="H607" s="10">
        <v>210.35696917637236</v>
      </c>
    </row>
    <row r="608" spans="1:8" x14ac:dyDescent="0.2">
      <c r="A608" s="9"/>
      <c r="B608" s="24" t="s">
        <v>334</v>
      </c>
      <c r="C608" s="25">
        <v>44481</v>
      </c>
      <c r="D608" s="24" t="s">
        <v>1178</v>
      </c>
      <c r="E608" s="24" t="s">
        <v>344</v>
      </c>
      <c r="F608" s="24" t="s">
        <v>333</v>
      </c>
      <c r="G608" s="24" t="s">
        <v>345</v>
      </c>
      <c r="H608" s="10">
        <v>307.72511280374545</v>
      </c>
    </row>
    <row r="609" spans="1:8" x14ac:dyDescent="0.2">
      <c r="A609" s="9"/>
      <c r="B609" s="24" t="s">
        <v>334</v>
      </c>
      <c r="C609" s="25">
        <v>44481</v>
      </c>
      <c r="D609" s="24" t="s">
        <v>1179</v>
      </c>
      <c r="E609" s="24" t="s">
        <v>508</v>
      </c>
      <c r="F609" s="24" t="s">
        <v>333</v>
      </c>
      <c r="G609" s="24" t="s">
        <v>345</v>
      </c>
      <c r="H609" s="10">
        <v>48.742098120973402</v>
      </c>
    </row>
    <row r="610" spans="1:8" x14ac:dyDescent="0.2">
      <c r="A610" s="9"/>
      <c r="B610" s="24" t="s">
        <v>334</v>
      </c>
      <c r="C610" s="25">
        <v>44482</v>
      </c>
      <c r="D610" s="24" t="s">
        <v>1180</v>
      </c>
      <c r="E610" s="24" t="s">
        <v>1181</v>
      </c>
      <c r="F610" s="24" t="s">
        <v>333</v>
      </c>
      <c r="G610" s="24" t="s">
        <v>345</v>
      </c>
      <c r="H610" s="10">
        <v>21.376891604484051</v>
      </c>
    </row>
    <row r="611" spans="1:8" x14ac:dyDescent="0.2">
      <c r="A611" s="9"/>
      <c r="B611" s="24" t="s">
        <v>334</v>
      </c>
      <c r="C611" s="25">
        <v>44482</v>
      </c>
      <c r="D611" s="24" t="s">
        <v>1182</v>
      </c>
      <c r="E611" s="24" t="s">
        <v>1183</v>
      </c>
      <c r="F611" s="24" t="s">
        <v>333</v>
      </c>
      <c r="G611" s="24" t="s">
        <v>345</v>
      </c>
      <c r="H611" s="10">
        <v>608.96288445281846</v>
      </c>
    </row>
    <row r="612" spans="1:8" x14ac:dyDescent="0.2">
      <c r="A612" s="9"/>
      <c r="B612" s="24" t="s">
        <v>334</v>
      </c>
      <c r="C612" s="25">
        <v>44482</v>
      </c>
      <c r="D612" s="24" t="s">
        <v>1184</v>
      </c>
      <c r="E612" s="24" t="s">
        <v>346</v>
      </c>
      <c r="F612" s="24" t="s">
        <v>333</v>
      </c>
      <c r="G612" s="24" t="s">
        <v>335</v>
      </c>
      <c r="H612" s="10">
        <v>14.216445285283909</v>
      </c>
    </row>
    <row r="613" spans="1:8" x14ac:dyDescent="0.2">
      <c r="A613" s="9"/>
      <c r="B613" s="24" t="s">
        <v>334</v>
      </c>
      <c r="C613" s="25">
        <v>44483</v>
      </c>
      <c r="D613" s="24" t="s">
        <v>1185</v>
      </c>
      <c r="E613" s="24" t="s">
        <v>344</v>
      </c>
      <c r="F613" s="24" t="s">
        <v>333</v>
      </c>
      <c r="G613" s="24" t="s">
        <v>345</v>
      </c>
      <c r="H613" s="10">
        <v>548.48786699843924</v>
      </c>
    </row>
    <row r="614" spans="1:8" x14ac:dyDescent="0.2">
      <c r="A614" s="9"/>
      <c r="B614" s="24" t="s">
        <v>334</v>
      </c>
      <c r="C614" s="25">
        <v>44483</v>
      </c>
      <c r="D614" s="24" t="s">
        <v>1186</v>
      </c>
      <c r="E614" s="24" t="s">
        <v>344</v>
      </c>
      <c r="F614" s="24" t="s">
        <v>333</v>
      </c>
      <c r="G614" s="24" t="s">
        <v>345</v>
      </c>
      <c r="H614" s="10">
        <v>73.716620777243591</v>
      </c>
    </row>
    <row r="615" spans="1:8" x14ac:dyDescent="0.2">
      <c r="A615" s="9"/>
      <c r="B615" s="24" t="s">
        <v>334</v>
      </c>
      <c r="C615" s="25">
        <v>44483</v>
      </c>
      <c r="D615" s="24" t="s">
        <v>1187</v>
      </c>
      <c r="E615" s="24" t="s">
        <v>344</v>
      </c>
      <c r="F615" s="24" t="s">
        <v>333</v>
      </c>
      <c r="G615" s="24" t="s">
        <v>345</v>
      </c>
      <c r="H615" s="10">
        <v>50.27399263334685</v>
      </c>
    </row>
    <row r="616" spans="1:8" x14ac:dyDescent="0.2">
      <c r="A616" s="9"/>
      <c r="B616" s="24" t="s">
        <v>334</v>
      </c>
      <c r="C616" s="25">
        <v>44484</v>
      </c>
      <c r="D616" s="24" t="s">
        <v>1188</v>
      </c>
      <c r="E616" s="24" t="s">
        <v>711</v>
      </c>
      <c r="F616" s="24" t="s">
        <v>333</v>
      </c>
      <c r="G616" s="24" t="s">
        <v>345</v>
      </c>
      <c r="H616" s="10">
        <v>18822.167373564887</v>
      </c>
    </row>
    <row r="617" spans="1:8" x14ac:dyDescent="0.2">
      <c r="A617" s="9"/>
      <c r="B617" s="24" t="s">
        <v>334</v>
      </c>
      <c r="C617" s="25">
        <v>44484</v>
      </c>
      <c r="D617" s="24" t="s">
        <v>1189</v>
      </c>
      <c r="E617" s="24" t="s">
        <v>1190</v>
      </c>
      <c r="F617" s="24" t="s">
        <v>333</v>
      </c>
      <c r="G617" s="24" t="s">
        <v>345</v>
      </c>
      <c r="H617" s="10">
        <v>97.472590980489429</v>
      </c>
    </row>
    <row r="618" spans="1:8" x14ac:dyDescent="0.2">
      <c r="A618" s="9"/>
      <c r="B618" s="24" t="s">
        <v>334</v>
      </c>
      <c r="C618" s="25">
        <v>44484</v>
      </c>
      <c r="D618" s="24" t="s">
        <v>1191</v>
      </c>
      <c r="E618" s="24" t="s">
        <v>379</v>
      </c>
      <c r="F618" s="24" t="s">
        <v>333</v>
      </c>
      <c r="G618" s="24" t="s">
        <v>345</v>
      </c>
      <c r="H618" s="10">
        <v>965.43009537753721</v>
      </c>
    </row>
    <row r="619" spans="1:8" x14ac:dyDescent="0.2">
      <c r="A619" s="9"/>
      <c r="B619" s="24" t="s">
        <v>334</v>
      </c>
      <c r="C619" s="25">
        <v>44484</v>
      </c>
      <c r="D619" s="24" t="s">
        <v>1192</v>
      </c>
      <c r="E619" s="24" t="s">
        <v>379</v>
      </c>
      <c r="F619" s="24" t="s">
        <v>333</v>
      </c>
      <c r="G619" s="24" t="s">
        <v>345</v>
      </c>
      <c r="H619" s="10">
        <v>2084.7807734642342</v>
      </c>
    </row>
    <row r="620" spans="1:8" x14ac:dyDescent="0.2">
      <c r="A620" s="9"/>
      <c r="B620" s="24" t="s">
        <v>334</v>
      </c>
      <c r="C620" s="25">
        <v>44484</v>
      </c>
      <c r="D620" s="24" t="s">
        <v>1193</v>
      </c>
      <c r="E620" s="24" t="s">
        <v>604</v>
      </c>
      <c r="F620" s="24" t="s">
        <v>333</v>
      </c>
      <c r="G620" s="24" t="s">
        <v>345</v>
      </c>
      <c r="H620" s="10">
        <v>3697.494326626841</v>
      </c>
    </row>
    <row r="621" spans="1:8" x14ac:dyDescent="0.2">
      <c r="A621" s="9"/>
      <c r="B621" s="24" t="s">
        <v>334</v>
      </c>
      <c r="C621" s="25">
        <v>44484</v>
      </c>
      <c r="D621" s="24" t="s">
        <v>1194</v>
      </c>
      <c r="E621" s="24" t="s">
        <v>421</v>
      </c>
      <c r="F621" s="24" t="s">
        <v>333</v>
      </c>
      <c r="G621" s="24" t="s">
        <v>345</v>
      </c>
      <c r="H621" s="10">
        <v>35049.827679934737</v>
      </c>
    </row>
    <row r="622" spans="1:8" x14ac:dyDescent="0.2">
      <c r="A622" s="9"/>
      <c r="B622" s="24" t="s">
        <v>334</v>
      </c>
      <c r="C622" s="25">
        <v>44487</v>
      </c>
      <c r="D622" s="24" t="s">
        <v>1195</v>
      </c>
      <c r="E622" s="24" t="s">
        <v>1196</v>
      </c>
      <c r="F622" s="24" t="s">
        <v>333</v>
      </c>
      <c r="G622" s="24" t="s">
        <v>345</v>
      </c>
      <c r="H622" s="10">
        <v>2231.8658571750002</v>
      </c>
    </row>
    <row r="623" spans="1:8" x14ac:dyDescent="0.2">
      <c r="A623" s="9"/>
      <c r="B623" s="24" t="s">
        <v>334</v>
      </c>
      <c r="C623" s="25">
        <v>44487</v>
      </c>
      <c r="D623" s="24" t="s">
        <v>1197</v>
      </c>
      <c r="E623" s="24" t="s">
        <v>521</v>
      </c>
      <c r="F623" s="24" t="s">
        <v>333</v>
      </c>
      <c r="G623" s="24" t="s">
        <v>345</v>
      </c>
      <c r="H623" s="10">
        <v>6836.7407613695905</v>
      </c>
    </row>
    <row r="624" spans="1:8" x14ac:dyDescent="0.2">
      <c r="A624" s="9"/>
      <c r="B624" s="24" t="s">
        <v>334</v>
      </c>
      <c r="C624" s="25">
        <v>44487</v>
      </c>
      <c r="D624" s="24" t="s">
        <v>1198</v>
      </c>
      <c r="E624" s="24" t="s">
        <v>650</v>
      </c>
      <c r="F624" s="24" t="s">
        <v>333</v>
      </c>
      <c r="G624" s="24" t="s">
        <v>345</v>
      </c>
      <c r="H624" s="10">
        <v>8885.1970664722412</v>
      </c>
    </row>
    <row r="625" spans="1:8" x14ac:dyDescent="0.2">
      <c r="A625" s="9"/>
      <c r="B625" s="24" t="s">
        <v>334</v>
      </c>
      <c r="C625" s="25">
        <v>44487</v>
      </c>
      <c r="D625" s="24" t="s">
        <v>1199</v>
      </c>
      <c r="E625" s="24" t="s">
        <v>377</v>
      </c>
      <c r="F625" s="24" t="s">
        <v>333</v>
      </c>
      <c r="G625" s="24" t="s">
        <v>345</v>
      </c>
      <c r="H625" s="10">
        <v>127.06600769679471</v>
      </c>
    </row>
    <row r="626" spans="1:8" x14ac:dyDescent="0.2">
      <c r="A626" s="9"/>
      <c r="B626" s="24" t="s">
        <v>334</v>
      </c>
      <c r="C626" s="25">
        <v>44488</v>
      </c>
      <c r="D626" s="24" t="s">
        <v>1200</v>
      </c>
      <c r="E626" s="24" t="s">
        <v>1190</v>
      </c>
      <c r="F626" s="24" t="s">
        <v>333</v>
      </c>
      <c r="G626" s="24" t="s">
        <v>345</v>
      </c>
      <c r="H626" s="10">
        <v>1782.3128441006793</v>
      </c>
    </row>
    <row r="627" spans="1:8" x14ac:dyDescent="0.2">
      <c r="A627" s="9"/>
      <c r="B627" s="24" t="s">
        <v>334</v>
      </c>
      <c r="C627" s="25">
        <v>44488</v>
      </c>
      <c r="D627" s="24" t="s">
        <v>1201</v>
      </c>
      <c r="E627" s="24" t="s">
        <v>377</v>
      </c>
      <c r="F627" s="24" t="s">
        <v>333</v>
      </c>
      <c r="G627" s="24" t="s">
        <v>345</v>
      </c>
      <c r="H627" s="10">
        <v>16.67676071424733</v>
      </c>
    </row>
    <row r="628" spans="1:8" x14ac:dyDescent="0.2">
      <c r="A628" s="9"/>
      <c r="B628" s="24" t="s">
        <v>334</v>
      </c>
      <c r="C628" s="25">
        <v>44489</v>
      </c>
      <c r="D628" s="24" t="s">
        <v>1202</v>
      </c>
      <c r="E628" s="24" t="s">
        <v>344</v>
      </c>
      <c r="F628" s="24" t="s">
        <v>333</v>
      </c>
      <c r="G628" s="24" t="s">
        <v>345</v>
      </c>
      <c r="H628" s="10">
        <v>183.89697305355824</v>
      </c>
    </row>
    <row r="629" spans="1:8" x14ac:dyDescent="0.2">
      <c r="A629" s="9"/>
      <c r="B629" s="24" t="s">
        <v>334</v>
      </c>
      <c r="C629" s="25">
        <v>44489</v>
      </c>
      <c r="D629" s="24" t="s">
        <v>1203</v>
      </c>
      <c r="E629" s="24" t="s">
        <v>377</v>
      </c>
      <c r="F629" s="24" t="s">
        <v>333</v>
      </c>
      <c r="G629" s="24" t="s">
        <v>335</v>
      </c>
      <c r="H629" s="10">
        <v>34.548863358604244</v>
      </c>
    </row>
    <row r="630" spans="1:8" x14ac:dyDescent="0.2">
      <c r="A630" s="9"/>
      <c r="B630" s="24" t="s">
        <v>334</v>
      </c>
      <c r="C630" s="25">
        <v>44489</v>
      </c>
      <c r="D630" s="24" t="s">
        <v>1204</v>
      </c>
      <c r="E630" s="24" t="s">
        <v>1205</v>
      </c>
      <c r="F630" s="24" t="s">
        <v>333</v>
      </c>
      <c r="G630" s="24" t="s">
        <v>345</v>
      </c>
      <c r="H630" s="10">
        <v>5565.2102897923396</v>
      </c>
    </row>
    <row r="631" spans="1:8" x14ac:dyDescent="0.2">
      <c r="A631" s="9"/>
      <c r="B631" s="24" t="s">
        <v>334</v>
      </c>
      <c r="C631" s="25">
        <v>44489</v>
      </c>
      <c r="D631" s="24" t="s">
        <v>1206</v>
      </c>
      <c r="E631" s="24" t="s">
        <v>377</v>
      </c>
      <c r="F631" s="24" t="s">
        <v>333</v>
      </c>
      <c r="G631" s="24" t="s">
        <v>335</v>
      </c>
      <c r="H631" s="10">
        <v>22.374944089818268</v>
      </c>
    </row>
    <row r="632" spans="1:8" x14ac:dyDescent="0.2">
      <c r="A632" s="9"/>
      <c r="B632" s="24" t="s">
        <v>334</v>
      </c>
      <c r="C632" s="25">
        <v>44489</v>
      </c>
      <c r="D632" s="24" t="s">
        <v>1207</v>
      </c>
      <c r="E632" s="24" t="s">
        <v>378</v>
      </c>
      <c r="F632" s="24" t="s">
        <v>333</v>
      </c>
      <c r="G632" s="24" t="s">
        <v>345</v>
      </c>
      <c r="H632" s="10">
        <v>68.436226814138138</v>
      </c>
    </row>
    <row r="633" spans="1:8" x14ac:dyDescent="0.2">
      <c r="A633" s="9"/>
      <c r="B633" s="24" t="s">
        <v>334</v>
      </c>
      <c r="C633" s="25">
        <v>44489</v>
      </c>
      <c r="D633" s="24" t="s">
        <v>1208</v>
      </c>
      <c r="E633" s="24" t="s">
        <v>344</v>
      </c>
      <c r="F633" s="24" t="s">
        <v>333</v>
      </c>
      <c r="G633" s="24" t="s">
        <v>345</v>
      </c>
      <c r="H633" s="10">
        <v>378.29670772604049</v>
      </c>
    </row>
    <row r="634" spans="1:8" x14ac:dyDescent="0.2">
      <c r="A634" s="9"/>
      <c r="B634" s="24" t="s">
        <v>334</v>
      </c>
      <c r="C634" s="25">
        <v>44489</v>
      </c>
      <c r="D634" s="24" t="s">
        <v>1209</v>
      </c>
      <c r="E634" s="24" t="s">
        <v>344</v>
      </c>
      <c r="F634" s="24" t="s">
        <v>333</v>
      </c>
      <c r="G634" s="24" t="s">
        <v>345</v>
      </c>
      <c r="H634" s="10">
        <v>104.29648471742571</v>
      </c>
    </row>
    <row r="635" spans="1:8" x14ac:dyDescent="0.2">
      <c r="A635" s="9"/>
      <c r="B635" s="24" t="s">
        <v>334</v>
      </c>
      <c r="C635" s="25">
        <v>44490</v>
      </c>
      <c r="D635" s="24" t="s">
        <v>1210</v>
      </c>
      <c r="E635" s="24" t="s">
        <v>615</v>
      </c>
      <c r="F635" s="24" t="s">
        <v>333</v>
      </c>
      <c r="G635" s="24" t="s">
        <v>345</v>
      </c>
      <c r="H635" s="10">
        <v>967.55385822423682</v>
      </c>
    </row>
    <row r="636" spans="1:8" x14ac:dyDescent="0.2">
      <c r="A636" s="9"/>
      <c r="B636" s="24" t="s">
        <v>334</v>
      </c>
      <c r="C636" s="25">
        <v>44490</v>
      </c>
      <c r="D636" s="24" t="s">
        <v>1211</v>
      </c>
      <c r="E636" s="24" t="s">
        <v>377</v>
      </c>
      <c r="F636" s="24" t="s">
        <v>333</v>
      </c>
      <c r="G636" s="24" t="s">
        <v>345</v>
      </c>
      <c r="H636" s="10">
        <v>498.38795328695306</v>
      </c>
    </row>
    <row r="637" spans="1:8" x14ac:dyDescent="0.2">
      <c r="A637" s="9"/>
      <c r="B637" s="24" t="s">
        <v>334</v>
      </c>
      <c r="C637" s="25">
        <v>44490</v>
      </c>
      <c r="D637" s="24" t="s">
        <v>1212</v>
      </c>
      <c r="E637" s="24" t="s">
        <v>377</v>
      </c>
      <c r="F637" s="24" t="s">
        <v>333</v>
      </c>
      <c r="G637" s="24" t="s">
        <v>345</v>
      </c>
      <c r="H637" s="10">
        <v>52.061202897782543</v>
      </c>
    </row>
    <row r="638" spans="1:8" x14ac:dyDescent="0.2">
      <c r="A638" s="9"/>
      <c r="B638" s="24" t="s">
        <v>334</v>
      </c>
      <c r="C638" s="25">
        <v>44490</v>
      </c>
      <c r="D638" s="24" t="s">
        <v>1213</v>
      </c>
      <c r="E638" s="24" t="s">
        <v>377</v>
      </c>
      <c r="F638" s="24" t="s">
        <v>333</v>
      </c>
      <c r="G638" s="24" t="s">
        <v>345</v>
      </c>
      <c r="H638" s="10">
        <v>89.33730269886982</v>
      </c>
    </row>
    <row r="639" spans="1:8" x14ac:dyDescent="0.2">
      <c r="A639" s="9"/>
      <c r="B639" s="24" t="s">
        <v>334</v>
      </c>
      <c r="C639" s="25">
        <v>44490</v>
      </c>
      <c r="D639" s="24" t="s">
        <v>1214</v>
      </c>
      <c r="E639" s="24" t="s">
        <v>380</v>
      </c>
      <c r="F639" s="24" t="s">
        <v>333</v>
      </c>
      <c r="G639" s="24" t="s">
        <v>345</v>
      </c>
      <c r="H639" s="10">
        <v>354.1113428488718</v>
      </c>
    </row>
    <row r="640" spans="1:8" x14ac:dyDescent="0.2">
      <c r="A640" s="9"/>
      <c r="B640" s="24" t="s">
        <v>334</v>
      </c>
      <c r="C640" s="25">
        <v>44491</v>
      </c>
      <c r="D640" s="24" t="s">
        <v>1215</v>
      </c>
      <c r="E640" s="24" t="s">
        <v>344</v>
      </c>
      <c r="F640" s="24" t="s">
        <v>333</v>
      </c>
      <c r="G640" s="24" t="s">
        <v>345</v>
      </c>
      <c r="H640" s="10">
        <v>303.46598184888893</v>
      </c>
    </row>
    <row r="641" spans="1:8" x14ac:dyDescent="0.2">
      <c r="A641" s="9"/>
      <c r="B641" s="24" t="s">
        <v>334</v>
      </c>
      <c r="C641" s="25">
        <v>44491</v>
      </c>
      <c r="D641" s="24" t="s">
        <v>1216</v>
      </c>
      <c r="E641" s="24" t="s">
        <v>377</v>
      </c>
      <c r="F641" s="24" t="s">
        <v>333</v>
      </c>
      <c r="G641" s="24" t="s">
        <v>345</v>
      </c>
      <c r="H641" s="10">
        <v>17.767655291240544</v>
      </c>
    </row>
    <row r="642" spans="1:8" x14ac:dyDescent="0.2">
      <c r="A642" s="9"/>
      <c r="B642" s="24" t="s">
        <v>334</v>
      </c>
      <c r="C642" s="25">
        <v>44491</v>
      </c>
      <c r="D642" s="24" t="s">
        <v>1217</v>
      </c>
      <c r="E642" s="24" t="s">
        <v>421</v>
      </c>
      <c r="F642" s="24" t="s">
        <v>333</v>
      </c>
      <c r="G642" s="24" t="s">
        <v>345</v>
      </c>
      <c r="H642" s="10">
        <v>45100.517944048195</v>
      </c>
    </row>
    <row r="643" spans="1:8" x14ac:dyDescent="0.2">
      <c r="A643" s="9"/>
      <c r="B643" s="24" t="s">
        <v>334</v>
      </c>
      <c r="C643" s="25">
        <v>44491</v>
      </c>
      <c r="D643" s="24" t="s">
        <v>1218</v>
      </c>
      <c r="E643" s="24" t="s">
        <v>1219</v>
      </c>
      <c r="F643" s="24" t="s">
        <v>333</v>
      </c>
      <c r="G643" s="24" t="s">
        <v>345</v>
      </c>
      <c r="H643" s="10">
        <v>3315.0197247761453</v>
      </c>
    </row>
    <row r="644" spans="1:8" x14ac:dyDescent="0.2">
      <c r="A644" s="9"/>
      <c r="B644" s="24" t="s">
        <v>334</v>
      </c>
      <c r="C644" s="25">
        <v>44491</v>
      </c>
      <c r="D644" s="24" t="s">
        <v>1220</v>
      </c>
      <c r="E644" s="24" t="s">
        <v>344</v>
      </c>
      <c r="F644" s="24" t="s">
        <v>333</v>
      </c>
      <c r="G644" s="24" t="s">
        <v>345</v>
      </c>
      <c r="H644" s="10">
        <v>1606.5279488058261</v>
      </c>
    </row>
    <row r="645" spans="1:8" x14ac:dyDescent="0.2">
      <c r="A645" s="9"/>
      <c r="B645" s="24" t="s">
        <v>334</v>
      </c>
      <c r="C645" s="25">
        <v>44495</v>
      </c>
      <c r="D645" s="24" t="s">
        <v>1221</v>
      </c>
      <c r="E645" s="24" t="s">
        <v>777</v>
      </c>
      <c r="F645" s="24" t="s">
        <v>333</v>
      </c>
      <c r="G645" s="24" t="s">
        <v>345</v>
      </c>
      <c r="H645" s="10">
        <v>573.02138971932925</v>
      </c>
    </row>
    <row r="646" spans="1:8" x14ac:dyDescent="0.2">
      <c r="A646" s="9"/>
      <c r="B646" s="24" t="s">
        <v>334</v>
      </c>
      <c r="C646" s="25">
        <v>44495</v>
      </c>
      <c r="D646" s="24" t="s">
        <v>1222</v>
      </c>
      <c r="E646" s="24" t="s">
        <v>874</v>
      </c>
      <c r="F646" s="24" t="s">
        <v>333</v>
      </c>
      <c r="G646" s="24" t="s">
        <v>345</v>
      </c>
      <c r="H646" s="10">
        <v>590.1855714147863</v>
      </c>
    </row>
    <row r="647" spans="1:8" x14ac:dyDescent="0.2">
      <c r="A647" s="9"/>
      <c r="B647" s="24" t="s">
        <v>334</v>
      </c>
      <c r="C647" s="25">
        <v>44495</v>
      </c>
      <c r="D647" s="24" t="s">
        <v>1223</v>
      </c>
      <c r="E647" s="24" t="s">
        <v>380</v>
      </c>
      <c r="F647" s="24" t="s">
        <v>333</v>
      </c>
      <c r="G647" s="24" t="s">
        <v>345</v>
      </c>
      <c r="H647" s="10">
        <v>236.07422856591452</v>
      </c>
    </row>
    <row r="648" spans="1:8" x14ac:dyDescent="0.2">
      <c r="A648" s="9"/>
      <c r="B648" s="24" t="s">
        <v>334</v>
      </c>
      <c r="C648" s="25">
        <v>44495</v>
      </c>
      <c r="D648" s="24" t="s">
        <v>1224</v>
      </c>
      <c r="E648" s="24" t="s">
        <v>421</v>
      </c>
      <c r="F648" s="24" t="s">
        <v>333</v>
      </c>
      <c r="G648" s="24" t="s">
        <v>345</v>
      </c>
      <c r="H648" s="10">
        <v>35352.922293416988</v>
      </c>
    </row>
    <row r="649" spans="1:8" x14ac:dyDescent="0.2">
      <c r="A649" s="9"/>
      <c r="B649" s="24" t="s">
        <v>334</v>
      </c>
      <c r="C649" s="25">
        <v>44496</v>
      </c>
      <c r="D649" s="24" t="s">
        <v>1225</v>
      </c>
      <c r="E649" s="24" t="s">
        <v>344</v>
      </c>
      <c r="F649" s="24" t="s">
        <v>333</v>
      </c>
      <c r="G649" s="24" t="s">
        <v>345</v>
      </c>
      <c r="H649" s="10">
        <v>317.20661141442048</v>
      </c>
    </row>
    <row r="650" spans="1:8" x14ac:dyDescent="0.2">
      <c r="A650" s="9"/>
      <c r="B650" s="24" t="s">
        <v>334</v>
      </c>
      <c r="C650" s="25">
        <v>44496</v>
      </c>
      <c r="D650" s="24" t="s">
        <v>1226</v>
      </c>
      <c r="E650" s="24" t="s">
        <v>566</v>
      </c>
      <c r="F650" s="24" t="s">
        <v>333</v>
      </c>
      <c r="G650" s="24" t="s">
        <v>345</v>
      </c>
      <c r="H650" s="10">
        <v>63.387938080180177</v>
      </c>
    </row>
    <row r="651" spans="1:8" x14ac:dyDescent="0.2">
      <c r="A651" s="9"/>
      <c r="B651" s="24" t="s">
        <v>334</v>
      </c>
      <c r="C651" s="25">
        <v>44496</v>
      </c>
      <c r="D651" s="24" t="s">
        <v>1227</v>
      </c>
      <c r="E651" s="24" t="s">
        <v>377</v>
      </c>
      <c r="F651" s="24" t="s">
        <v>333</v>
      </c>
      <c r="G651" s="24" t="s">
        <v>345</v>
      </c>
      <c r="H651" s="10">
        <v>22.154444122128151</v>
      </c>
    </row>
    <row r="652" spans="1:8" x14ac:dyDescent="0.2">
      <c r="A652" s="9"/>
      <c r="B652" s="24" t="s">
        <v>334</v>
      </c>
      <c r="C652" s="25">
        <v>44496</v>
      </c>
      <c r="D652" s="24" t="s">
        <v>1228</v>
      </c>
      <c r="E652" s="24" t="s">
        <v>378</v>
      </c>
      <c r="F652" s="24" t="s">
        <v>333</v>
      </c>
      <c r="G652" s="24" t="s">
        <v>345</v>
      </c>
      <c r="H652" s="10">
        <v>62.34346454901646</v>
      </c>
    </row>
    <row r="653" spans="1:8" x14ac:dyDescent="0.2">
      <c r="A653" s="9"/>
      <c r="B653" s="24" t="s">
        <v>334</v>
      </c>
      <c r="C653" s="25">
        <v>44497</v>
      </c>
      <c r="D653" s="24" t="s">
        <v>1229</v>
      </c>
      <c r="E653" s="24" t="s">
        <v>376</v>
      </c>
      <c r="F653" s="24" t="s">
        <v>333</v>
      </c>
      <c r="G653" s="24" t="s">
        <v>345</v>
      </c>
      <c r="H653" s="10">
        <v>3012.4125322751024</v>
      </c>
    </row>
    <row r="654" spans="1:8" x14ac:dyDescent="0.2">
      <c r="A654" s="9"/>
      <c r="B654" s="24" t="s">
        <v>334</v>
      </c>
      <c r="C654" s="25">
        <v>44497</v>
      </c>
      <c r="D654" s="24" t="s">
        <v>1230</v>
      </c>
      <c r="E654" s="24" t="s">
        <v>344</v>
      </c>
      <c r="F654" s="24" t="s">
        <v>333</v>
      </c>
      <c r="G654" s="24" t="s">
        <v>345</v>
      </c>
      <c r="H654" s="10">
        <v>177.56050029783168</v>
      </c>
    </row>
    <row r="655" spans="1:8" x14ac:dyDescent="0.2">
      <c r="A655" s="9"/>
      <c r="B655" s="24" t="s">
        <v>334</v>
      </c>
      <c r="C655" s="25">
        <v>44498</v>
      </c>
      <c r="D655" s="24" t="s">
        <v>1231</v>
      </c>
      <c r="E655" s="24" t="s">
        <v>346</v>
      </c>
      <c r="F655" s="24" t="s">
        <v>333</v>
      </c>
      <c r="G655" s="24" t="s">
        <v>345</v>
      </c>
      <c r="H655" s="10">
        <v>523.09555492970367</v>
      </c>
    </row>
    <row r="656" spans="1:8" x14ac:dyDescent="0.2">
      <c r="A656" s="9"/>
      <c r="B656" s="24" t="s">
        <v>334</v>
      </c>
      <c r="C656" s="25">
        <v>44498</v>
      </c>
      <c r="D656" s="24" t="s">
        <v>1232</v>
      </c>
      <c r="E656" s="24" t="s">
        <v>380</v>
      </c>
      <c r="F656" s="24" t="s">
        <v>333</v>
      </c>
      <c r="G656" s="24" t="s">
        <v>345</v>
      </c>
      <c r="H656" s="10">
        <v>295.09858833812183</v>
      </c>
    </row>
    <row r="657" spans="1:8" x14ac:dyDescent="0.2">
      <c r="A657" s="9"/>
      <c r="B657" s="24" t="s">
        <v>334</v>
      </c>
      <c r="C657" s="25">
        <v>44498</v>
      </c>
      <c r="D657" s="24" t="s">
        <v>1233</v>
      </c>
      <c r="E657" s="24" t="s">
        <v>344</v>
      </c>
      <c r="F657" s="24" t="s">
        <v>333</v>
      </c>
      <c r="G657" s="24" t="s">
        <v>345</v>
      </c>
      <c r="H657" s="10">
        <v>234.49591300771158</v>
      </c>
    </row>
    <row r="658" spans="1:8" x14ac:dyDescent="0.2">
      <c r="A658" s="9"/>
      <c r="B658" s="24" t="s">
        <v>982</v>
      </c>
      <c r="C658" s="25">
        <v>44500</v>
      </c>
      <c r="D658" s="24" t="s">
        <v>1234</v>
      </c>
      <c r="E658" s="24"/>
      <c r="F658" s="24" t="s">
        <v>333</v>
      </c>
      <c r="G658" s="24" t="s">
        <v>1235</v>
      </c>
      <c r="H658" s="10">
        <v>-1160.526145737462</v>
      </c>
    </row>
    <row r="659" spans="1:8" x14ac:dyDescent="0.2">
      <c r="A659" s="9"/>
      <c r="B659" s="24" t="s">
        <v>334</v>
      </c>
      <c r="C659" s="25">
        <v>44501</v>
      </c>
      <c r="D659" s="24" t="s">
        <v>1236</v>
      </c>
      <c r="E659" s="24" t="s">
        <v>1181</v>
      </c>
      <c r="F659" s="24" t="s">
        <v>333</v>
      </c>
      <c r="G659" s="24" t="s">
        <v>345</v>
      </c>
      <c r="H659" s="10">
        <v>50.288363325761495</v>
      </c>
    </row>
    <row r="660" spans="1:8" x14ac:dyDescent="0.2">
      <c r="A660" s="9"/>
      <c r="B660" s="24" t="s">
        <v>334</v>
      </c>
      <c r="C660" s="25">
        <v>44502</v>
      </c>
      <c r="D660" s="24" t="s">
        <v>1237</v>
      </c>
      <c r="E660" s="24" t="s">
        <v>379</v>
      </c>
      <c r="F660" s="24" t="s">
        <v>333</v>
      </c>
      <c r="G660" s="24" t="s">
        <v>345</v>
      </c>
      <c r="H660" s="10">
        <v>495.28561829051938</v>
      </c>
    </row>
    <row r="661" spans="1:8" x14ac:dyDescent="0.2">
      <c r="A661" s="9"/>
      <c r="B661" s="24" t="s">
        <v>334</v>
      </c>
      <c r="C661" s="25">
        <v>44502</v>
      </c>
      <c r="D661" s="24" t="s">
        <v>1238</v>
      </c>
      <c r="E661" s="24" t="s">
        <v>377</v>
      </c>
      <c r="F661" s="24" t="s">
        <v>333</v>
      </c>
      <c r="G661" s="24" t="s">
        <v>335</v>
      </c>
      <c r="H661" s="10">
        <v>18.093771378098396</v>
      </c>
    </row>
    <row r="662" spans="1:8" x14ac:dyDescent="0.2">
      <c r="A662" s="9"/>
      <c r="B662" s="24" t="s">
        <v>334</v>
      </c>
      <c r="C662" s="25">
        <v>44502</v>
      </c>
      <c r="D662" s="24" t="s">
        <v>1239</v>
      </c>
      <c r="E662" s="24" t="s">
        <v>597</v>
      </c>
      <c r="F662" s="24" t="s">
        <v>333</v>
      </c>
      <c r="G662" s="24" t="s">
        <v>345</v>
      </c>
      <c r="H662" s="10">
        <v>5187.1054941955435</v>
      </c>
    </row>
    <row r="663" spans="1:8" x14ac:dyDescent="0.2">
      <c r="A663" s="9"/>
      <c r="B663" s="24" t="s">
        <v>334</v>
      </c>
      <c r="C663" s="25">
        <v>44503</v>
      </c>
      <c r="D663" s="24" t="s">
        <v>1240</v>
      </c>
      <c r="E663" s="24" t="s">
        <v>377</v>
      </c>
      <c r="F663" s="24" t="s">
        <v>333</v>
      </c>
      <c r="G663" s="24" t="s">
        <v>345</v>
      </c>
      <c r="H663" s="10">
        <v>32.034873915321754</v>
      </c>
    </row>
    <row r="664" spans="1:8" x14ac:dyDescent="0.2">
      <c r="A664" s="9"/>
      <c r="B664" s="24" t="s">
        <v>334</v>
      </c>
      <c r="C664" s="25">
        <v>44503</v>
      </c>
      <c r="D664" s="24" t="s">
        <v>1241</v>
      </c>
      <c r="E664" s="24" t="s">
        <v>377</v>
      </c>
      <c r="F664" s="24" t="s">
        <v>333</v>
      </c>
      <c r="G664" s="24" t="s">
        <v>345</v>
      </c>
      <c r="H664" s="10">
        <v>35.879515122395624</v>
      </c>
    </row>
    <row r="665" spans="1:8" x14ac:dyDescent="0.2">
      <c r="A665" s="9"/>
      <c r="B665" s="24" t="s">
        <v>334</v>
      </c>
      <c r="C665" s="25">
        <v>44503</v>
      </c>
      <c r="D665" s="24" t="s">
        <v>1242</v>
      </c>
      <c r="E665" s="24" t="s">
        <v>377</v>
      </c>
      <c r="F665" s="24" t="s">
        <v>333</v>
      </c>
      <c r="G665" s="24" t="s">
        <v>345</v>
      </c>
      <c r="H665" s="10">
        <v>94.94096179604972</v>
      </c>
    </row>
    <row r="666" spans="1:8" x14ac:dyDescent="0.2">
      <c r="A666" s="9"/>
      <c r="B666" s="24" t="s">
        <v>334</v>
      </c>
      <c r="C666" s="25">
        <v>44503</v>
      </c>
      <c r="D666" s="24" t="s">
        <v>1243</v>
      </c>
      <c r="E666" s="24" t="s">
        <v>346</v>
      </c>
      <c r="F666" s="24" t="s">
        <v>333</v>
      </c>
      <c r="G666" s="24" t="s">
        <v>345</v>
      </c>
      <c r="H666" s="10">
        <v>32.263042532952248</v>
      </c>
    </row>
    <row r="667" spans="1:8" x14ac:dyDescent="0.2">
      <c r="A667" s="9"/>
      <c r="B667" s="24" t="s">
        <v>334</v>
      </c>
      <c r="C667" s="25">
        <v>44504</v>
      </c>
      <c r="D667" s="24" t="s">
        <v>1244</v>
      </c>
      <c r="E667" s="24" t="s">
        <v>344</v>
      </c>
      <c r="F667" s="24" t="s">
        <v>333</v>
      </c>
      <c r="G667" s="24" t="s">
        <v>345</v>
      </c>
      <c r="H667" s="10">
        <v>137.9165209267538</v>
      </c>
    </row>
    <row r="668" spans="1:8" x14ac:dyDescent="0.2">
      <c r="A668" s="9"/>
      <c r="B668" s="24" t="s">
        <v>334</v>
      </c>
      <c r="C668" s="25">
        <v>44505</v>
      </c>
      <c r="D668" s="24" t="s">
        <v>1245</v>
      </c>
      <c r="E668" s="24" t="s">
        <v>344</v>
      </c>
      <c r="F668" s="24" t="s">
        <v>333</v>
      </c>
      <c r="G668" s="24" t="s">
        <v>345</v>
      </c>
      <c r="H668" s="10">
        <v>351.04882665540083</v>
      </c>
    </row>
    <row r="669" spans="1:8" x14ac:dyDescent="0.2">
      <c r="A669" s="9"/>
      <c r="B669" s="24" t="s">
        <v>334</v>
      </c>
      <c r="C669" s="25">
        <v>44505</v>
      </c>
      <c r="D669" s="24" t="s">
        <v>1246</v>
      </c>
      <c r="E669" s="24" t="s">
        <v>379</v>
      </c>
      <c r="F669" s="24" t="s">
        <v>333</v>
      </c>
      <c r="G669" s="24" t="s">
        <v>345</v>
      </c>
      <c r="H669" s="10">
        <v>2023.2053578222597</v>
      </c>
    </row>
    <row r="670" spans="1:8" x14ac:dyDescent="0.2">
      <c r="A670" s="9"/>
      <c r="B670" s="24" t="s">
        <v>334</v>
      </c>
      <c r="C670" s="25">
        <v>44509</v>
      </c>
      <c r="D670" s="24" t="s">
        <v>1247</v>
      </c>
      <c r="E670" s="24" t="s">
        <v>910</v>
      </c>
      <c r="F670" s="24" t="s">
        <v>333</v>
      </c>
      <c r="G670" s="24" t="s">
        <v>345</v>
      </c>
      <c r="H670" s="10">
        <v>19.382924067710704</v>
      </c>
    </row>
    <row r="671" spans="1:8" x14ac:dyDescent="0.2">
      <c r="A671" s="9"/>
      <c r="B671" s="24" t="s">
        <v>334</v>
      </c>
      <c r="C671" s="25">
        <v>44509</v>
      </c>
      <c r="D671" s="24" t="s">
        <v>1248</v>
      </c>
      <c r="E671" s="24" t="s">
        <v>344</v>
      </c>
      <c r="F671" s="24" t="s">
        <v>333</v>
      </c>
      <c r="G671" s="24" t="s">
        <v>345</v>
      </c>
      <c r="H671" s="10">
        <v>537.05188374778186</v>
      </c>
    </row>
    <row r="672" spans="1:8" x14ac:dyDescent="0.2">
      <c r="A672" s="9"/>
      <c r="B672" s="24" t="s">
        <v>334</v>
      </c>
      <c r="C672" s="25">
        <v>44509</v>
      </c>
      <c r="D672" s="24" t="s">
        <v>1249</v>
      </c>
      <c r="E672" s="24" t="s">
        <v>344</v>
      </c>
      <c r="F672" s="24" t="s">
        <v>333</v>
      </c>
      <c r="G672" s="24" t="s">
        <v>345</v>
      </c>
      <c r="H672" s="10">
        <v>107.41037674955636</v>
      </c>
    </row>
    <row r="673" spans="1:8" x14ac:dyDescent="0.2">
      <c r="A673" s="9"/>
      <c r="B673" s="24" t="s">
        <v>334</v>
      </c>
      <c r="C673" s="25">
        <v>44510</v>
      </c>
      <c r="D673" s="24" t="s">
        <v>1250</v>
      </c>
      <c r="E673" s="24" t="s">
        <v>378</v>
      </c>
      <c r="F673" s="24" t="s">
        <v>333</v>
      </c>
      <c r="G673" s="24" t="s">
        <v>345</v>
      </c>
      <c r="H673" s="10">
        <v>11.146036971249769</v>
      </c>
    </row>
    <row r="674" spans="1:8" x14ac:dyDescent="0.2">
      <c r="A674" s="9"/>
      <c r="B674" s="24" t="s">
        <v>334</v>
      </c>
      <c r="C674" s="25">
        <v>44510</v>
      </c>
      <c r="D674" s="24" t="s">
        <v>1251</v>
      </c>
      <c r="E674" s="24" t="s">
        <v>777</v>
      </c>
      <c r="F674" s="24" t="s">
        <v>333</v>
      </c>
      <c r="G674" s="24" t="s">
        <v>345</v>
      </c>
      <c r="H674" s="10">
        <v>18.705341035026599</v>
      </c>
    </row>
    <row r="675" spans="1:8" x14ac:dyDescent="0.2">
      <c r="A675" s="9"/>
      <c r="B675" s="24" t="s">
        <v>334</v>
      </c>
      <c r="C675" s="25">
        <v>44510</v>
      </c>
      <c r="D675" s="24" t="s">
        <v>1252</v>
      </c>
      <c r="E675" s="24" t="s">
        <v>423</v>
      </c>
      <c r="F675" s="24" t="s">
        <v>333</v>
      </c>
      <c r="G675" s="24" t="s">
        <v>345</v>
      </c>
      <c r="H675" s="10">
        <v>6720.7864913224539</v>
      </c>
    </row>
    <row r="676" spans="1:8" x14ac:dyDescent="0.2">
      <c r="A676" s="9"/>
      <c r="B676" s="24" t="s">
        <v>334</v>
      </c>
      <c r="C676" s="25">
        <v>44510</v>
      </c>
      <c r="D676" s="24" t="s">
        <v>1253</v>
      </c>
      <c r="E676" s="24" t="s">
        <v>377</v>
      </c>
      <c r="F676" s="24" t="s">
        <v>333</v>
      </c>
      <c r="G676" s="24" t="s">
        <v>345</v>
      </c>
      <c r="H676" s="10">
        <v>73.801139372584188</v>
      </c>
    </row>
    <row r="677" spans="1:8" x14ac:dyDescent="0.2">
      <c r="A677" s="9"/>
      <c r="B677" s="24" t="s">
        <v>334</v>
      </c>
      <c r="C677" s="25">
        <v>44510</v>
      </c>
      <c r="D677" s="24" t="s">
        <v>1254</v>
      </c>
      <c r="E677" s="24" t="s">
        <v>1255</v>
      </c>
      <c r="F677" s="24" t="s">
        <v>333</v>
      </c>
      <c r="G677" s="24" t="s">
        <v>345</v>
      </c>
      <c r="H677" s="10">
        <v>299.72229611942061</v>
      </c>
    </row>
    <row r="678" spans="1:8" x14ac:dyDescent="0.2">
      <c r="A678" s="9"/>
      <c r="B678" s="24" t="s">
        <v>334</v>
      </c>
      <c r="C678" s="25">
        <v>44511</v>
      </c>
      <c r="D678" s="24" t="s">
        <v>1256</v>
      </c>
      <c r="E678" s="24" t="s">
        <v>377</v>
      </c>
      <c r="F678" s="24" t="s">
        <v>333</v>
      </c>
      <c r="G678" s="24" t="s">
        <v>345</v>
      </c>
      <c r="H678" s="10">
        <v>194.20571889619734</v>
      </c>
    </row>
    <row r="679" spans="1:8" x14ac:dyDescent="0.2">
      <c r="A679" s="9"/>
      <c r="B679" s="24" t="s">
        <v>334</v>
      </c>
      <c r="C679" s="25">
        <v>44511</v>
      </c>
      <c r="D679" s="24" t="s">
        <v>1257</v>
      </c>
      <c r="E679" s="24" t="s">
        <v>1176</v>
      </c>
      <c r="F679" s="24" t="s">
        <v>333</v>
      </c>
      <c r="G679" s="24" t="s">
        <v>345</v>
      </c>
      <c r="H679" s="10">
        <v>160.11732742220113</v>
      </c>
    </row>
    <row r="680" spans="1:8" x14ac:dyDescent="0.2">
      <c r="A680" s="9"/>
      <c r="B680" s="24" t="s">
        <v>334</v>
      </c>
      <c r="C680" s="25">
        <v>44511</v>
      </c>
      <c r="D680" s="24" t="s">
        <v>1258</v>
      </c>
      <c r="E680" s="24" t="s">
        <v>344</v>
      </c>
      <c r="F680" s="24" t="s">
        <v>333</v>
      </c>
      <c r="G680" s="24" t="s">
        <v>345</v>
      </c>
      <c r="H680" s="10">
        <v>437.43346529030691</v>
      </c>
    </row>
    <row r="681" spans="1:8" x14ac:dyDescent="0.2">
      <c r="A681" s="9"/>
      <c r="B681" s="24" t="s">
        <v>334</v>
      </c>
      <c r="C681" s="25">
        <v>44511</v>
      </c>
      <c r="D681" s="24" t="s">
        <v>1259</v>
      </c>
      <c r="E681" s="24" t="s">
        <v>344</v>
      </c>
      <c r="F681" s="24" t="s">
        <v>333</v>
      </c>
      <c r="G681" s="24" t="s">
        <v>345</v>
      </c>
      <c r="H681" s="10">
        <v>403.65310145011188</v>
      </c>
    </row>
    <row r="682" spans="1:8" x14ac:dyDescent="0.2">
      <c r="A682" s="9"/>
      <c r="B682" s="24" t="s">
        <v>334</v>
      </c>
      <c r="C682" s="25">
        <v>44512</v>
      </c>
      <c r="D682" s="24" t="s">
        <v>1260</v>
      </c>
      <c r="E682" s="24" t="s">
        <v>379</v>
      </c>
      <c r="F682" s="24" t="s">
        <v>333</v>
      </c>
      <c r="G682" s="24" t="s">
        <v>345</v>
      </c>
      <c r="H682" s="10">
        <v>2565.5849787917136</v>
      </c>
    </row>
    <row r="683" spans="1:8" x14ac:dyDescent="0.2">
      <c r="A683" s="9"/>
      <c r="B683" s="24" t="s">
        <v>334</v>
      </c>
      <c r="C683" s="25">
        <v>44512</v>
      </c>
      <c r="D683" s="24" t="s">
        <v>1261</v>
      </c>
      <c r="E683" s="24" t="s">
        <v>380</v>
      </c>
      <c r="F683" s="24" t="s">
        <v>333</v>
      </c>
      <c r="G683" s="24" t="s">
        <v>345</v>
      </c>
      <c r="H683" s="10">
        <v>116.03515049598914</v>
      </c>
    </row>
    <row r="684" spans="1:8" x14ac:dyDescent="0.2">
      <c r="A684" s="9"/>
      <c r="B684" s="24" t="s">
        <v>334</v>
      </c>
      <c r="C684" s="25">
        <v>44512</v>
      </c>
      <c r="D684" s="24" t="s">
        <v>1262</v>
      </c>
      <c r="E684" s="24" t="s">
        <v>639</v>
      </c>
      <c r="F684" s="24" t="s">
        <v>333</v>
      </c>
      <c r="G684" s="24" t="s">
        <v>345</v>
      </c>
      <c r="H684" s="10">
        <v>740.29307990214681</v>
      </c>
    </row>
    <row r="685" spans="1:8" x14ac:dyDescent="0.2">
      <c r="A685" s="9"/>
      <c r="B685" s="24" t="s">
        <v>334</v>
      </c>
      <c r="C685" s="25">
        <v>44515</v>
      </c>
      <c r="D685" s="24" t="s">
        <v>1263</v>
      </c>
      <c r="E685" s="24" t="s">
        <v>521</v>
      </c>
      <c r="F685" s="24" t="s">
        <v>333</v>
      </c>
      <c r="G685" s="24" t="s">
        <v>345</v>
      </c>
      <c r="H685" s="10">
        <v>6720.7864913224539</v>
      </c>
    </row>
    <row r="686" spans="1:8" x14ac:dyDescent="0.2">
      <c r="A686" s="9"/>
      <c r="B686" s="24" t="s">
        <v>498</v>
      </c>
      <c r="C686" s="25">
        <v>44515</v>
      </c>
      <c r="D686" s="24" t="s">
        <v>1264</v>
      </c>
      <c r="E686" s="24" t="s">
        <v>1265</v>
      </c>
      <c r="F686" s="24" t="s">
        <v>333</v>
      </c>
      <c r="G686" s="24" t="s">
        <v>501</v>
      </c>
      <c r="H686" s="10">
        <v>-2520.0767480053109</v>
      </c>
    </row>
    <row r="687" spans="1:8" x14ac:dyDescent="0.2">
      <c r="A687" s="9"/>
      <c r="B687" s="24" t="s">
        <v>334</v>
      </c>
      <c r="C687" s="25">
        <v>44516</v>
      </c>
      <c r="D687" s="24" t="s">
        <v>1266</v>
      </c>
      <c r="E687" s="24" t="s">
        <v>377</v>
      </c>
      <c r="F687" s="24" t="s">
        <v>333</v>
      </c>
      <c r="G687" s="24" t="s">
        <v>345</v>
      </c>
      <c r="H687" s="10">
        <v>92.180121522720711</v>
      </c>
    </row>
    <row r="688" spans="1:8" x14ac:dyDescent="0.2">
      <c r="A688" s="9"/>
      <c r="B688" s="24" t="s">
        <v>334</v>
      </c>
      <c r="C688" s="25">
        <v>44516</v>
      </c>
      <c r="D688" s="24" t="s">
        <v>1267</v>
      </c>
      <c r="E688" s="24" t="s">
        <v>377</v>
      </c>
      <c r="F688" s="24" t="s">
        <v>333</v>
      </c>
      <c r="G688" s="24" t="s">
        <v>345</v>
      </c>
      <c r="H688" s="10">
        <v>9.7199831110591628</v>
      </c>
    </row>
    <row r="689" spans="1:8" x14ac:dyDescent="0.2">
      <c r="A689" s="9"/>
      <c r="B689" s="24" t="s">
        <v>334</v>
      </c>
      <c r="C689" s="25">
        <v>44516</v>
      </c>
      <c r="D689" s="24" t="s">
        <v>1268</v>
      </c>
      <c r="E689" s="24" t="s">
        <v>377</v>
      </c>
      <c r="F689" s="24" t="s">
        <v>333</v>
      </c>
      <c r="G689" s="24" t="s">
        <v>345</v>
      </c>
      <c r="H689" s="10">
        <v>203.10429498378673</v>
      </c>
    </row>
    <row r="690" spans="1:8" x14ac:dyDescent="0.2">
      <c r="A690" s="9"/>
      <c r="B690" s="24" t="s">
        <v>334</v>
      </c>
      <c r="C690" s="25">
        <v>44516</v>
      </c>
      <c r="D690" s="24" t="s">
        <v>1269</v>
      </c>
      <c r="E690" s="24" t="s">
        <v>420</v>
      </c>
      <c r="F690" s="24" t="s">
        <v>333</v>
      </c>
      <c r="G690" s="24" t="s">
        <v>345</v>
      </c>
      <c r="H690" s="10">
        <v>1680.1994749383339</v>
      </c>
    </row>
    <row r="691" spans="1:8" x14ac:dyDescent="0.2">
      <c r="A691" s="9"/>
      <c r="B691" s="24" t="s">
        <v>334</v>
      </c>
      <c r="C691" s="25">
        <v>44516</v>
      </c>
      <c r="D691" s="24" t="s">
        <v>1270</v>
      </c>
      <c r="E691" s="24" t="s">
        <v>377</v>
      </c>
      <c r="F691" s="24" t="s">
        <v>333</v>
      </c>
      <c r="G691" s="24" t="s">
        <v>345</v>
      </c>
      <c r="H691" s="10">
        <v>33.689096393142854</v>
      </c>
    </row>
    <row r="692" spans="1:8" x14ac:dyDescent="0.2">
      <c r="A692" s="9"/>
      <c r="B692" s="24" t="s">
        <v>334</v>
      </c>
      <c r="C692" s="25">
        <v>44516</v>
      </c>
      <c r="D692" s="24" t="s">
        <v>1271</v>
      </c>
      <c r="E692" s="24" t="s">
        <v>377</v>
      </c>
      <c r="F692" s="24" t="s">
        <v>333</v>
      </c>
      <c r="G692" s="24" t="s">
        <v>335</v>
      </c>
      <c r="H692" s="10">
        <v>132.30357293304357</v>
      </c>
    </row>
    <row r="693" spans="1:8" x14ac:dyDescent="0.2">
      <c r="A693" s="9"/>
      <c r="B693" s="24" t="s">
        <v>334</v>
      </c>
      <c r="C693" s="25">
        <v>44516</v>
      </c>
      <c r="D693" s="24" t="s">
        <v>1272</v>
      </c>
      <c r="E693" s="24" t="s">
        <v>597</v>
      </c>
      <c r="F693" s="24" t="s">
        <v>333</v>
      </c>
      <c r="G693" s="24" t="s">
        <v>345</v>
      </c>
      <c r="H693" s="10">
        <v>2363.2108233843446</v>
      </c>
    </row>
    <row r="694" spans="1:8" x14ac:dyDescent="0.2">
      <c r="A694" s="9"/>
      <c r="B694" s="24" t="s">
        <v>334</v>
      </c>
      <c r="C694" s="25">
        <v>44516</v>
      </c>
      <c r="D694" s="24" t="s">
        <v>1273</v>
      </c>
      <c r="E694" s="24" t="s">
        <v>377</v>
      </c>
      <c r="F694" s="24" t="s">
        <v>333</v>
      </c>
      <c r="G694" s="24" t="s">
        <v>345</v>
      </c>
      <c r="H694" s="10">
        <v>61.286090695551444</v>
      </c>
    </row>
    <row r="695" spans="1:8" x14ac:dyDescent="0.2">
      <c r="A695" s="9"/>
      <c r="B695" s="24" t="s">
        <v>498</v>
      </c>
      <c r="C695" s="25">
        <v>44516</v>
      </c>
      <c r="D695" s="24" t="s">
        <v>1274</v>
      </c>
      <c r="E695" s="24" t="s">
        <v>997</v>
      </c>
      <c r="F695" s="24" t="s">
        <v>333</v>
      </c>
      <c r="G695" s="24" t="s">
        <v>501</v>
      </c>
      <c r="H695" s="10">
        <v>4096.6078115232285</v>
      </c>
    </row>
    <row r="696" spans="1:8" x14ac:dyDescent="0.2">
      <c r="A696" s="9"/>
      <c r="B696" s="24" t="s">
        <v>334</v>
      </c>
      <c r="C696" s="25">
        <v>44517</v>
      </c>
      <c r="D696" s="24" t="s">
        <v>1275</v>
      </c>
      <c r="E696" s="24" t="s">
        <v>379</v>
      </c>
      <c r="F696" s="24" t="s">
        <v>333</v>
      </c>
      <c r="G696" s="24" t="s">
        <v>345</v>
      </c>
      <c r="H696" s="10">
        <v>2662.1003040494138</v>
      </c>
    </row>
    <row r="697" spans="1:8" x14ac:dyDescent="0.2">
      <c r="A697" s="9"/>
      <c r="B697" s="24" t="s">
        <v>334</v>
      </c>
      <c r="C697" s="25">
        <v>44517</v>
      </c>
      <c r="D697" s="24" t="s">
        <v>1276</v>
      </c>
      <c r="E697" s="24" t="s">
        <v>344</v>
      </c>
      <c r="F697" s="24" t="s">
        <v>333</v>
      </c>
      <c r="G697" s="24" t="s">
        <v>345</v>
      </c>
      <c r="H697" s="10">
        <v>840.05980796108156</v>
      </c>
    </row>
    <row r="698" spans="1:8" x14ac:dyDescent="0.2">
      <c r="A698" s="9"/>
      <c r="B698" s="24" t="s">
        <v>498</v>
      </c>
      <c r="C698" s="25">
        <v>44517</v>
      </c>
      <c r="D698" s="24" t="s">
        <v>1277</v>
      </c>
      <c r="E698" s="24" t="s">
        <v>997</v>
      </c>
      <c r="F698" s="24" t="s">
        <v>333</v>
      </c>
      <c r="G698" s="24" t="s">
        <v>501</v>
      </c>
      <c r="H698" s="10">
        <v>247.44886582027377</v>
      </c>
    </row>
    <row r="699" spans="1:8" x14ac:dyDescent="0.2">
      <c r="A699" s="9"/>
      <c r="B699" s="24" t="s">
        <v>334</v>
      </c>
      <c r="C699" s="25">
        <v>44518</v>
      </c>
      <c r="D699" s="24" t="s">
        <v>1278</v>
      </c>
      <c r="E699" s="24" t="s">
        <v>711</v>
      </c>
      <c r="F699" s="24" t="s">
        <v>333</v>
      </c>
      <c r="G699" s="24" t="s">
        <v>345</v>
      </c>
      <c r="H699" s="10">
        <v>3068.9591745772341</v>
      </c>
    </row>
    <row r="700" spans="1:8" x14ac:dyDescent="0.2">
      <c r="A700" s="9"/>
      <c r="B700" s="24" t="s">
        <v>334</v>
      </c>
      <c r="C700" s="25">
        <v>44518</v>
      </c>
      <c r="D700" s="24" t="s">
        <v>1279</v>
      </c>
      <c r="E700" s="24" t="s">
        <v>377</v>
      </c>
      <c r="F700" s="24" t="s">
        <v>333</v>
      </c>
      <c r="G700" s="24" t="s">
        <v>345</v>
      </c>
      <c r="H700" s="10">
        <v>333.50265995961564</v>
      </c>
    </row>
    <row r="701" spans="1:8" x14ac:dyDescent="0.2">
      <c r="A701" s="9"/>
      <c r="B701" s="24" t="s">
        <v>334</v>
      </c>
      <c r="C701" s="25">
        <v>44518</v>
      </c>
      <c r="D701" s="24" t="s">
        <v>1280</v>
      </c>
      <c r="E701" s="24" t="s">
        <v>781</v>
      </c>
      <c r="F701" s="24" t="s">
        <v>333</v>
      </c>
      <c r="G701" s="24" t="s">
        <v>345</v>
      </c>
      <c r="H701" s="10">
        <v>28.247274862655505</v>
      </c>
    </row>
    <row r="702" spans="1:8" x14ac:dyDescent="0.2">
      <c r="A702" s="9"/>
      <c r="B702" s="24" t="s">
        <v>334</v>
      </c>
      <c r="C702" s="25">
        <v>44522</v>
      </c>
      <c r="D702" s="24" t="s">
        <v>1281</v>
      </c>
      <c r="E702" s="24" t="s">
        <v>378</v>
      </c>
      <c r="F702" s="24" t="s">
        <v>333</v>
      </c>
      <c r="G702" s="24" t="s">
        <v>345</v>
      </c>
      <c r="H702" s="10">
        <v>17.192505338457934</v>
      </c>
    </row>
    <row r="703" spans="1:8" x14ac:dyDescent="0.2">
      <c r="A703" s="9"/>
      <c r="B703" s="24" t="s">
        <v>334</v>
      </c>
      <c r="C703" s="25">
        <v>44522</v>
      </c>
      <c r="D703" s="24" t="s">
        <v>1282</v>
      </c>
      <c r="E703" s="24" t="s">
        <v>422</v>
      </c>
      <c r="F703" s="24" t="s">
        <v>333</v>
      </c>
      <c r="G703" s="24" t="s">
        <v>345</v>
      </c>
      <c r="H703" s="10">
        <v>358.70388377690404</v>
      </c>
    </row>
    <row r="704" spans="1:8" x14ac:dyDescent="0.2">
      <c r="A704" s="9"/>
      <c r="B704" s="24" t="s">
        <v>334</v>
      </c>
      <c r="C704" s="25">
        <v>44523</v>
      </c>
      <c r="D704" s="24" t="s">
        <v>1283</v>
      </c>
      <c r="E704" s="24" t="s">
        <v>377</v>
      </c>
      <c r="F704" s="24" t="s">
        <v>333</v>
      </c>
      <c r="G704" s="24" t="s">
        <v>345</v>
      </c>
      <c r="H704" s="10">
        <v>37.30556898258623</v>
      </c>
    </row>
    <row r="705" spans="1:8" x14ac:dyDescent="0.2">
      <c r="A705" s="9"/>
      <c r="B705" s="24" t="s">
        <v>334</v>
      </c>
      <c r="C705" s="25">
        <v>44523</v>
      </c>
      <c r="D705" s="24" t="s">
        <v>1284</v>
      </c>
      <c r="E705" s="24" t="s">
        <v>615</v>
      </c>
      <c r="F705" s="24" t="s">
        <v>333</v>
      </c>
      <c r="G705" s="24" t="s">
        <v>345</v>
      </c>
      <c r="H705" s="10">
        <v>16595.51355885862</v>
      </c>
    </row>
    <row r="706" spans="1:8" x14ac:dyDescent="0.2">
      <c r="A706" s="9"/>
      <c r="B706" s="24" t="s">
        <v>334</v>
      </c>
      <c r="C706" s="25">
        <v>44524</v>
      </c>
      <c r="D706" s="24" t="s">
        <v>1285</v>
      </c>
      <c r="E706" s="24" t="s">
        <v>378</v>
      </c>
      <c r="F706" s="24" t="s">
        <v>333</v>
      </c>
      <c r="G706" s="24" t="s">
        <v>345</v>
      </c>
      <c r="H706" s="10">
        <v>20.272781676469641</v>
      </c>
    </row>
    <row r="707" spans="1:8" x14ac:dyDescent="0.2">
      <c r="A707" s="9"/>
      <c r="B707" s="24" t="s">
        <v>334</v>
      </c>
      <c r="C707" s="25">
        <v>44524</v>
      </c>
      <c r="D707" s="24" t="s">
        <v>1286</v>
      </c>
      <c r="E707" s="24" t="s">
        <v>378</v>
      </c>
      <c r="F707" s="24" t="s">
        <v>333</v>
      </c>
      <c r="G707" s="24" t="s">
        <v>1011</v>
      </c>
      <c r="H707" s="10">
        <v>7.4382969347541961</v>
      </c>
    </row>
    <row r="708" spans="1:8" x14ac:dyDescent="0.2">
      <c r="A708" s="9"/>
      <c r="B708" s="24" t="s">
        <v>334</v>
      </c>
      <c r="C708" s="25">
        <v>44524</v>
      </c>
      <c r="D708" s="24" t="s">
        <v>1287</v>
      </c>
      <c r="E708" s="24" t="s">
        <v>376</v>
      </c>
      <c r="F708" s="24" t="s">
        <v>333</v>
      </c>
      <c r="G708" s="24" t="s">
        <v>345</v>
      </c>
      <c r="H708" s="10">
        <v>1764.8728489410112</v>
      </c>
    </row>
    <row r="709" spans="1:8" x14ac:dyDescent="0.2">
      <c r="A709" s="9"/>
      <c r="B709" s="24" t="s">
        <v>334</v>
      </c>
      <c r="C709" s="25">
        <v>44524</v>
      </c>
      <c r="D709" s="24" t="s">
        <v>1288</v>
      </c>
      <c r="E709" s="24" t="s">
        <v>344</v>
      </c>
      <c r="F709" s="24" t="s">
        <v>333</v>
      </c>
      <c r="G709" s="24" t="s">
        <v>345</v>
      </c>
      <c r="H709" s="10">
        <v>728.94169117502963</v>
      </c>
    </row>
    <row r="710" spans="1:8" x14ac:dyDescent="0.2">
      <c r="A710" s="9"/>
      <c r="B710" s="24" t="s">
        <v>334</v>
      </c>
      <c r="C710" s="25">
        <v>44524</v>
      </c>
      <c r="D710" s="24" t="s">
        <v>1289</v>
      </c>
      <c r="E710" s="24" t="s">
        <v>544</v>
      </c>
      <c r="F710" s="24" t="s">
        <v>333</v>
      </c>
      <c r="G710" s="24" t="s">
        <v>345</v>
      </c>
      <c r="H710" s="10">
        <v>2673.8281709956213</v>
      </c>
    </row>
    <row r="711" spans="1:8" x14ac:dyDescent="0.2">
      <c r="A711" s="9"/>
      <c r="B711" s="24" t="s">
        <v>334</v>
      </c>
      <c r="C711" s="25">
        <v>44525</v>
      </c>
      <c r="D711" s="24" t="s">
        <v>1290</v>
      </c>
      <c r="E711" s="24" t="s">
        <v>377</v>
      </c>
      <c r="F711" s="24" t="s">
        <v>333</v>
      </c>
      <c r="G711" s="24" t="s">
        <v>345</v>
      </c>
      <c r="H711" s="10">
        <v>10.119278191912533</v>
      </c>
    </row>
    <row r="712" spans="1:8" x14ac:dyDescent="0.2">
      <c r="A712" s="9"/>
      <c r="B712" s="24" t="s">
        <v>334</v>
      </c>
      <c r="C712" s="25">
        <v>44525</v>
      </c>
      <c r="D712" s="24" t="s">
        <v>1291</v>
      </c>
      <c r="E712" s="24" t="s">
        <v>350</v>
      </c>
      <c r="F712" s="24" t="s">
        <v>333</v>
      </c>
      <c r="G712" s="24" t="s">
        <v>335</v>
      </c>
      <c r="H712" s="10">
        <v>4870.8532761111319</v>
      </c>
    </row>
    <row r="713" spans="1:8" x14ac:dyDescent="0.2">
      <c r="A713" s="9"/>
      <c r="B713" s="24" t="s">
        <v>334</v>
      </c>
      <c r="C713" s="25">
        <v>44526</v>
      </c>
      <c r="D713" s="24" t="s">
        <v>1292</v>
      </c>
      <c r="E713" s="24" t="s">
        <v>422</v>
      </c>
      <c r="F713" s="24" t="s">
        <v>333</v>
      </c>
      <c r="G713" s="24" t="s">
        <v>345</v>
      </c>
      <c r="H713" s="10">
        <v>339.70884635916514</v>
      </c>
    </row>
    <row r="714" spans="1:8" x14ac:dyDescent="0.2">
      <c r="A714" s="9"/>
      <c r="B714" s="24" t="s">
        <v>334</v>
      </c>
      <c r="C714" s="25">
        <v>44526</v>
      </c>
      <c r="D714" s="24" t="s">
        <v>1293</v>
      </c>
      <c r="E714" s="24" t="s">
        <v>344</v>
      </c>
      <c r="F714" s="24" t="s">
        <v>333</v>
      </c>
      <c r="G714" s="24" t="s">
        <v>345</v>
      </c>
      <c r="H714" s="10">
        <v>600.95050511520242</v>
      </c>
    </row>
    <row r="715" spans="1:8" x14ac:dyDescent="0.2">
      <c r="A715" s="9"/>
      <c r="B715" s="24" t="s">
        <v>334</v>
      </c>
      <c r="C715" s="25">
        <v>44526</v>
      </c>
      <c r="D715" s="24" t="s">
        <v>1294</v>
      </c>
      <c r="E715" s="24" t="s">
        <v>377</v>
      </c>
      <c r="F715" s="24" t="s">
        <v>333</v>
      </c>
      <c r="G715" s="24" t="s">
        <v>345</v>
      </c>
      <c r="H715" s="10">
        <v>60.704260720593673</v>
      </c>
    </row>
    <row r="716" spans="1:8" x14ac:dyDescent="0.2">
      <c r="A716" s="9"/>
      <c r="B716" s="24" t="s">
        <v>334</v>
      </c>
      <c r="C716" s="25">
        <v>44529</v>
      </c>
      <c r="D716" s="24" t="s">
        <v>1295</v>
      </c>
      <c r="E716" s="24" t="s">
        <v>379</v>
      </c>
      <c r="F716" s="24" t="s">
        <v>333</v>
      </c>
      <c r="G716" s="24" t="s">
        <v>345</v>
      </c>
      <c r="H716" s="10">
        <v>6949.5483473587901</v>
      </c>
    </row>
    <row r="717" spans="1:8" x14ac:dyDescent="0.2">
      <c r="A717" s="9"/>
      <c r="B717" s="24" t="s">
        <v>334</v>
      </c>
      <c r="C717" s="25">
        <v>44529</v>
      </c>
      <c r="D717" s="24" t="s">
        <v>1296</v>
      </c>
      <c r="E717" s="24" t="s">
        <v>508</v>
      </c>
      <c r="F717" s="24" t="s">
        <v>333</v>
      </c>
      <c r="G717" s="24" t="s">
        <v>335</v>
      </c>
      <c r="H717" s="10">
        <v>73.059591365285073</v>
      </c>
    </row>
    <row r="718" spans="1:8" x14ac:dyDescent="0.2">
      <c r="A718" s="9"/>
      <c r="B718" s="24" t="s">
        <v>334</v>
      </c>
      <c r="C718" s="25">
        <v>44529</v>
      </c>
      <c r="D718" s="24" t="s">
        <v>1297</v>
      </c>
      <c r="E718" s="24" t="s">
        <v>1053</v>
      </c>
      <c r="F718" s="24" t="s">
        <v>333</v>
      </c>
      <c r="G718" s="24" t="s">
        <v>345</v>
      </c>
      <c r="H718" s="10">
        <v>174.94828756818342</v>
      </c>
    </row>
    <row r="719" spans="1:8" x14ac:dyDescent="0.2">
      <c r="A719" s="9"/>
      <c r="B719" s="24" t="s">
        <v>498</v>
      </c>
      <c r="C719" s="25">
        <v>44529</v>
      </c>
      <c r="D719" s="24" t="s">
        <v>1298</v>
      </c>
      <c r="E719" s="24"/>
      <c r="F719" s="24" t="s">
        <v>333</v>
      </c>
      <c r="G719" s="24" t="s">
        <v>335</v>
      </c>
      <c r="H719" s="10">
        <v>2173.0322805893256</v>
      </c>
    </row>
    <row r="720" spans="1:8" x14ac:dyDescent="0.2">
      <c r="A720" s="9"/>
      <c r="B720" s="24" t="s">
        <v>334</v>
      </c>
      <c r="C720" s="25">
        <v>44530</v>
      </c>
      <c r="D720" s="24" t="s">
        <v>1299</v>
      </c>
      <c r="E720" s="24" t="s">
        <v>344</v>
      </c>
      <c r="F720" s="24" t="s">
        <v>333</v>
      </c>
      <c r="G720" s="24" t="s">
        <v>345</v>
      </c>
      <c r="H720" s="10">
        <v>798.29354250381914</v>
      </c>
    </row>
    <row r="721" spans="1:8" x14ac:dyDescent="0.2">
      <c r="A721" s="9"/>
      <c r="B721" s="24" t="s">
        <v>334</v>
      </c>
      <c r="C721" s="25">
        <v>44531</v>
      </c>
      <c r="D721" s="24" t="s">
        <v>1300</v>
      </c>
      <c r="E721" s="24" t="s">
        <v>377</v>
      </c>
      <c r="F721" s="24" t="s">
        <v>333</v>
      </c>
      <c r="G721" s="24" t="s">
        <v>345</v>
      </c>
      <c r="H721" s="10">
        <v>18.585028836562763</v>
      </c>
    </row>
    <row r="722" spans="1:8" x14ac:dyDescent="0.2">
      <c r="A722" s="9"/>
      <c r="B722" s="24" t="s">
        <v>334</v>
      </c>
      <c r="C722" s="25">
        <v>44531</v>
      </c>
      <c r="D722" s="24" t="s">
        <v>1301</v>
      </c>
      <c r="E722" s="24" t="s">
        <v>378</v>
      </c>
      <c r="F722" s="24" t="s">
        <v>333</v>
      </c>
      <c r="G722" s="24" t="s">
        <v>345</v>
      </c>
      <c r="H722" s="10">
        <v>22.023768195245101</v>
      </c>
    </row>
    <row r="723" spans="1:8" x14ac:dyDescent="0.2">
      <c r="A723" s="9"/>
      <c r="B723" s="24" t="s">
        <v>334</v>
      </c>
      <c r="C723" s="25">
        <v>44531</v>
      </c>
      <c r="D723" s="24" t="s">
        <v>1302</v>
      </c>
      <c r="E723" s="24" t="s">
        <v>344</v>
      </c>
      <c r="F723" s="24" t="s">
        <v>333</v>
      </c>
      <c r="G723" s="24" t="s">
        <v>345</v>
      </c>
      <c r="H723" s="10">
        <v>858.20301448641521</v>
      </c>
    </row>
    <row r="724" spans="1:8" x14ac:dyDescent="0.2">
      <c r="A724" s="9"/>
      <c r="B724" s="24" t="s">
        <v>334</v>
      </c>
      <c r="C724" s="25">
        <v>44532</v>
      </c>
      <c r="D724" s="24" t="s">
        <v>1303</v>
      </c>
      <c r="E724" s="24" t="s">
        <v>377</v>
      </c>
      <c r="F724" s="24" t="s">
        <v>333</v>
      </c>
      <c r="G724" s="24" t="s">
        <v>345</v>
      </c>
      <c r="H724" s="10">
        <v>142.20997110971823</v>
      </c>
    </row>
    <row r="725" spans="1:8" x14ac:dyDescent="0.2">
      <c r="A725" s="9"/>
      <c r="B725" s="24" t="s">
        <v>334</v>
      </c>
      <c r="C725" s="25">
        <v>44532</v>
      </c>
      <c r="D725" s="24" t="s">
        <v>1304</v>
      </c>
      <c r="E725" s="24" t="s">
        <v>377</v>
      </c>
      <c r="F725" s="24" t="s">
        <v>333</v>
      </c>
      <c r="G725" s="24" t="s">
        <v>345</v>
      </c>
      <c r="H725" s="10">
        <v>71.104985554859113</v>
      </c>
    </row>
    <row r="726" spans="1:8" x14ac:dyDescent="0.2">
      <c r="A726" s="9"/>
      <c r="B726" s="24" t="s">
        <v>334</v>
      </c>
      <c r="C726" s="25">
        <v>44532</v>
      </c>
      <c r="D726" s="24" t="s">
        <v>1305</v>
      </c>
      <c r="E726" s="24" t="s">
        <v>1306</v>
      </c>
      <c r="F726" s="24" t="s">
        <v>333</v>
      </c>
      <c r="G726" s="24" t="s">
        <v>345</v>
      </c>
      <c r="H726" s="10">
        <v>2361.4204552999859</v>
      </c>
    </row>
    <row r="727" spans="1:8" x14ac:dyDescent="0.2">
      <c r="A727" s="9"/>
      <c r="B727" s="24" t="s">
        <v>334</v>
      </c>
      <c r="C727" s="25">
        <v>44532</v>
      </c>
      <c r="D727" s="24" t="s">
        <v>1307</v>
      </c>
      <c r="E727" s="24" t="s">
        <v>377</v>
      </c>
      <c r="F727" s="24" t="s">
        <v>333</v>
      </c>
      <c r="G727" s="24" t="s">
        <v>345</v>
      </c>
      <c r="H727" s="10">
        <v>35.575116062684046</v>
      </c>
    </row>
    <row r="728" spans="1:8" x14ac:dyDescent="0.2">
      <c r="A728" s="9"/>
      <c r="B728" s="24" t="s">
        <v>334</v>
      </c>
      <c r="C728" s="25">
        <v>44532</v>
      </c>
      <c r="D728" s="24" t="s">
        <v>1308</v>
      </c>
      <c r="E728" s="24" t="s">
        <v>380</v>
      </c>
      <c r="F728" s="24" t="s">
        <v>333</v>
      </c>
      <c r="G728" s="24" t="s">
        <v>345</v>
      </c>
      <c r="H728" s="10">
        <v>86.737675665711052</v>
      </c>
    </row>
    <row r="729" spans="1:8" x14ac:dyDescent="0.2">
      <c r="A729" s="9"/>
      <c r="B729" s="24" t="s">
        <v>334</v>
      </c>
      <c r="C729" s="25">
        <v>44532</v>
      </c>
      <c r="D729" s="24" t="s">
        <v>1309</v>
      </c>
      <c r="E729" s="24" t="s">
        <v>1306</v>
      </c>
      <c r="F729" s="24" t="s">
        <v>333</v>
      </c>
      <c r="G729" s="24" t="s">
        <v>345</v>
      </c>
      <c r="H729" s="10">
        <v>646.79870509393311</v>
      </c>
    </row>
    <row r="730" spans="1:8" x14ac:dyDescent="0.2">
      <c r="A730" s="9"/>
      <c r="B730" s="24" t="s">
        <v>334</v>
      </c>
      <c r="C730" s="25">
        <v>44533</v>
      </c>
      <c r="D730" s="24" t="s">
        <v>1310</v>
      </c>
      <c r="E730" s="24" t="s">
        <v>1190</v>
      </c>
      <c r="F730" s="24" t="s">
        <v>333</v>
      </c>
      <c r="G730" s="24" t="s">
        <v>345</v>
      </c>
      <c r="H730" s="10">
        <v>3303.983760063973</v>
      </c>
    </row>
    <row r="731" spans="1:8" x14ac:dyDescent="0.2">
      <c r="A731" s="9"/>
      <c r="B731" s="24" t="s">
        <v>334</v>
      </c>
      <c r="C731" s="25">
        <v>44533</v>
      </c>
      <c r="D731" s="24" t="s">
        <v>1311</v>
      </c>
      <c r="E731" s="24" t="s">
        <v>377</v>
      </c>
      <c r="F731" s="24" t="s">
        <v>333</v>
      </c>
      <c r="G731" s="24" t="s">
        <v>345</v>
      </c>
      <c r="H731" s="10">
        <v>21.084901857183805</v>
      </c>
    </row>
    <row r="732" spans="1:8" x14ac:dyDescent="0.2">
      <c r="A732" s="9"/>
      <c r="B732" s="24" t="s">
        <v>334</v>
      </c>
      <c r="C732" s="25">
        <v>44533</v>
      </c>
      <c r="D732" s="24" t="s">
        <v>1312</v>
      </c>
      <c r="E732" s="24" t="s">
        <v>344</v>
      </c>
      <c r="F732" s="24" t="s">
        <v>333</v>
      </c>
      <c r="G732" s="24" t="s">
        <v>345</v>
      </c>
      <c r="H732" s="10">
        <v>380.37660662635182</v>
      </c>
    </row>
    <row r="733" spans="1:8" x14ac:dyDescent="0.2">
      <c r="A733" s="9"/>
      <c r="B733" s="24" t="s">
        <v>334</v>
      </c>
      <c r="C733" s="25">
        <v>44533</v>
      </c>
      <c r="D733" s="24" t="s">
        <v>1313</v>
      </c>
      <c r="E733" s="24" t="s">
        <v>344</v>
      </c>
      <c r="F733" s="24" t="s">
        <v>333</v>
      </c>
      <c r="G733" s="24" t="s">
        <v>345</v>
      </c>
      <c r="H733" s="10">
        <v>475.54145604936002</v>
      </c>
    </row>
    <row r="734" spans="1:8" x14ac:dyDescent="0.2">
      <c r="A734" s="9"/>
      <c r="B734" s="24" t="s">
        <v>334</v>
      </c>
      <c r="C734" s="25">
        <v>44533</v>
      </c>
      <c r="D734" s="24" t="s">
        <v>1314</v>
      </c>
      <c r="E734" s="24" t="s">
        <v>380</v>
      </c>
      <c r="F734" s="24" t="s">
        <v>333</v>
      </c>
      <c r="G734" s="24" t="s">
        <v>345</v>
      </c>
      <c r="H734" s="10">
        <v>9.8863756562117189</v>
      </c>
    </row>
    <row r="735" spans="1:8" x14ac:dyDescent="0.2">
      <c r="A735" s="9"/>
      <c r="B735" s="24" t="s">
        <v>495</v>
      </c>
      <c r="C735" s="25">
        <v>44536</v>
      </c>
      <c r="D735" s="24" t="s">
        <v>1315</v>
      </c>
      <c r="E735" s="24"/>
      <c r="F735" s="24" t="s">
        <v>333</v>
      </c>
      <c r="G735" s="24" t="s">
        <v>1316</v>
      </c>
      <c r="H735" s="10">
        <v>0.31672599356284686</v>
      </c>
    </row>
    <row r="736" spans="1:8" x14ac:dyDescent="0.2">
      <c r="A736" s="9"/>
      <c r="B736" s="24" t="s">
        <v>334</v>
      </c>
      <c r="C736" s="25">
        <v>44536</v>
      </c>
      <c r="D736" s="24" t="s">
        <v>1317</v>
      </c>
      <c r="E736" s="24" t="s">
        <v>421</v>
      </c>
      <c r="F736" s="24" t="s">
        <v>333</v>
      </c>
      <c r="G736" s="24" t="s">
        <v>345</v>
      </c>
      <c r="H736" s="10">
        <v>34543.539501649851</v>
      </c>
    </row>
    <row r="737" spans="1:8" x14ac:dyDescent="0.2">
      <c r="A737" s="9"/>
      <c r="B737" s="24" t="s">
        <v>334</v>
      </c>
      <c r="C737" s="25">
        <v>44536</v>
      </c>
      <c r="D737" s="24" t="s">
        <v>1318</v>
      </c>
      <c r="E737" s="24" t="s">
        <v>421</v>
      </c>
      <c r="F737" s="24" t="s">
        <v>333</v>
      </c>
      <c r="G737" s="24" t="s">
        <v>345</v>
      </c>
      <c r="H737" s="10">
        <v>34543.539501649851</v>
      </c>
    </row>
    <row r="738" spans="1:8" x14ac:dyDescent="0.2">
      <c r="A738" s="9"/>
      <c r="B738" s="24" t="s">
        <v>334</v>
      </c>
      <c r="C738" s="25">
        <v>44536</v>
      </c>
      <c r="D738" s="24" t="s">
        <v>1319</v>
      </c>
      <c r="E738" s="24" t="s">
        <v>639</v>
      </c>
      <c r="F738" s="24" t="s">
        <v>333</v>
      </c>
      <c r="G738" s="24" t="s">
        <v>345</v>
      </c>
      <c r="H738" s="10">
        <v>16764.827174842336</v>
      </c>
    </row>
    <row r="739" spans="1:8" x14ac:dyDescent="0.2">
      <c r="A739" s="9"/>
      <c r="B739" s="24" t="s">
        <v>334</v>
      </c>
      <c r="C739" s="25">
        <v>44537</v>
      </c>
      <c r="D739" s="24" t="s">
        <v>1320</v>
      </c>
      <c r="E739" s="24" t="s">
        <v>5</v>
      </c>
      <c r="F739" s="24" t="s">
        <v>333</v>
      </c>
      <c r="G739" s="24" t="s">
        <v>335</v>
      </c>
      <c r="H739" s="10">
        <v>45325.87986980976</v>
      </c>
    </row>
    <row r="740" spans="1:8" x14ac:dyDescent="0.2">
      <c r="A740" s="9"/>
      <c r="B740" s="24" t="s">
        <v>334</v>
      </c>
      <c r="C740" s="25">
        <v>44537</v>
      </c>
      <c r="D740" s="24" t="s">
        <v>1321</v>
      </c>
      <c r="E740" s="24" t="s">
        <v>377</v>
      </c>
      <c r="F740" s="24" t="s">
        <v>333</v>
      </c>
      <c r="G740" s="24" t="s">
        <v>345</v>
      </c>
      <c r="H740" s="10">
        <v>25.779233547490286</v>
      </c>
    </row>
    <row r="741" spans="1:8" x14ac:dyDescent="0.2">
      <c r="A741" s="9"/>
      <c r="B741" s="24" t="s">
        <v>334</v>
      </c>
      <c r="C741" s="25">
        <v>44537</v>
      </c>
      <c r="D741" s="24" t="s">
        <v>1322</v>
      </c>
      <c r="E741" s="24" t="s">
        <v>377</v>
      </c>
      <c r="F741" s="24" t="s">
        <v>333</v>
      </c>
      <c r="G741" s="24" t="s">
        <v>345</v>
      </c>
      <c r="H741" s="10">
        <v>23.844942658231471</v>
      </c>
    </row>
    <row r="742" spans="1:8" x14ac:dyDescent="0.2">
      <c r="A742" s="9"/>
      <c r="B742" s="24" t="s">
        <v>334</v>
      </c>
      <c r="C742" s="25">
        <v>44537</v>
      </c>
      <c r="D742" s="24" t="s">
        <v>1323</v>
      </c>
      <c r="E742" s="24" t="s">
        <v>344</v>
      </c>
      <c r="F742" s="24" t="s">
        <v>333</v>
      </c>
      <c r="G742" s="24" t="s">
        <v>345</v>
      </c>
      <c r="H742" s="10">
        <v>870.69106794689321</v>
      </c>
    </row>
    <row r="743" spans="1:8" x14ac:dyDescent="0.2">
      <c r="A743" s="9"/>
      <c r="B743" s="24" t="s">
        <v>334</v>
      </c>
      <c r="C743" s="25">
        <v>44537</v>
      </c>
      <c r="D743" s="24" t="s">
        <v>1324</v>
      </c>
      <c r="E743" s="24" t="s">
        <v>377</v>
      </c>
      <c r="F743" s="24" t="s">
        <v>333</v>
      </c>
      <c r="G743" s="24" t="s">
        <v>345</v>
      </c>
      <c r="H743" s="10">
        <v>3.9364516342810965</v>
      </c>
    </row>
    <row r="744" spans="1:8" x14ac:dyDescent="0.2">
      <c r="A744" s="9"/>
      <c r="B744" s="24" t="s">
        <v>334</v>
      </c>
      <c r="C744" s="25">
        <v>44538</v>
      </c>
      <c r="D744" s="24" t="s">
        <v>1325</v>
      </c>
      <c r="E744" s="24" t="s">
        <v>566</v>
      </c>
      <c r="F744" s="24" t="s">
        <v>333</v>
      </c>
      <c r="G744" s="24" t="s">
        <v>345</v>
      </c>
      <c r="H744" s="10">
        <v>55.85689129333349</v>
      </c>
    </row>
    <row r="745" spans="1:8" x14ac:dyDescent="0.2">
      <c r="A745" s="9"/>
      <c r="B745" s="24" t="s">
        <v>334</v>
      </c>
      <c r="C745" s="25">
        <v>44538</v>
      </c>
      <c r="D745" s="24" t="s">
        <v>1326</v>
      </c>
      <c r="E745" s="24" t="s">
        <v>377</v>
      </c>
      <c r="F745" s="24" t="s">
        <v>333</v>
      </c>
      <c r="G745" s="24" t="s">
        <v>345</v>
      </c>
      <c r="H745" s="10">
        <v>30.04372281796147</v>
      </c>
    </row>
    <row r="746" spans="1:8" x14ac:dyDescent="0.2">
      <c r="A746" s="9"/>
      <c r="B746" s="24" t="s">
        <v>334</v>
      </c>
      <c r="C746" s="25">
        <v>44538</v>
      </c>
      <c r="D746" s="24" t="s">
        <v>1327</v>
      </c>
      <c r="E746" s="24" t="s">
        <v>377</v>
      </c>
      <c r="F746" s="24" t="s">
        <v>333</v>
      </c>
      <c r="G746" s="24" t="s">
        <v>335</v>
      </c>
      <c r="H746" s="10">
        <v>112.06444350811155</v>
      </c>
    </row>
    <row r="747" spans="1:8" x14ac:dyDescent="0.2">
      <c r="A747" s="9"/>
      <c r="B747" s="24" t="s">
        <v>334</v>
      </c>
      <c r="C747" s="25">
        <v>44538</v>
      </c>
      <c r="D747" s="24" t="s">
        <v>1328</v>
      </c>
      <c r="E747" s="24" t="s">
        <v>344</v>
      </c>
      <c r="F747" s="24" t="s">
        <v>333</v>
      </c>
      <c r="G747" s="24" t="s">
        <v>345</v>
      </c>
      <c r="H747" s="10">
        <v>318.78471252100536</v>
      </c>
    </row>
    <row r="748" spans="1:8" x14ac:dyDescent="0.2">
      <c r="A748" s="9"/>
      <c r="B748" s="24" t="s">
        <v>334</v>
      </c>
      <c r="C748" s="25">
        <v>44539</v>
      </c>
      <c r="D748" s="24" t="s">
        <v>1329</v>
      </c>
      <c r="E748" s="24" t="s">
        <v>344</v>
      </c>
      <c r="F748" s="24" t="s">
        <v>333</v>
      </c>
      <c r="G748" s="24" t="s">
        <v>345</v>
      </c>
      <c r="H748" s="10">
        <v>527.52976556417593</v>
      </c>
    </row>
    <row r="749" spans="1:8" x14ac:dyDescent="0.2">
      <c r="A749" s="9"/>
      <c r="B749" s="24" t="s">
        <v>425</v>
      </c>
      <c r="C749" s="25">
        <v>44540</v>
      </c>
      <c r="D749" s="24" t="s">
        <v>1330</v>
      </c>
      <c r="E749" s="24" t="s">
        <v>1331</v>
      </c>
      <c r="F749" s="24" t="s">
        <v>333</v>
      </c>
      <c r="G749" s="24" t="s">
        <v>343</v>
      </c>
      <c r="H749" s="10">
        <v>-1463.2777409641383</v>
      </c>
    </row>
    <row r="750" spans="1:8" x14ac:dyDescent="0.2">
      <c r="A750" s="9"/>
      <c r="B750" s="24" t="s">
        <v>334</v>
      </c>
      <c r="C750" s="25">
        <v>44540</v>
      </c>
      <c r="D750" s="24" t="s">
        <v>1332</v>
      </c>
      <c r="E750" s="24" t="s">
        <v>711</v>
      </c>
      <c r="F750" s="24" t="s">
        <v>333</v>
      </c>
      <c r="G750" s="24" t="s">
        <v>345</v>
      </c>
      <c r="H750" s="10">
        <v>2600.8859892823348</v>
      </c>
    </row>
    <row r="751" spans="1:8" x14ac:dyDescent="0.2">
      <c r="A751" s="9"/>
      <c r="B751" s="24" t="s">
        <v>334</v>
      </c>
      <c r="C751" s="25">
        <v>44540</v>
      </c>
      <c r="D751" s="24" t="s">
        <v>1333</v>
      </c>
      <c r="E751" s="24" t="s">
        <v>378</v>
      </c>
      <c r="F751" s="24" t="s">
        <v>333</v>
      </c>
      <c r="G751" s="24" t="s">
        <v>345</v>
      </c>
      <c r="H751" s="10">
        <v>55.223439306207794</v>
      </c>
    </row>
    <row r="752" spans="1:8" x14ac:dyDescent="0.2">
      <c r="A752" s="9"/>
      <c r="B752" s="24" t="s">
        <v>334</v>
      </c>
      <c r="C752" s="25">
        <v>44540</v>
      </c>
      <c r="D752" s="24" t="s">
        <v>1334</v>
      </c>
      <c r="E752" s="24" t="s">
        <v>344</v>
      </c>
      <c r="F752" s="24" t="s">
        <v>333</v>
      </c>
      <c r="G752" s="24" t="s">
        <v>345</v>
      </c>
      <c r="H752" s="10">
        <v>375.60309343765459</v>
      </c>
    </row>
    <row r="753" spans="1:8" x14ac:dyDescent="0.2">
      <c r="A753" s="9"/>
      <c r="B753" s="24" t="s">
        <v>334</v>
      </c>
      <c r="C753" s="25">
        <v>44540</v>
      </c>
      <c r="D753" s="24" t="s">
        <v>1335</v>
      </c>
      <c r="E753" s="24" t="s">
        <v>378</v>
      </c>
      <c r="F753" s="24" t="s">
        <v>333</v>
      </c>
      <c r="G753" s="24" t="s">
        <v>345</v>
      </c>
      <c r="H753" s="10">
        <v>4.2644892704711879</v>
      </c>
    </row>
    <row r="754" spans="1:8" x14ac:dyDescent="0.2">
      <c r="A754" s="9"/>
      <c r="B754" s="24" t="s">
        <v>334</v>
      </c>
      <c r="C754" s="25">
        <v>44540</v>
      </c>
      <c r="D754" s="24" t="s">
        <v>1336</v>
      </c>
      <c r="E754" s="24" t="s">
        <v>905</v>
      </c>
      <c r="F754" s="24" t="s">
        <v>333</v>
      </c>
      <c r="G754" s="24" t="s">
        <v>345</v>
      </c>
      <c r="H754" s="10">
        <v>4291.0263840747039</v>
      </c>
    </row>
    <row r="755" spans="1:8" x14ac:dyDescent="0.2">
      <c r="A755" s="9"/>
      <c r="B755" s="24" t="s">
        <v>334</v>
      </c>
      <c r="C755" s="25">
        <v>44540</v>
      </c>
      <c r="D755" s="24" t="s">
        <v>1337</v>
      </c>
      <c r="E755" s="24" t="s">
        <v>346</v>
      </c>
      <c r="F755" s="24" t="s">
        <v>333</v>
      </c>
      <c r="G755" s="24" t="s">
        <v>345</v>
      </c>
      <c r="H755" s="10">
        <v>5.0789275396327938</v>
      </c>
    </row>
    <row r="756" spans="1:8" x14ac:dyDescent="0.2">
      <c r="A756" s="9"/>
      <c r="B756" s="24" t="s">
        <v>929</v>
      </c>
      <c r="C756" s="25">
        <v>44543</v>
      </c>
      <c r="D756" s="24" t="s">
        <v>1338</v>
      </c>
      <c r="E756" s="24" t="s">
        <v>379</v>
      </c>
      <c r="F756" s="24" t="s">
        <v>333</v>
      </c>
      <c r="G756" s="24" t="s">
        <v>347</v>
      </c>
      <c r="H756" s="10">
        <v>-66.229667582516726</v>
      </c>
    </row>
    <row r="757" spans="1:8" x14ac:dyDescent="0.2">
      <c r="A757" s="9"/>
      <c r="B757" s="24" t="s">
        <v>334</v>
      </c>
      <c r="C757" s="25">
        <v>44543</v>
      </c>
      <c r="D757" s="24" t="s">
        <v>1339</v>
      </c>
      <c r="E757" s="24" t="s">
        <v>423</v>
      </c>
      <c r="F757" s="24" t="s">
        <v>333</v>
      </c>
      <c r="G757" s="24" t="s">
        <v>345</v>
      </c>
      <c r="H757" s="10">
        <v>4875.3292839850201</v>
      </c>
    </row>
    <row r="758" spans="1:8" x14ac:dyDescent="0.2">
      <c r="A758" s="9"/>
      <c r="B758" s="24" t="s">
        <v>334</v>
      </c>
      <c r="C758" s="25">
        <v>44543</v>
      </c>
      <c r="D758" s="24" t="s">
        <v>1340</v>
      </c>
      <c r="E758" s="24" t="s">
        <v>1341</v>
      </c>
      <c r="F758" s="24" t="s">
        <v>333</v>
      </c>
      <c r="G758" s="24" t="s">
        <v>345</v>
      </c>
      <c r="H758" s="10">
        <v>771.42741660603519</v>
      </c>
    </row>
    <row r="759" spans="1:8" x14ac:dyDescent="0.2">
      <c r="A759" s="9"/>
      <c r="B759" s="24" t="s">
        <v>334</v>
      </c>
      <c r="C759" s="25">
        <v>44544</v>
      </c>
      <c r="D759" s="24" t="s">
        <v>1342</v>
      </c>
      <c r="E759" s="24" t="s">
        <v>422</v>
      </c>
      <c r="F759" s="24" t="s">
        <v>333</v>
      </c>
      <c r="G759" s="24" t="s">
        <v>345</v>
      </c>
      <c r="H759" s="10">
        <v>778.20707782654188</v>
      </c>
    </row>
    <row r="760" spans="1:8" x14ac:dyDescent="0.2">
      <c r="A760" s="9"/>
      <c r="B760" s="24" t="s">
        <v>334</v>
      </c>
      <c r="C760" s="25">
        <v>44544</v>
      </c>
      <c r="D760" s="24" t="s">
        <v>1343</v>
      </c>
      <c r="E760" s="24" t="s">
        <v>344</v>
      </c>
      <c r="F760" s="24" t="s">
        <v>333</v>
      </c>
      <c r="G760" s="24" t="s">
        <v>345</v>
      </c>
      <c r="H760" s="10">
        <v>924.37612385579575</v>
      </c>
    </row>
    <row r="761" spans="1:8" x14ac:dyDescent="0.2">
      <c r="A761" s="9"/>
      <c r="B761" s="24" t="s">
        <v>334</v>
      </c>
      <c r="C761" s="25">
        <v>44544</v>
      </c>
      <c r="D761" s="24" t="s">
        <v>1344</v>
      </c>
      <c r="E761" s="24" t="s">
        <v>350</v>
      </c>
      <c r="F761" s="24" t="s">
        <v>333</v>
      </c>
      <c r="G761" s="24" t="s">
        <v>335</v>
      </c>
      <c r="H761" s="10">
        <v>61127.856589849012</v>
      </c>
    </row>
    <row r="762" spans="1:8" x14ac:dyDescent="0.2">
      <c r="A762" s="9"/>
      <c r="B762" s="24" t="s">
        <v>334</v>
      </c>
      <c r="C762" s="25">
        <v>44544</v>
      </c>
      <c r="D762" s="24" t="s">
        <v>1345</v>
      </c>
      <c r="E762" s="24" t="s">
        <v>1346</v>
      </c>
      <c r="F762" s="24" t="s">
        <v>333</v>
      </c>
      <c r="G762" s="24" t="s">
        <v>345</v>
      </c>
      <c r="H762" s="10">
        <v>1650.142426462432</v>
      </c>
    </row>
    <row r="763" spans="1:8" x14ac:dyDescent="0.2">
      <c r="A763" s="9"/>
      <c r="B763" s="24" t="s">
        <v>334</v>
      </c>
      <c r="C763" s="25">
        <v>44544</v>
      </c>
      <c r="D763" s="24" t="s">
        <v>1347</v>
      </c>
      <c r="E763" s="24" t="s">
        <v>1176</v>
      </c>
      <c r="F763" s="24" t="s">
        <v>333</v>
      </c>
      <c r="G763" s="24" t="s">
        <v>345</v>
      </c>
      <c r="H763" s="10">
        <v>20.259151945394954</v>
      </c>
    </row>
    <row r="764" spans="1:8" x14ac:dyDescent="0.2">
      <c r="A764" s="9"/>
      <c r="B764" s="24" t="s">
        <v>334</v>
      </c>
      <c r="C764" s="25">
        <v>44544</v>
      </c>
      <c r="D764" s="24" t="s">
        <v>1348</v>
      </c>
      <c r="E764" s="24" t="s">
        <v>376</v>
      </c>
      <c r="F764" s="24" t="s">
        <v>333</v>
      </c>
      <c r="G764" s="24" t="s">
        <v>345</v>
      </c>
      <c r="H764" s="10">
        <v>1702.1872941903841</v>
      </c>
    </row>
    <row r="765" spans="1:8" x14ac:dyDescent="0.2">
      <c r="A765" s="9"/>
      <c r="B765" s="24" t="s">
        <v>334</v>
      </c>
      <c r="C765" s="25">
        <v>44545</v>
      </c>
      <c r="D765" s="24" t="s">
        <v>1349</v>
      </c>
      <c r="E765" s="24" t="s">
        <v>711</v>
      </c>
      <c r="F765" s="24" t="s">
        <v>333</v>
      </c>
      <c r="G765" s="24" t="s">
        <v>345</v>
      </c>
      <c r="H765" s="10">
        <v>5705.5699178968862</v>
      </c>
    </row>
    <row r="766" spans="1:8" x14ac:dyDescent="0.2">
      <c r="A766" s="9"/>
      <c r="B766" s="24" t="s">
        <v>334</v>
      </c>
      <c r="C766" s="25">
        <v>44545</v>
      </c>
      <c r="D766" s="24" t="s">
        <v>1350</v>
      </c>
      <c r="E766" s="24" t="s">
        <v>344</v>
      </c>
      <c r="F766" s="24" t="s">
        <v>333</v>
      </c>
      <c r="G766" s="24" t="s">
        <v>345</v>
      </c>
      <c r="H766" s="10">
        <v>696.86505569402652</v>
      </c>
    </row>
    <row r="767" spans="1:8" x14ac:dyDescent="0.2">
      <c r="A767" s="9"/>
      <c r="B767" s="24" t="s">
        <v>929</v>
      </c>
      <c r="C767" s="25">
        <v>44546</v>
      </c>
      <c r="D767" s="24" t="s">
        <v>1351</v>
      </c>
      <c r="E767" s="24" t="s">
        <v>566</v>
      </c>
      <c r="F767" s="24" t="s">
        <v>333</v>
      </c>
      <c r="G767" s="24" t="s">
        <v>347</v>
      </c>
      <c r="H767" s="10">
        <v>-30.496188523051252</v>
      </c>
    </row>
    <row r="768" spans="1:8" x14ac:dyDescent="0.2">
      <c r="A768" s="9"/>
      <c r="B768" s="24" t="s">
        <v>334</v>
      </c>
      <c r="C768" s="25">
        <v>44546</v>
      </c>
      <c r="D768" s="24" t="s">
        <v>1352</v>
      </c>
      <c r="E768" s="24" t="s">
        <v>1255</v>
      </c>
      <c r="F768" s="24" t="s">
        <v>333</v>
      </c>
      <c r="G768" s="24" t="s">
        <v>345</v>
      </c>
      <c r="H768" s="10">
        <v>100.17590710687756</v>
      </c>
    </row>
    <row r="769" spans="1:8" x14ac:dyDescent="0.2">
      <c r="A769" s="9"/>
      <c r="B769" s="24" t="s">
        <v>334</v>
      </c>
      <c r="C769" s="25">
        <v>44546</v>
      </c>
      <c r="D769" s="24" t="s">
        <v>1353</v>
      </c>
      <c r="E769" s="24" t="s">
        <v>344</v>
      </c>
      <c r="F769" s="24" t="s">
        <v>333</v>
      </c>
      <c r="G769" s="24" t="s">
        <v>345</v>
      </c>
      <c r="H769" s="10">
        <v>938.48174221196973</v>
      </c>
    </row>
    <row r="770" spans="1:8" x14ac:dyDescent="0.2">
      <c r="A770" s="9"/>
      <c r="B770" s="24" t="s">
        <v>334</v>
      </c>
      <c r="C770" s="25">
        <v>44546</v>
      </c>
      <c r="D770" s="24" t="s">
        <v>1354</v>
      </c>
      <c r="E770" s="24" t="s">
        <v>521</v>
      </c>
      <c r="F770" s="24" t="s">
        <v>333</v>
      </c>
      <c r="G770" s="24" t="s">
        <v>345</v>
      </c>
      <c r="H770" s="10">
        <v>6500.4503569559865</v>
      </c>
    </row>
    <row r="771" spans="1:8" x14ac:dyDescent="0.2">
      <c r="A771" s="9"/>
      <c r="B771" s="24" t="s">
        <v>334</v>
      </c>
      <c r="C771" s="25">
        <v>44546</v>
      </c>
      <c r="D771" s="24" t="s">
        <v>1355</v>
      </c>
      <c r="E771" s="24" t="s">
        <v>378</v>
      </c>
      <c r="F771" s="24" t="s">
        <v>333</v>
      </c>
      <c r="G771" s="24" t="s">
        <v>345</v>
      </c>
      <c r="H771" s="10">
        <v>12.782156168786319</v>
      </c>
    </row>
    <row r="772" spans="1:8" x14ac:dyDescent="0.2">
      <c r="A772" s="9"/>
      <c r="B772" s="24" t="s">
        <v>334</v>
      </c>
      <c r="C772" s="25">
        <v>44546</v>
      </c>
      <c r="D772" s="24" t="s">
        <v>1356</v>
      </c>
      <c r="E772" s="24" t="s">
        <v>344</v>
      </c>
      <c r="F772" s="24" t="s">
        <v>333</v>
      </c>
      <c r="G772" s="24" t="s">
        <v>345</v>
      </c>
      <c r="H772" s="10">
        <v>607.5935720798127</v>
      </c>
    </row>
    <row r="773" spans="1:8" x14ac:dyDescent="0.2">
      <c r="A773" s="9"/>
      <c r="B773" s="24" t="s">
        <v>334</v>
      </c>
      <c r="C773" s="25">
        <v>44547</v>
      </c>
      <c r="D773" s="24" t="s">
        <v>1357</v>
      </c>
      <c r="E773" s="24" t="s">
        <v>1181</v>
      </c>
      <c r="F773" s="24" t="s">
        <v>333</v>
      </c>
      <c r="G773" s="24" t="s">
        <v>345</v>
      </c>
      <c r="H773" s="10">
        <v>44.409508954562028</v>
      </c>
    </row>
    <row r="774" spans="1:8" x14ac:dyDescent="0.2">
      <c r="A774" s="9"/>
      <c r="B774" s="24" t="s">
        <v>334</v>
      </c>
      <c r="C774" s="25">
        <v>44547</v>
      </c>
      <c r="D774" s="24" t="s">
        <v>1358</v>
      </c>
      <c r="E774" s="24" t="s">
        <v>344</v>
      </c>
      <c r="F774" s="24" t="s">
        <v>333</v>
      </c>
      <c r="G774" s="24" t="s">
        <v>345</v>
      </c>
      <c r="H774" s="10">
        <v>969.65662929265557</v>
      </c>
    </row>
    <row r="775" spans="1:8" x14ac:dyDescent="0.2">
      <c r="A775" s="9"/>
      <c r="B775" s="24" t="s">
        <v>334</v>
      </c>
      <c r="C775" s="25">
        <v>44547</v>
      </c>
      <c r="D775" s="24" t="s">
        <v>1359</v>
      </c>
      <c r="E775" s="24" t="s">
        <v>1053</v>
      </c>
      <c r="F775" s="24" t="s">
        <v>333</v>
      </c>
      <c r="G775" s="24" t="s">
        <v>345</v>
      </c>
      <c r="H775" s="10">
        <v>575.2535858085206</v>
      </c>
    </row>
    <row r="776" spans="1:8" x14ac:dyDescent="0.2">
      <c r="A776" s="9"/>
      <c r="B776" s="24" t="s">
        <v>334</v>
      </c>
      <c r="C776" s="25">
        <v>44547</v>
      </c>
      <c r="D776" s="24" t="s">
        <v>1360</v>
      </c>
      <c r="E776" s="24" t="s">
        <v>424</v>
      </c>
      <c r="F776" s="24" t="s">
        <v>333</v>
      </c>
      <c r="G776" s="24" t="s">
        <v>345</v>
      </c>
      <c r="H776" s="10">
        <v>46.717084050519908</v>
      </c>
    </row>
    <row r="777" spans="1:8" x14ac:dyDescent="0.2">
      <c r="A777" s="9"/>
      <c r="B777" s="24" t="s">
        <v>334</v>
      </c>
      <c r="C777" s="25">
        <v>44547</v>
      </c>
      <c r="D777" s="24" t="s">
        <v>1361</v>
      </c>
      <c r="E777" s="24" t="s">
        <v>508</v>
      </c>
      <c r="F777" s="24" t="s">
        <v>333</v>
      </c>
      <c r="G777" s="24" t="s">
        <v>345</v>
      </c>
      <c r="H777" s="10">
        <v>43.742122039554594</v>
      </c>
    </row>
    <row r="778" spans="1:8" x14ac:dyDescent="0.2">
      <c r="A778" s="9"/>
      <c r="B778" s="24" t="s">
        <v>334</v>
      </c>
      <c r="C778" s="25">
        <v>44547</v>
      </c>
      <c r="D778" s="24" t="s">
        <v>1362</v>
      </c>
      <c r="E778" s="24" t="s">
        <v>680</v>
      </c>
      <c r="F778" s="24" t="s">
        <v>333</v>
      </c>
      <c r="G778" s="24" t="s">
        <v>345</v>
      </c>
      <c r="H778" s="10">
        <v>340.05060066022509</v>
      </c>
    </row>
    <row r="779" spans="1:8" x14ac:dyDescent="0.2">
      <c r="A779" s="9"/>
      <c r="B779" s="24" t="s">
        <v>929</v>
      </c>
      <c r="C779" s="25">
        <v>44550</v>
      </c>
      <c r="D779" s="24" t="s">
        <v>1363</v>
      </c>
      <c r="E779" s="24" t="s">
        <v>585</v>
      </c>
      <c r="F779" s="24" t="s">
        <v>333</v>
      </c>
      <c r="G779" s="24" t="s">
        <v>347</v>
      </c>
      <c r="H779" s="10">
        <v>-269.59267564766196</v>
      </c>
    </row>
    <row r="780" spans="1:8" x14ac:dyDescent="0.2">
      <c r="A780" s="9"/>
      <c r="B780" s="24" t="s">
        <v>929</v>
      </c>
      <c r="C780" s="25">
        <v>44550</v>
      </c>
      <c r="D780" s="24" t="s">
        <v>1364</v>
      </c>
      <c r="E780" s="24" t="s">
        <v>585</v>
      </c>
      <c r="F780" s="24" t="s">
        <v>333</v>
      </c>
      <c r="G780" s="24" t="s">
        <v>347</v>
      </c>
      <c r="H780" s="10">
        <v>-2422.8205851359057</v>
      </c>
    </row>
    <row r="781" spans="1:8" x14ac:dyDescent="0.2">
      <c r="A781" s="9"/>
      <c r="B781" s="24" t="s">
        <v>929</v>
      </c>
      <c r="C781" s="25">
        <v>44550</v>
      </c>
      <c r="D781" s="24" t="s">
        <v>1365</v>
      </c>
      <c r="E781" s="24" t="s">
        <v>585</v>
      </c>
      <c r="F781" s="24" t="s">
        <v>333</v>
      </c>
      <c r="G781" s="24" t="s">
        <v>347</v>
      </c>
      <c r="H781" s="10">
        <v>-807.57339984822534</v>
      </c>
    </row>
    <row r="782" spans="1:8" x14ac:dyDescent="0.2">
      <c r="A782" s="9"/>
      <c r="B782" s="24" t="s">
        <v>929</v>
      </c>
      <c r="C782" s="25">
        <v>44550</v>
      </c>
      <c r="D782" s="24" t="s">
        <v>1366</v>
      </c>
      <c r="E782" s="24" t="s">
        <v>585</v>
      </c>
      <c r="F782" s="24" t="s">
        <v>333</v>
      </c>
      <c r="G782" s="24" t="s">
        <v>347</v>
      </c>
      <c r="H782" s="10">
        <v>-62.848550509382335</v>
      </c>
    </row>
    <row r="783" spans="1:8" x14ac:dyDescent="0.2">
      <c r="A783" s="9"/>
      <c r="B783" s="24" t="s">
        <v>334</v>
      </c>
      <c r="C783" s="25">
        <v>44551</v>
      </c>
      <c r="D783" s="24" t="s">
        <v>1367</v>
      </c>
      <c r="E783" s="24" t="s">
        <v>510</v>
      </c>
      <c r="F783" s="24" t="s">
        <v>333</v>
      </c>
      <c r="G783" s="24" t="s">
        <v>345</v>
      </c>
      <c r="H783" s="10">
        <v>94.169424871810719</v>
      </c>
    </row>
    <row r="784" spans="1:8" x14ac:dyDescent="0.2">
      <c r="A784" s="9"/>
      <c r="B784" s="24" t="s">
        <v>334</v>
      </c>
      <c r="C784" s="25">
        <v>44551</v>
      </c>
      <c r="D784" s="24" t="s">
        <v>1368</v>
      </c>
      <c r="E784" s="24" t="s">
        <v>1306</v>
      </c>
      <c r="F784" s="24" t="s">
        <v>333</v>
      </c>
      <c r="G784" s="24" t="s">
        <v>345</v>
      </c>
      <c r="H784" s="10">
        <v>316.32216836524833</v>
      </c>
    </row>
    <row r="785" spans="1:8" x14ac:dyDescent="0.2">
      <c r="A785" s="9"/>
      <c r="B785" s="24" t="s">
        <v>334</v>
      </c>
      <c r="C785" s="25">
        <v>44551</v>
      </c>
      <c r="D785" s="24" t="s">
        <v>1369</v>
      </c>
      <c r="E785" s="24" t="s">
        <v>344</v>
      </c>
      <c r="F785" s="24" t="s">
        <v>333</v>
      </c>
      <c r="G785" s="24" t="s">
        <v>345</v>
      </c>
      <c r="H785" s="10">
        <v>677.55608172932011</v>
      </c>
    </row>
    <row r="786" spans="1:8" x14ac:dyDescent="0.2">
      <c r="A786" s="9"/>
      <c r="B786" s="24" t="s">
        <v>334</v>
      </c>
      <c r="C786" s="25">
        <v>44551</v>
      </c>
      <c r="D786" s="24" t="s">
        <v>1370</v>
      </c>
      <c r="E786" s="24" t="s">
        <v>1306</v>
      </c>
      <c r="F786" s="24" t="s">
        <v>333</v>
      </c>
      <c r="G786" s="24" t="s">
        <v>345</v>
      </c>
      <c r="H786" s="10">
        <v>2806.6090412071185</v>
      </c>
    </row>
    <row r="787" spans="1:8" x14ac:dyDescent="0.2">
      <c r="A787" s="9"/>
      <c r="B787" s="24" t="s">
        <v>334</v>
      </c>
      <c r="C787" s="25">
        <v>44551</v>
      </c>
      <c r="D787" s="24" t="s">
        <v>1371</v>
      </c>
      <c r="E787" s="24" t="s">
        <v>1306</v>
      </c>
      <c r="F787" s="24" t="s">
        <v>333</v>
      </c>
      <c r="G787" s="24" t="s">
        <v>345</v>
      </c>
      <c r="H787" s="10">
        <v>461.13555411396317</v>
      </c>
    </row>
    <row r="788" spans="1:8" x14ac:dyDescent="0.2">
      <c r="A788" s="9"/>
      <c r="B788" s="24" t="s">
        <v>929</v>
      </c>
      <c r="C788" s="25">
        <v>44552</v>
      </c>
      <c r="D788" s="24" t="s">
        <v>1372</v>
      </c>
      <c r="E788" s="24" t="s">
        <v>711</v>
      </c>
      <c r="F788" s="24" t="s">
        <v>333</v>
      </c>
      <c r="G788" s="24" t="s">
        <v>347</v>
      </c>
      <c r="H788" s="10">
        <v>-166.06622541057695</v>
      </c>
    </row>
    <row r="789" spans="1:8" x14ac:dyDescent="0.2">
      <c r="A789" s="9"/>
      <c r="B789" s="24" t="s">
        <v>929</v>
      </c>
      <c r="C789" s="25">
        <v>44552</v>
      </c>
      <c r="D789" s="24" t="s">
        <v>1373</v>
      </c>
      <c r="E789" s="24" t="s">
        <v>874</v>
      </c>
      <c r="F789" s="24" t="s">
        <v>333</v>
      </c>
      <c r="G789" s="24" t="s">
        <v>347</v>
      </c>
      <c r="H789" s="10">
        <v>-862.87472289146729</v>
      </c>
    </row>
    <row r="790" spans="1:8" x14ac:dyDescent="0.2">
      <c r="A790" s="9"/>
      <c r="B790" s="24" t="s">
        <v>334</v>
      </c>
      <c r="C790" s="25">
        <v>44552</v>
      </c>
      <c r="D790" s="24" t="s">
        <v>1374</v>
      </c>
      <c r="E790" s="24" t="s">
        <v>377</v>
      </c>
      <c r="F790" s="24" t="s">
        <v>333</v>
      </c>
      <c r="G790" s="24" t="s">
        <v>345</v>
      </c>
      <c r="H790" s="10">
        <v>19.003559613770811</v>
      </c>
    </row>
    <row r="791" spans="1:8" x14ac:dyDescent="0.2">
      <c r="A791" s="9"/>
      <c r="B791" s="24" t="s">
        <v>334</v>
      </c>
      <c r="C791" s="25">
        <v>44552</v>
      </c>
      <c r="D791" s="24" t="s">
        <v>1375</v>
      </c>
      <c r="E791" s="24" t="s">
        <v>1376</v>
      </c>
      <c r="F791" s="24" t="s">
        <v>333</v>
      </c>
      <c r="G791" s="24" t="s">
        <v>345</v>
      </c>
      <c r="H791" s="10">
        <v>56.716576133004075</v>
      </c>
    </row>
    <row r="792" spans="1:8" x14ac:dyDescent="0.2">
      <c r="A792" s="9"/>
      <c r="B792" s="24" t="s">
        <v>334</v>
      </c>
      <c r="C792" s="25">
        <v>44552</v>
      </c>
      <c r="D792" s="24" t="s">
        <v>1377</v>
      </c>
      <c r="E792" s="24" t="s">
        <v>1376</v>
      </c>
      <c r="F792" s="24" t="s">
        <v>333</v>
      </c>
      <c r="G792" s="24" t="s">
        <v>345</v>
      </c>
      <c r="H792" s="10">
        <v>37.249239171516237</v>
      </c>
    </row>
    <row r="793" spans="1:8" x14ac:dyDescent="0.2">
      <c r="A793" s="9"/>
      <c r="B793" s="24" t="s">
        <v>334</v>
      </c>
      <c r="C793" s="25">
        <v>44552</v>
      </c>
      <c r="D793" s="24" t="s">
        <v>1378</v>
      </c>
      <c r="E793" s="24" t="s">
        <v>606</v>
      </c>
      <c r="F793" s="24" t="s">
        <v>333</v>
      </c>
      <c r="G793" s="24" t="s">
        <v>345</v>
      </c>
      <c r="H793" s="10">
        <v>39.296646487047497</v>
      </c>
    </row>
    <row r="794" spans="1:8" x14ac:dyDescent="0.2">
      <c r="A794" s="9"/>
      <c r="B794" s="24" t="s">
        <v>334</v>
      </c>
      <c r="C794" s="25">
        <v>44552</v>
      </c>
      <c r="D794" s="24" t="s">
        <v>1379</v>
      </c>
      <c r="E794" s="24" t="s">
        <v>346</v>
      </c>
      <c r="F794" s="24" t="s">
        <v>333</v>
      </c>
      <c r="G794" s="24" t="s">
        <v>345</v>
      </c>
      <c r="H794" s="10">
        <v>51.581090380235054</v>
      </c>
    </row>
    <row r="795" spans="1:8" x14ac:dyDescent="0.2">
      <c r="A795" s="9"/>
      <c r="B795" s="24" t="s">
        <v>334</v>
      </c>
      <c r="C795" s="25">
        <v>44552</v>
      </c>
      <c r="D795" s="24" t="s">
        <v>1380</v>
      </c>
      <c r="E795" s="24" t="s">
        <v>504</v>
      </c>
      <c r="F795" s="24" t="s">
        <v>333</v>
      </c>
      <c r="G795" s="24" t="s">
        <v>345</v>
      </c>
      <c r="H795" s="10">
        <v>64.284065050630659</v>
      </c>
    </row>
    <row r="796" spans="1:8" x14ac:dyDescent="0.2">
      <c r="A796" s="9"/>
      <c r="B796" s="24" t="s">
        <v>334</v>
      </c>
      <c r="C796" s="25">
        <v>44552</v>
      </c>
      <c r="D796" s="24" t="s">
        <v>1381</v>
      </c>
      <c r="E796" s="24" t="s">
        <v>781</v>
      </c>
      <c r="F796" s="24" t="s">
        <v>333</v>
      </c>
      <c r="G796" s="24" t="s">
        <v>345</v>
      </c>
      <c r="H796" s="10">
        <v>32.498349268073532</v>
      </c>
    </row>
    <row r="797" spans="1:8" x14ac:dyDescent="0.2">
      <c r="A797" s="9"/>
      <c r="B797" s="24" t="s">
        <v>334</v>
      </c>
      <c r="C797" s="25">
        <v>44552</v>
      </c>
      <c r="D797" s="24" t="s">
        <v>1382</v>
      </c>
      <c r="E797" s="24" t="s">
        <v>377</v>
      </c>
      <c r="F797" s="24" t="s">
        <v>333</v>
      </c>
      <c r="G797" s="24" t="s">
        <v>345</v>
      </c>
      <c r="H797" s="10">
        <v>33.867058025970124</v>
      </c>
    </row>
    <row r="798" spans="1:8" x14ac:dyDescent="0.2">
      <c r="A798" s="9"/>
      <c r="B798" s="24" t="s">
        <v>334</v>
      </c>
      <c r="C798" s="25">
        <v>44552</v>
      </c>
      <c r="D798" s="24" t="s">
        <v>1383</v>
      </c>
      <c r="E798" s="24" t="s">
        <v>381</v>
      </c>
      <c r="F798" s="24" t="s">
        <v>333</v>
      </c>
      <c r="G798" s="24" t="s">
        <v>345</v>
      </c>
      <c r="H798" s="10">
        <v>10.157855079265588</v>
      </c>
    </row>
    <row r="799" spans="1:8" x14ac:dyDescent="0.2">
      <c r="A799" s="9"/>
      <c r="B799" s="24" t="s">
        <v>334</v>
      </c>
      <c r="C799" s="25">
        <v>44552</v>
      </c>
      <c r="D799" s="24" t="s">
        <v>1384</v>
      </c>
      <c r="E799" s="24" t="s">
        <v>377</v>
      </c>
      <c r="F799" s="24" t="s">
        <v>333</v>
      </c>
      <c r="G799" s="24" t="s">
        <v>345</v>
      </c>
      <c r="H799" s="10">
        <v>22.442298972453148</v>
      </c>
    </row>
    <row r="800" spans="1:8" x14ac:dyDescent="0.2">
      <c r="A800" s="9"/>
      <c r="B800" s="24" t="s">
        <v>334</v>
      </c>
      <c r="C800" s="25">
        <v>44552</v>
      </c>
      <c r="D800" s="24" t="s">
        <v>1385</v>
      </c>
      <c r="E800" s="24" t="s">
        <v>378</v>
      </c>
      <c r="F800" s="24" t="s">
        <v>333</v>
      </c>
      <c r="G800" s="24" t="s">
        <v>345</v>
      </c>
      <c r="H800" s="10">
        <v>15.180224405762159</v>
      </c>
    </row>
    <row r="801" spans="1:8" x14ac:dyDescent="0.2">
      <c r="A801" s="9"/>
      <c r="B801" s="24" t="s">
        <v>334</v>
      </c>
      <c r="C801" s="25">
        <v>44552</v>
      </c>
      <c r="D801" s="24" t="s">
        <v>1386</v>
      </c>
      <c r="E801" s="24" t="s">
        <v>1176</v>
      </c>
      <c r="F801" s="24" t="s">
        <v>333</v>
      </c>
      <c r="G801" s="24" t="s">
        <v>345</v>
      </c>
      <c r="H801" s="10">
        <v>7.624047130762813</v>
      </c>
    </row>
    <row r="802" spans="1:8" x14ac:dyDescent="0.2">
      <c r="A802" s="9"/>
      <c r="B802" s="24" t="s">
        <v>334</v>
      </c>
      <c r="C802" s="25">
        <v>44552</v>
      </c>
      <c r="D802" s="24" t="s">
        <v>1387</v>
      </c>
      <c r="E802" s="24" t="s">
        <v>377</v>
      </c>
      <c r="F802" s="24" t="s">
        <v>333</v>
      </c>
      <c r="G802" s="24" t="s">
        <v>335</v>
      </c>
      <c r="H802" s="10">
        <v>546.53332517794672</v>
      </c>
    </row>
    <row r="803" spans="1:8" x14ac:dyDescent="0.2">
      <c r="A803" s="9"/>
      <c r="B803" s="24" t="s">
        <v>334</v>
      </c>
      <c r="C803" s="25">
        <v>44552</v>
      </c>
      <c r="D803" s="24" t="s">
        <v>1388</v>
      </c>
      <c r="E803" s="24" t="s">
        <v>506</v>
      </c>
      <c r="F803" s="24" t="s">
        <v>333</v>
      </c>
      <c r="G803" s="24" t="s">
        <v>345</v>
      </c>
      <c r="H803" s="10">
        <v>227.56762637490544</v>
      </c>
    </row>
    <row r="804" spans="1:8" x14ac:dyDescent="0.2">
      <c r="A804" s="9"/>
      <c r="B804" s="24" t="s">
        <v>334</v>
      </c>
      <c r="C804" s="25">
        <v>44553</v>
      </c>
      <c r="D804" s="24" t="s">
        <v>1389</v>
      </c>
      <c r="E804" s="24" t="s">
        <v>346</v>
      </c>
      <c r="F804" s="24" t="s">
        <v>333</v>
      </c>
      <c r="G804" s="24" t="s">
        <v>345</v>
      </c>
      <c r="H804" s="10">
        <v>355.25344835124173</v>
      </c>
    </row>
    <row r="805" spans="1:8" x14ac:dyDescent="0.2">
      <c r="A805" s="9"/>
      <c r="B805" s="24" t="s">
        <v>334</v>
      </c>
      <c r="C805" s="25">
        <v>44560</v>
      </c>
      <c r="D805" s="24" t="s">
        <v>1390</v>
      </c>
      <c r="E805" s="24" t="s">
        <v>346</v>
      </c>
      <c r="F805" s="24" t="s">
        <v>333</v>
      </c>
      <c r="G805" s="24" t="s">
        <v>345</v>
      </c>
      <c r="H805" s="10">
        <v>9.3886633806129591</v>
      </c>
    </row>
    <row r="806" spans="1:8" x14ac:dyDescent="0.2">
      <c r="A806" s="9"/>
      <c r="B806" s="24" t="s">
        <v>334</v>
      </c>
      <c r="C806" s="25">
        <v>44560</v>
      </c>
      <c r="D806" s="24" t="s">
        <v>1391</v>
      </c>
      <c r="E806" s="24" t="s">
        <v>346</v>
      </c>
      <c r="F806" s="24" t="s">
        <v>333</v>
      </c>
      <c r="G806" s="24" t="s">
        <v>345</v>
      </c>
      <c r="H806" s="10">
        <v>120.85358982948055</v>
      </c>
    </row>
    <row r="807" spans="1:8" x14ac:dyDescent="0.2">
      <c r="A807" s="9"/>
      <c r="B807" s="24" t="s">
        <v>334</v>
      </c>
      <c r="C807" s="25">
        <v>44560</v>
      </c>
      <c r="D807" s="24" t="s">
        <v>1392</v>
      </c>
      <c r="E807" s="24" t="s">
        <v>377</v>
      </c>
      <c r="F807" s="24" t="s">
        <v>333</v>
      </c>
      <c r="G807" s="24" t="s">
        <v>345</v>
      </c>
      <c r="H807" s="10">
        <v>182.41154900694528</v>
      </c>
    </row>
    <row r="808" spans="1:8" x14ac:dyDescent="0.2">
      <c r="A808" s="9"/>
      <c r="B808" s="24" t="s">
        <v>334</v>
      </c>
      <c r="C808" s="25">
        <v>44560</v>
      </c>
      <c r="D808" s="24" t="s">
        <v>1393</v>
      </c>
      <c r="E808" s="24" t="s">
        <v>643</v>
      </c>
      <c r="F808" s="24" t="s">
        <v>333</v>
      </c>
      <c r="G808" s="24" t="s">
        <v>345</v>
      </c>
      <c r="H808" s="10">
        <v>41.117820950033867</v>
      </c>
    </row>
    <row r="809" spans="1:8" x14ac:dyDescent="0.2">
      <c r="A809" s="9"/>
      <c r="B809" s="24" t="s">
        <v>334</v>
      </c>
      <c r="C809" s="25">
        <v>44560</v>
      </c>
      <c r="D809" s="24" t="s">
        <v>1394</v>
      </c>
      <c r="E809" s="24" t="s">
        <v>377</v>
      </c>
      <c r="F809" s="24" t="s">
        <v>333</v>
      </c>
      <c r="G809" s="24" t="s">
        <v>345</v>
      </c>
      <c r="H809" s="10">
        <v>34.421328514705102</v>
      </c>
    </row>
    <row r="810" spans="1:8" x14ac:dyDescent="0.2">
      <c r="A810" s="9"/>
      <c r="B810" s="24" t="s">
        <v>334</v>
      </c>
      <c r="C810" s="25">
        <v>44560</v>
      </c>
      <c r="D810" s="24" t="s">
        <v>1395</v>
      </c>
      <c r="E810" s="24" t="s">
        <v>346</v>
      </c>
      <c r="F810" s="24" t="s">
        <v>333</v>
      </c>
      <c r="G810" s="24" t="s">
        <v>345</v>
      </c>
      <c r="H810" s="10">
        <v>890.32807954778968</v>
      </c>
    </row>
    <row r="811" spans="1:8" x14ac:dyDescent="0.2">
      <c r="A811" s="9"/>
      <c r="B811" s="24" t="s">
        <v>334</v>
      </c>
      <c r="C811" s="25">
        <v>44560</v>
      </c>
      <c r="D811" s="24" t="s">
        <v>1396</v>
      </c>
      <c r="E811" s="24" t="s">
        <v>377</v>
      </c>
      <c r="F811" s="24" t="s">
        <v>333</v>
      </c>
      <c r="G811" s="24" t="s">
        <v>345</v>
      </c>
      <c r="H811" s="10">
        <v>33.889681311224614</v>
      </c>
    </row>
    <row r="812" spans="1:8" x14ac:dyDescent="0.2">
      <c r="A812" s="9"/>
      <c r="B812" s="24" t="s">
        <v>334</v>
      </c>
      <c r="C812" s="25">
        <v>44560</v>
      </c>
      <c r="D812" s="24" t="s">
        <v>1397</v>
      </c>
      <c r="E812" s="24" t="s">
        <v>378</v>
      </c>
      <c r="F812" s="24" t="s">
        <v>333</v>
      </c>
      <c r="G812" s="24" t="s">
        <v>707</v>
      </c>
      <c r="H812" s="10">
        <v>9.5696496626488727</v>
      </c>
    </row>
    <row r="813" spans="1:8" x14ac:dyDescent="0.2">
      <c r="A813" s="9"/>
      <c r="B813" s="24" t="s">
        <v>334</v>
      </c>
      <c r="C813" s="25">
        <v>44560</v>
      </c>
      <c r="D813" s="24" t="s">
        <v>1398</v>
      </c>
      <c r="E813" s="24" t="s">
        <v>346</v>
      </c>
      <c r="F813" s="24" t="s">
        <v>333</v>
      </c>
      <c r="G813" s="24" t="s">
        <v>345</v>
      </c>
      <c r="H813" s="10">
        <v>376.21392213952583</v>
      </c>
    </row>
    <row r="814" spans="1:8" x14ac:dyDescent="0.2">
      <c r="A814" s="9"/>
      <c r="B814" s="24" t="s">
        <v>334</v>
      </c>
      <c r="C814" s="25">
        <v>44561</v>
      </c>
      <c r="D814" s="24" t="s">
        <v>1399</v>
      </c>
      <c r="E814" s="24" t="s">
        <v>1306</v>
      </c>
      <c r="F814" s="24" t="s">
        <v>333</v>
      </c>
      <c r="G814" s="24" t="s">
        <v>345</v>
      </c>
      <c r="H814" s="10">
        <v>30392.210991255066</v>
      </c>
    </row>
    <row r="815" spans="1:8" ht="10.5" x14ac:dyDescent="0.25">
      <c r="A815" s="11" t="s">
        <v>348</v>
      </c>
      <c r="B815" s="26"/>
      <c r="C815" s="27"/>
      <c r="D815" s="26"/>
      <c r="E815" s="26"/>
      <c r="F815" s="26"/>
      <c r="G815" s="26"/>
      <c r="H815" s="12">
        <f>SUM(H12:H814)</f>
        <v>2180247.6557504158</v>
      </c>
    </row>
    <row r="816" spans="1:8" ht="10.5" x14ac:dyDescent="0.25">
      <c r="A816" s="13" t="s">
        <v>234</v>
      </c>
      <c r="B816" s="26"/>
      <c r="C816" s="27"/>
      <c r="D816" s="26"/>
      <c r="E816" s="26"/>
      <c r="F816" s="26"/>
      <c r="G816" s="26"/>
      <c r="H816" s="12">
        <f>SUM(H815)</f>
        <v>2180247.6557504158</v>
      </c>
    </row>
    <row r="817" spans="1:8" ht="10.5" x14ac:dyDescent="0.25">
      <c r="A817" s="20" t="s">
        <v>235</v>
      </c>
      <c r="B817" s="26"/>
      <c r="C817" s="27"/>
      <c r="D817" s="26"/>
      <c r="E817" s="26"/>
      <c r="F817" s="26"/>
      <c r="G817" s="26"/>
      <c r="H817" s="12">
        <f>SUM(H816)</f>
        <v>2180247.6557504158</v>
      </c>
    </row>
    <row r="818" spans="1:8" ht="10.5" x14ac:dyDescent="0.25">
      <c r="A818" s="18" t="s">
        <v>236</v>
      </c>
      <c r="B818" s="21"/>
      <c r="C818" s="28"/>
      <c r="D818" s="21"/>
      <c r="E818" s="21"/>
      <c r="F818" s="21"/>
      <c r="G818" s="21"/>
      <c r="H818" s="19">
        <f>0-H817</f>
        <v>-2180247.6557504158</v>
      </c>
    </row>
    <row r="819" spans="1:8" ht="10.5" x14ac:dyDescent="0.2">
      <c r="A819" s="21" t="s">
        <v>237</v>
      </c>
      <c r="B819" s="21"/>
      <c r="C819" s="28"/>
      <c r="D819" s="21"/>
      <c r="E819" s="21"/>
      <c r="F819" s="21"/>
      <c r="G819" s="21"/>
      <c r="H819" s="19">
        <f>H818-0</f>
        <v>-2180247.6557504158</v>
      </c>
    </row>
    <row r="820" spans="1:8" ht="10.5" x14ac:dyDescent="0.2">
      <c r="A820" s="21" t="s">
        <v>186</v>
      </c>
      <c r="B820" s="21"/>
      <c r="C820" s="28"/>
      <c r="D820" s="21"/>
      <c r="E820" s="21"/>
      <c r="F820" s="21"/>
      <c r="G820" s="21"/>
      <c r="H820" s="19">
        <f>H819+0</f>
        <v>-2180247.6557504158</v>
      </c>
    </row>
  </sheetData>
  <mergeCells count="6">
    <mergeCell ref="A1:H1"/>
    <mergeCell ref="A2:H2"/>
    <mergeCell ref="A3:H3"/>
    <mergeCell ref="A4:H4"/>
    <mergeCell ref="A5:H5"/>
    <mergeCell ref="A6:H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8CF4-BB08-4B09-A9C0-52EF9DDC8393}">
  <sheetPr codeName="Sheet5"/>
  <dimension ref="A1:H502"/>
  <sheetViews>
    <sheetView workbookViewId="0">
      <selection sqref="A1:H1"/>
    </sheetView>
  </sheetViews>
  <sheetFormatPr defaultRowHeight="10" x14ac:dyDescent="0.2"/>
  <cols>
    <col min="1" max="1" width="20.1796875" style="1" bestFit="1" customWidth="1"/>
    <col min="2" max="2" width="9.08984375" style="1" bestFit="1" customWidth="1"/>
    <col min="3" max="3" width="8.08984375" style="1" bestFit="1" customWidth="1"/>
    <col min="4" max="4" width="13.26953125" style="1" bestFit="1" customWidth="1"/>
    <col min="5" max="5" width="34.6328125" style="1" bestFit="1" customWidth="1"/>
    <col min="6" max="6" width="2.453125" style="1" bestFit="1" customWidth="1"/>
    <col min="7" max="7" width="61.1796875" style="1" bestFit="1" customWidth="1"/>
    <col min="8" max="8" width="10.54296875" style="1" bestFit="1" customWidth="1"/>
    <col min="9" max="16384" width="8.7265625" style="1"/>
  </cols>
  <sheetData>
    <row r="1" spans="1:8" ht="15.5" x14ac:dyDescent="0.35">
      <c r="A1" s="43" t="s">
        <v>5</v>
      </c>
      <c r="B1" s="43"/>
      <c r="C1" s="43"/>
      <c r="D1" s="43"/>
      <c r="E1" s="43"/>
      <c r="F1" s="43"/>
      <c r="G1" s="43"/>
      <c r="H1" s="43"/>
    </row>
    <row r="2" spans="1:8" ht="15.5" x14ac:dyDescent="0.35">
      <c r="A2" s="43" t="s">
        <v>6</v>
      </c>
      <c r="B2" s="43"/>
      <c r="C2" s="43"/>
      <c r="D2" s="43"/>
      <c r="E2" s="43"/>
      <c r="F2" s="43"/>
      <c r="G2" s="43"/>
      <c r="H2" s="43"/>
    </row>
    <row r="3" spans="1:8" ht="18" x14ac:dyDescent="0.4">
      <c r="A3" s="42" t="s">
        <v>224</v>
      </c>
      <c r="B3" s="42"/>
      <c r="C3" s="42"/>
      <c r="D3" s="42"/>
      <c r="E3" s="42"/>
      <c r="F3" s="42"/>
      <c r="G3" s="42"/>
      <c r="H3" s="42"/>
    </row>
    <row r="4" spans="1:8" ht="18" x14ac:dyDescent="0.4">
      <c r="A4" s="42" t="s">
        <v>430</v>
      </c>
      <c r="B4" s="42"/>
      <c r="C4" s="42"/>
      <c r="D4" s="42"/>
      <c r="E4" s="42"/>
      <c r="F4" s="42"/>
      <c r="G4" s="42"/>
      <c r="H4" s="42"/>
    </row>
    <row r="5" spans="1:8" ht="18" x14ac:dyDescent="0.4">
      <c r="A5" s="42" t="s">
        <v>8</v>
      </c>
      <c r="B5" s="42"/>
      <c r="C5" s="42"/>
      <c r="D5" s="42"/>
      <c r="E5" s="42"/>
      <c r="F5" s="42"/>
      <c r="G5" s="42"/>
      <c r="H5" s="42"/>
    </row>
    <row r="6" spans="1:8" ht="18" x14ac:dyDescent="0.4">
      <c r="A6" s="42" t="s">
        <v>8</v>
      </c>
      <c r="B6" s="42"/>
      <c r="C6" s="42"/>
      <c r="D6" s="42"/>
      <c r="E6" s="42"/>
      <c r="F6" s="42"/>
      <c r="G6" s="42"/>
      <c r="H6" s="42"/>
    </row>
    <row r="7" spans="1:8" x14ac:dyDescent="0.2">
      <c r="A7" s="2" t="s">
        <v>9</v>
      </c>
      <c r="B7" s="2" t="s">
        <v>225</v>
      </c>
      <c r="C7" s="2" t="s">
        <v>226</v>
      </c>
      <c r="D7" s="2" t="s">
        <v>227</v>
      </c>
      <c r="E7" s="2" t="s">
        <v>228</v>
      </c>
      <c r="F7" s="2" t="s">
        <v>229</v>
      </c>
      <c r="G7" s="2" t="s">
        <v>230</v>
      </c>
      <c r="H7" s="3" t="s">
        <v>11</v>
      </c>
    </row>
    <row r="8" spans="1:8" ht="10.5" x14ac:dyDescent="0.2">
      <c r="A8" s="4" t="s">
        <v>231</v>
      </c>
      <c r="B8" s="4"/>
      <c r="C8" s="23"/>
      <c r="D8" s="4"/>
      <c r="E8" s="4"/>
      <c r="F8" s="4"/>
      <c r="G8" s="4"/>
      <c r="H8" s="5"/>
    </row>
    <row r="9" spans="1:8" ht="10.5" x14ac:dyDescent="0.25">
      <c r="A9" s="6" t="s">
        <v>239</v>
      </c>
      <c r="B9" s="4"/>
      <c r="C9" s="23"/>
      <c r="D9" s="4"/>
      <c r="E9" s="4"/>
      <c r="F9" s="4"/>
      <c r="G9" s="4"/>
      <c r="H9" s="5"/>
    </row>
    <row r="10" spans="1:8" ht="10.5" x14ac:dyDescent="0.25">
      <c r="A10" s="7" t="s">
        <v>240</v>
      </c>
      <c r="B10" s="4"/>
      <c r="C10" s="23"/>
      <c r="D10" s="4"/>
      <c r="E10" s="4"/>
      <c r="F10" s="4"/>
      <c r="G10" s="4"/>
      <c r="H10" s="5"/>
    </row>
    <row r="11" spans="1:8" ht="10.5" x14ac:dyDescent="0.25">
      <c r="A11" s="8" t="s">
        <v>1</v>
      </c>
      <c r="B11" s="4"/>
      <c r="C11" s="23"/>
      <c r="D11" s="4"/>
      <c r="E11" s="4"/>
      <c r="F11" s="4"/>
      <c r="G11" s="4"/>
      <c r="H11" s="5"/>
    </row>
    <row r="12" spans="1:8" x14ac:dyDescent="0.2">
      <c r="A12" s="9"/>
      <c r="B12" s="24" t="s">
        <v>336</v>
      </c>
      <c r="C12" s="25">
        <v>44200</v>
      </c>
      <c r="D12" s="24" t="s">
        <v>1400</v>
      </c>
      <c r="E12" s="24" t="s">
        <v>521</v>
      </c>
      <c r="F12" s="24" t="s">
        <v>333</v>
      </c>
      <c r="G12" s="24" t="s">
        <v>347</v>
      </c>
      <c r="H12" s="10">
        <v>28450.328227654667</v>
      </c>
    </row>
    <row r="13" spans="1:8" x14ac:dyDescent="0.2">
      <c r="A13" s="9"/>
      <c r="B13" s="24" t="s">
        <v>336</v>
      </c>
      <c r="C13" s="25">
        <v>44203</v>
      </c>
      <c r="D13" s="24" t="s">
        <v>1401</v>
      </c>
      <c r="E13" s="24" t="s">
        <v>508</v>
      </c>
      <c r="F13" s="24" t="s">
        <v>333</v>
      </c>
      <c r="G13" s="24" t="s">
        <v>347</v>
      </c>
      <c r="H13" s="10">
        <v>444.15610791676448</v>
      </c>
    </row>
    <row r="14" spans="1:8" x14ac:dyDescent="0.2">
      <c r="A14" s="9"/>
      <c r="B14" s="24" t="s">
        <v>336</v>
      </c>
      <c r="C14" s="25">
        <v>44203</v>
      </c>
      <c r="D14" s="24" t="s">
        <v>1402</v>
      </c>
      <c r="E14" s="24" t="s">
        <v>510</v>
      </c>
      <c r="F14" s="24" t="s">
        <v>333</v>
      </c>
      <c r="G14" s="24" t="s">
        <v>347</v>
      </c>
      <c r="H14" s="10">
        <v>285.96352153545109</v>
      </c>
    </row>
    <row r="15" spans="1:8" x14ac:dyDescent="0.2">
      <c r="A15" s="9"/>
      <c r="B15" s="24" t="s">
        <v>336</v>
      </c>
      <c r="C15" s="25">
        <v>44204</v>
      </c>
      <c r="D15" s="24" t="s">
        <v>1403</v>
      </c>
      <c r="E15" s="24" t="s">
        <v>739</v>
      </c>
      <c r="F15" s="24" t="s">
        <v>333</v>
      </c>
      <c r="G15" s="24" t="s">
        <v>347</v>
      </c>
      <c r="H15" s="10">
        <v>2482.4067401375332</v>
      </c>
    </row>
    <row r="16" spans="1:8" x14ac:dyDescent="0.2">
      <c r="A16" s="9"/>
      <c r="B16" s="24" t="s">
        <v>336</v>
      </c>
      <c r="C16" s="25">
        <v>44204</v>
      </c>
      <c r="D16" s="24" t="s">
        <v>1404</v>
      </c>
      <c r="E16" s="24" t="s">
        <v>346</v>
      </c>
      <c r="F16" s="24" t="s">
        <v>333</v>
      </c>
      <c r="G16" s="24" t="s">
        <v>347</v>
      </c>
      <c r="H16" s="10">
        <v>-36.505981472610777</v>
      </c>
    </row>
    <row r="17" spans="1:8" x14ac:dyDescent="0.2">
      <c r="A17" s="9"/>
      <c r="B17" s="24" t="s">
        <v>336</v>
      </c>
      <c r="C17" s="25">
        <v>44210</v>
      </c>
      <c r="D17" s="24" t="s">
        <v>1405</v>
      </c>
      <c r="E17" s="24" t="s">
        <v>421</v>
      </c>
      <c r="F17" s="24" t="s">
        <v>333</v>
      </c>
      <c r="G17" s="24" t="s">
        <v>347</v>
      </c>
      <c r="H17" s="10">
        <v>168657.63440346179</v>
      </c>
    </row>
    <row r="18" spans="1:8" x14ac:dyDescent="0.2">
      <c r="A18" s="9"/>
      <c r="B18" s="24" t="s">
        <v>336</v>
      </c>
      <c r="C18" s="25">
        <v>44211</v>
      </c>
      <c r="D18" s="24" t="s">
        <v>1406</v>
      </c>
      <c r="E18" s="24" t="s">
        <v>346</v>
      </c>
      <c r="F18" s="24" t="s">
        <v>333</v>
      </c>
      <c r="G18" s="24" t="s">
        <v>347</v>
      </c>
      <c r="H18" s="10">
        <v>249.1046489086051</v>
      </c>
    </row>
    <row r="19" spans="1:8" x14ac:dyDescent="0.2">
      <c r="A19" s="9"/>
      <c r="B19" s="24" t="s">
        <v>336</v>
      </c>
      <c r="C19" s="25">
        <v>44211</v>
      </c>
      <c r="D19" s="24" t="s">
        <v>1407</v>
      </c>
      <c r="E19" s="24" t="s">
        <v>1408</v>
      </c>
      <c r="F19" s="24" t="s">
        <v>333</v>
      </c>
      <c r="G19" s="24" t="s">
        <v>347</v>
      </c>
      <c r="H19" s="10">
        <v>751.80418244694636</v>
      </c>
    </row>
    <row r="20" spans="1:8" x14ac:dyDescent="0.2">
      <c r="A20" s="9"/>
      <c r="B20" s="24" t="s">
        <v>336</v>
      </c>
      <c r="C20" s="25">
        <v>44211</v>
      </c>
      <c r="D20" s="24" t="s">
        <v>1409</v>
      </c>
      <c r="E20" s="24" t="s">
        <v>597</v>
      </c>
      <c r="F20" s="24" t="s">
        <v>333</v>
      </c>
      <c r="G20" s="24" t="s">
        <v>347</v>
      </c>
      <c r="H20" s="10">
        <v>6297.2818040253596</v>
      </c>
    </row>
    <row r="21" spans="1:8" x14ac:dyDescent="0.2">
      <c r="A21" s="9"/>
      <c r="B21" s="24" t="s">
        <v>336</v>
      </c>
      <c r="C21" s="25">
        <v>44214</v>
      </c>
      <c r="D21" s="24" t="s">
        <v>1410</v>
      </c>
      <c r="E21" s="24" t="s">
        <v>421</v>
      </c>
      <c r="F21" s="24" t="s">
        <v>333</v>
      </c>
      <c r="G21" s="24" t="s">
        <v>347</v>
      </c>
      <c r="H21" s="10">
        <v>32855.3833253497</v>
      </c>
    </row>
    <row r="22" spans="1:8" x14ac:dyDescent="0.2">
      <c r="A22" s="9"/>
      <c r="B22" s="24" t="s">
        <v>336</v>
      </c>
      <c r="C22" s="25">
        <v>44215</v>
      </c>
      <c r="D22" s="24" t="s">
        <v>1411</v>
      </c>
      <c r="E22" s="24" t="s">
        <v>739</v>
      </c>
      <c r="F22" s="24" t="s">
        <v>333</v>
      </c>
      <c r="G22" s="24" t="s">
        <v>347</v>
      </c>
      <c r="H22" s="10">
        <v>1095.1794441783234</v>
      </c>
    </row>
    <row r="23" spans="1:8" x14ac:dyDescent="0.2">
      <c r="A23" s="9"/>
      <c r="B23" s="24" t="s">
        <v>336</v>
      </c>
      <c r="C23" s="25">
        <v>44218</v>
      </c>
      <c r="D23" s="24" t="s">
        <v>1412</v>
      </c>
      <c r="E23" s="24" t="s">
        <v>420</v>
      </c>
      <c r="F23" s="24" t="s">
        <v>333</v>
      </c>
      <c r="G23" s="24" t="s">
        <v>347</v>
      </c>
      <c r="H23" s="10">
        <v>13872.272959592096</v>
      </c>
    </row>
    <row r="24" spans="1:8" x14ac:dyDescent="0.2">
      <c r="A24" s="9"/>
      <c r="B24" s="24" t="s">
        <v>336</v>
      </c>
      <c r="C24" s="25">
        <v>44218</v>
      </c>
      <c r="D24" s="24" t="s">
        <v>1413</v>
      </c>
      <c r="E24" s="24" t="s">
        <v>531</v>
      </c>
      <c r="F24" s="24" t="s">
        <v>333</v>
      </c>
      <c r="G24" s="24" t="s">
        <v>347</v>
      </c>
      <c r="H24" s="10">
        <v>2183.0576920621247</v>
      </c>
    </row>
    <row r="25" spans="1:8" x14ac:dyDescent="0.2">
      <c r="A25" s="9"/>
      <c r="B25" s="24" t="s">
        <v>336</v>
      </c>
      <c r="C25" s="25">
        <v>44221</v>
      </c>
      <c r="D25" s="24" t="s">
        <v>1414</v>
      </c>
      <c r="E25" s="24" t="s">
        <v>533</v>
      </c>
      <c r="F25" s="24" t="s">
        <v>333</v>
      </c>
      <c r="G25" s="24" t="s">
        <v>347</v>
      </c>
      <c r="H25" s="10">
        <v>6352.0407762342757</v>
      </c>
    </row>
    <row r="26" spans="1:8" x14ac:dyDescent="0.2">
      <c r="A26" s="9"/>
      <c r="B26" s="24" t="s">
        <v>336</v>
      </c>
      <c r="C26" s="25">
        <v>44223</v>
      </c>
      <c r="D26" s="24" t="s">
        <v>1415</v>
      </c>
      <c r="E26" s="24" t="s">
        <v>544</v>
      </c>
      <c r="F26" s="24" t="s">
        <v>333</v>
      </c>
      <c r="G26" s="24" t="s">
        <v>347</v>
      </c>
      <c r="H26" s="10">
        <v>9637.5791087692451</v>
      </c>
    </row>
    <row r="27" spans="1:8" x14ac:dyDescent="0.2">
      <c r="A27" s="9"/>
      <c r="B27" s="24" t="s">
        <v>336</v>
      </c>
      <c r="C27" s="25">
        <v>44224</v>
      </c>
      <c r="D27" s="24" t="s">
        <v>1416</v>
      </c>
      <c r="E27" s="24" t="s">
        <v>344</v>
      </c>
      <c r="F27" s="24" t="s">
        <v>333</v>
      </c>
      <c r="G27" s="24" t="s">
        <v>347</v>
      </c>
      <c r="H27" s="10">
        <v>1522.5549692781779</v>
      </c>
    </row>
    <row r="28" spans="1:8" x14ac:dyDescent="0.2">
      <c r="A28" s="9"/>
      <c r="B28" s="24" t="s">
        <v>929</v>
      </c>
      <c r="C28" s="25">
        <v>44225</v>
      </c>
      <c r="D28" s="24" t="s">
        <v>1417</v>
      </c>
      <c r="E28" s="24" t="s">
        <v>931</v>
      </c>
      <c r="F28" s="24" t="s">
        <v>333</v>
      </c>
      <c r="G28" s="24" t="s">
        <v>347</v>
      </c>
      <c r="H28" s="10">
        <v>-7364.4733290746817</v>
      </c>
    </row>
    <row r="29" spans="1:8" x14ac:dyDescent="0.2">
      <c r="A29" s="9"/>
      <c r="B29" s="24" t="s">
        <v>336</v>
      </c>
      <c r="C29" s="25">
        <v>44227</v>
      </c>
      <c r="D29" s="24" t="s">
        <v>1418</v>
      </c>
      <c r="E29" s="24" t="s">
        <v>5</v>
      </c>
      <c r="F29" s="24" t="s">
        <v>333</v>
      </c>
      <c r="G29" s="24" t="s">
        <v>1419</v>
      </c>
      <c r="H29" s="10">
        <v>51053.223346840939</v>
      </c>
    </row>
    <row r="30" spans="1:8" x14ac:dyDescent="0.2">
      <c r="A30" s="9"/>
      <c r="B30" s="24" t="s">
        <v>336</v>
      </c>
      <c r="C30" s="25">
        <v>44228</v>
      </c>
      <c r="D30" s="24" t="s">
        <v>1420</v>
      </c>
      <c r="E30" s="24" t="s">
        <v>344</v>
      </c>
      <c r="F30" s="24" t="s">
        <v>333</v>
      </c>
      <c r="G30" s="24" t="s">
        <v>347</v>
      </c>
      <c r="H30" s="10">
        <v>1089.5025414037746</v>
      </c>
    </row>
    <row r="31" spans="1:8" x14ac:dyDescent="0.2">
      <c r="A31" s="9"/>
      <c r="B31" s="24" t="s">
        <v>336</v>
      </c>
      <c r="C31" s="25">
        <v>44228</v>
      </c>
      <c r="D31" s="24" t="s">
        <v>1421</v>
      </c>
      <c r="E31" s="24" t="s">
        <v>344</v>
      </c>
      <c r="F31" s="24" t="s">
        <v>333</v>
      </c>
      <c r="G31" s="24" t="s">
        <v>347</v>
      </c>
      <c r="H31" s="10">
        <v>746.41286907946903</v>
      </c>
    </row>
    <row r="32" spans="1:8" x14ac:dyDescent="0.2">
      <c r="A32" s="9"/>
      <c r="B32" s="24" t="s">
        <v>336</v>
      </c>
      <c r="C32" s="25">
        <v>44228</v>
      </c>
      <c r="D32" s="24" t="s">
        <v>1422</v>
      </c>
      <c r="E32" s="24" t="s">
        <v>615</v>
      </c>
      <c r="F32" s="24" t="s">
        <v>333</v>
      </c>
      <c r="G32" s="24" t="s">
        <v>347</v>
      </c>
      <c r="H32" s="10">
        <v>6092.1562685880072</v>
      </c>
    </row>
    <row r="33" spans="1:8" x14ac:dyDescent="0.2">
      <c r="A33" s="9"/>
      <c r="B33" s="24" t="s">
        <v>336</v>
      </c>
      <c r="C33" s="25">
        <v>44228</v>
      </c>
      <c r="D33" s="24" t="s">
        <v>1423</v>
      </c>
      <c r="E33" s="24" t="s">
        <v>615</v>
      </c>
      <c r="F33" s="24" t="s">
        <v>333</v>
      </c>
      <c r="G33" s="24" t="s">
        <v>347</v>
      </c>
      <c r="H33" s="10">
        <v>42317.008270089857</v>
      </c>
    </row>
    <row r="34" spans="1:8" x14ac:dyDescent="0.2">
      <c r="A34" s="9"/>
      <c r="B34" s="24" t="s">
        <v>336</v>
      </c>
      <c r="C34" s="25">
        <v>44229</v>
      </c>
      <c r="D34" s="24" t="s">
        <v>1424</v>
      </c>
      <c r="E34" s="24" t="s">
        <v>564</v>
      </c>
      <c r="F34" s="24" t="s">
        <v>333</v>
      </c>
      <c r="G34" s="24" t="s">
        <v>347</v>
      </c>
      <c r="H34" s="10">
        <v>434.55047685589113</v>
      </c>
    </row>
    <row r="35" spans="1:8" x14ac:dyDescent="0.2">
      <c r="A35" s="9"/>
      <c r="B35" s="24" t="s">
        <v>336</v>
      </c>
      <c r="C35" s="25">
        <v>44229</v>
      </c>
      <c r="D35" s="24" t="s">
        <v>1425</v>
      </c>
      <c r="E35" s="24" t="s">
        <v>566</v>
      </c>
      <c r="F35" s="24" t="s">
        <v>333</v>
      </c>
      <c r="G35" s="24" t="s">
        <v>347</v>
      </c>
      <c r="H35" s="10">
        <v>42.332458953711395</v>
      </c>
    </row>
    <row r="36" spans="1:8" x14ac:dyDescent="0.2">
      <c r="A36" s="9"/>
      <c r="B36" s="24" t="s">
        <v>336</v>
      </c>
      <c r="C36" s="25">
        <v>44230</v>
      </c>
      <c r="D36" s="24" t="s">
        <v>1426</v>
      </c>
      <c r="E36" s="24" t="s">
        <v>344</v>
      </c>
      <c r="F36" s="24" t="s">
        <v>333</v>
      </c>
      <c r="G36" s="24" t="s">
        <v>347</v>
      </c>
      <c r="H36" s="10">
        <v>298.75345283842518</v>
      </c>
    </row>
    <row r="37" spans="1:8" x14ac:dyDescent="0.2">
      <c r="A37" s="9"/>
      <c r="B37" s="24" t="s">
        <v>336</v>
      </c>
      <c r="C37" s="25">
        <v>44230</v>
      </c>
      <c r="D37" s="24" t="s">
        <v>1427</v>
      </c>
      <c r="E37" s="24" t="s">
        <v>568</v>
      </c>
      <c r="F37" s="24" t="s">
        <v>333</v>
      </c>
      <c r="G37" s="24" t="s">
        <v>347</v>
      </c>
      <c r="H37" s="10">
        <v>81977.94745886387</v>
      </c>
    </row>
    <row r="38" spans="1:8" x14ac:dyDescent="0.2">
      <c r="A38" s="9"/>
      <c r="B38" s="24" t="s">
        <v>336</v>
      </c>
      <c r="C38" s="25">
        <v>44230</v>
      </c>
      <c r="D38" s="24" t="s">
        <v>1428</v>
      </c>
      <c r="E38" s="24" t="s">
        <v>604</v>
      </c>
      <c r="F38" s="24" t="s">
        <v>333</v>
      </c>
      <c r="G38" s="24" t="s">
        <v>347</v>
      </c>
      <c r="H38" s="10">
        <v>11273.868933930025</v>
      </c>
    </row>
    <row r="39" spans="1:8" x14ac:dyDescent="0.2">
      <c r="A39" s="9"/>
      <c r="B39" s="24" t="s">
        <v>336</v>
      </c>
      <c r="C39" s="25">
        <v>44231</v>
      </c>
      <c r="D39" s="24" t="s">
        <v>1429</v>
      </c>
      <c r="E39" s="24" t="s">
        <v>613</v>
      </c>
      <c r="F39" s="24" t="s">
        <v>333</v>
      </c>
      <c r="G39" s="24" t="s">
        <v>347</v>
      </c>
      <c r="H39" s="10">
        <v>391.09542917030205</v>
      </c>
    </row>
    <row r="40" spans="1:8" x14ac:dyDescent="0.2">
      <c r="A40" s="9"/>
      <c r="B40" s="24" t="s">
        <v>336</v>
      </c>
      <c r="C40" s="25">
        <v>44232</v>
      </c>
      <c r="D40" s="24" t="s">
        <v>1430</v>
      </c>
      <c r="E40" s="24" t="s">
        <v>346</v>
      </c>
      <c r="F40" s="24" t="s">
        <v>333</v>
      </c>
      <c r="G40" s="24" t="s">
        <v>347</v>
      </c>
      <c r="H40" s="10">
        <v>493.46827900960238</v>
      </c>
    </row>
    <row r="41" spans="1:8" x14ac:dyDescent="0.2">
      <c r="A41" s="9"/>
      <c r="B41" s="24" t="s">
        <v>336</v>
      </c>
      <c r="C41" s="25">
        <v>44235</v>
      </c>
      <c r="D41" s="24" t="s">
        <v>1431</v>
      </c>
      <c r="E41" s="24" t="s">
        <v>344</v>
      </c>
      <c r="F41" s="24" t="s">
        <v>333</v>
      </c>
      <c r="G41" s="24" t="s">
        <v>347</v>
      </c>
      <c r="H41" s="10">
        <v>3458.2975449781338</v>
      </c>
    </row>
    <row r="42" spans="1:8" x14ac:dyDescent="0.2">
      <c r="A42" s="9"/>
      <c r="B42" s="24" t="s">
        <v>336</v>
      </c>
      <c r="C42" s="25">
        <v>44235</v>
      </c>
      <c r="D42" s="24" t="s">
        <v>1432</v>
      </c>
      <c r="E42" s="24" t="s">
        <v>344</v>
      </c>
      <c r="F42" s="24" t="s">
        <v>333</v>
      </c>
      <c r="G42" s="24" t="s">
        <v>347</v>
      </c>
      <c r="H42" s="10">
        <v>335.56953490538262</v>
      </c>
    </row>
    <row r="43" spans="1:8" x14ac:dyDescent="0.2">
      <c r="A43" s="9"/>
      <c r="B43" s="24" t="s">
        <v>336</v>
      </c>
      <c r="C43" s="25">
        <v>44235</v>
      </c>
      <c r="D43" s="24" t="s">
        <v>1433</v>
      </c>
      <c r="E43" s="24" t="s">
        <v>588</v>
      </c>
      <c r="F43" s="24" t="s">
        <v>333</v>
      </c>
      <c r="G43" s="24" t="s">
        <v>347</v>
      </c>
      <c r="H43" s="10">
        <v>4653.697623422373</v>
      </c>
    </row>
    <row r="44" spans="1:8" x14ac:dyDescent="0.2">
      <c r="A44" s="9"/>
      <c r="B44" s="24" t="s">
        <v>336</v>
      </c>
      <c r="C44" s="25">
        <v>44236</v>
      </c>
      <c r="D44" s="24" t="s">
        <v>1434</v>
      </c>
      <c r="E44" s="24" t="s">
        <v>592</v>
      </c>
      <c r="F44" s="24" t="s">
        <v>333</v>
      </c>
      <c r="G44" s="24" t="s">
        <v>347</v>
      </c>
      <c r="H44" s="10">
        <v>251.87028472430626</v>
      </c>
    </row>
    <row r="45" spans="1:8" x14ac:dyDescent="0.2">
      <c r="A45" s="9"/>
      <c r="B45" s="24" t="s">
        <v>336</v>
      </c>
      <c r="C45" s="25">
        <v>44236</v>
      </c>
      <c r="D45" s="24" t="s">
        <v>1435</v>
      </c>
      <c r="E45" s="24" t="s">
        <v>608</v>
      </c>
      <c r="F45" s="24" t="s">
        <v>333</v>
      </c>
      <c r="G45" s="24" t="s">
        <v>347</v>
      </c>
      <c r="H45" s="10">
        <v>2480.5589720523785</v>
      </c>
    </row>
    <row r="46" spans="1:8" x14ac:dyDescent="0.2">
      <c r="A46" s="9"/>
      <c r="B46" s="24" t="s">
        <v>336</v>
      </c>
      <c r="C46" s="25">
        <v>44237</v>
      </c>
      <c r="D46" s="24" t="s">
        <v>1436</v>
      </c>
      <c r="E46" s="24" t="s">
        <v>344</v>
      </c>
      <c r="F46" s="24" t="s">
        <v>333</v>
      </c>
      <c r="G46" s="24" t="s">
        <v>347</v>
      </c>
      <c r="H46" s="10">
        <v>388.99510186549855</v>
      </c>
    </row>
    <row r="47" spans="1:8" x14ac:dyDescent="0.2">
      <c r="A47" s="9"/>
      <c r="B47" s="24" t="s">
        <v>336</v>
      </c>
      <c r="C47" s="25">
        <v>44237</v>
      </c>
      <c r="D47" s="24" t="s">
        <v>1437</v>
      </c>
      <c r="E47" s="24" t="s">
        <v>600</v>
      </c>
      <c r="F47" s="24" t="s">
        <v>333</v>
      </c>
      <c r="G47" s="24" t="s">
        <v>347</v>
      </c>
      <c r="H47" s="10">
        <v>45.869217001455176</v>
      </c>
    </row>
    <row r="48" spans="1:8" x14ac:dyDescent="0.2">
      <c r="A48" s="9"/>
      <c r="B48" s="24" t="s">
        <v>336</v>
      </c>
      <c r="C48" s="25">
        <v>44237</v>
      </c>
      <c r="D48" s="24" t="s">
        <v>1438</v>
      </c>
      <c r="E48" s="24" t="s">
        <v>632</v>
      </c>
      <c r="F48" s="24" t="s">
        <v>333</v>
      </c>
      <c r="G48" s="24" t="s">
        <v>347</v>
      </c>
      <c r="H48" s="10">
        <v>3862.6709053856994</v>
      </c>
    </row>
    <row r="49" spans="1:8" x14ac:dyDescent="0.2">
      <c r="A49" s="9"/>
      <c r="B49" s="24" t="s">
        <v>336</v>
      </c>
      <c r="C49" s="25">
        <v>44238</v>
      </c>
      <c r="D49" s="24" t="s">
        <v>1439</v>
      </c>
      <c r="E49" s="24" t="s">
        <v>608</v>
      </c>
      <c r="F49" s="24" t="s">
        <v>333</v>
      </c>
      <c r="G49" s="24" t="s">
        <v>347</v>
      </c>
      <c r="H49" s="10">
        <v>4961.117944104757</v>
      </c>
    </row>
    <row r="50" spans="1:8" x14ac:dyDescent="0.2">
      <c r="A50" s="9"/>
      <c r="B50" s="24" t="s">
        <v>336</v>
      </c>
      <c r="C50" s="25">
        <v>44238</v>
      </c>
      <c r="D50" s="24" t="s">
        <v>1440</v>
      </c>
      <c r="E50" s="24" t="s">
        <v>344</v>
      </c>
      <c r="F50" s="24" t="s">
        <v>333</v>
      </c>
      <c r="G50" s="24" t="s">
        <v>347</v>
      </c>
      <c r="H50" s="10">
        <v>399.32774653740529</v>
      </c>
    </row>
    <row r="51" spans="1:8" x14ac:dyDescent="0.2">
      <c r="A51" s="9"/>
      <c r="B51" s="24" t="s">
        <v>336</v>
      </c>
      <c r="C51" s="25">
        <v>44238</v>
      </c>
      <c r="D51" s="24" t="s">
        <v>1441</v>
      </c>
      <c r="E51" s="24" t="s">
        <v>344</v>
      </c>
      <c r="F51" s="24" t="s">
        <v>333</v>
      </c>
      <c r="G51" s="24" t="s">
        <v>347</v>
      </c>
      <c r="H51" s="10">
        <v>475.45857591324159</v>
      </c>
    </row>
    <row r="52" spans="1:8" x14ac:dyDescent="0.2">
      <c r="A52" s="9"/>
      <c r="B52" s="24" t="s">
        <v>336</v>
      </c>
      <c r="C52" s="25">
        <v>44242</v>
      </c>
      <c r="D52" s="24" t="s">
        <v>1442</v>
      </c>
      <c r="E52" s="24" t="s">
        <v>625</v>
      </c>
      <c r="F52" s="24" t="s">
        <v>333</v>
      </c>
      <c r="G52" s="24" t="s">
        <v>347</v>
      </c>
      <c r="H52" s="10">
        <v>2804.5404942416044</v>
      </c>
    </row>
    <row r="53" spans="1:8" x14ac:dyDescent="0.2">
      <c r="A53" s="9"/>
      <c r="B53" s="24" t="s">
        <v>336</v>
      </c>
      <c r="C53" s="25">
        <v>44243</v>
      </c>
      <c r="D53" s="24" t="s">
        <v>1443</v>
      </c>
      <c r="E53" s="24" t="s">
        <v>375</v>
      </c>
      <c r="F53" s="24" t="s">
        <v>333</v>
      </c>
      <c r="G53" s="24" t="s">
        <v>347</v>
      </c>
      <c r="H53" s="10">
        <v>434.55047685589113</v>
      </c>
    </row>
    <row r="54" spans="1:8" x14ac:dyDescent="0.2">
      <c r="A54" s="9"/>
      <c r="B54" s="24" t="s">
        <v>336</v>
      </c>
      <c r="C54" s="25">
        <v>44244</v>
      </c>
      <c r="D54" s="24" t="s">
        <v>1444</v>
      </c>
      <c r="E54" s="24" t="s">
        <v>639</v>
      </c>
      <c r="F54" s="24" t="s">
        <v>333</v>
      </c>
      <c r="G54" s="24" t="s">
        <v>347</v>
      </c>
      <c r="H54" s="10">
        <v>20436.703722140712</v>
      </c>
    </row>
    <row r="55" spans="1:8" x14ac:dyDescent="0.2">
      <c r="A55" s="9"/>
      <c r="B55" s="24" t="s">
        <v>336</v>
      </c>
      <c r="C55" s="25">
        <v>44244</v>
      </c>
      <c r="D55" s="24" t="s">
        <v>1445</v>
      </c>
      <c r="E55" s="24" t="s">
        <v>344</v>
      </c>
      <c r="F55" s="24" t="s">
        <v>333</v>
      </c>
      <c r="G55" s="24" t="s">
        <v>347</v>
      </c>
      <c r="H55" s="10">
        <v>550.96172126695262</v>
      </c>
    </row>
    <row r="56" spans="1:8" x14ac:dyDescent="0.2">
      <c r="A56" s="9"/>
      <c r="B56" s="24" t="s">
        <v>336</v>
      </c>
      <c r="C56" s="25">
        <v>44244</v>
      </c>
      <c r="D56" s="24" t="s">
        <v>1446</v>
      </c>
      <c r="E56" s="24" t="s">
        <v>376</v>
      </c>
      <c r="F56" s="24" t="s">
        <v>333</v>
      </c>
      <c r="G56" s="24" t="s">
        <v>347</v>
      </c>
      <c r="H56" s="10">
        <v>937.95306260028246</v>
      </c>
    </row>
    <row r="57" spans="1:8" x14ac:dyDescent="0.2">
      <c r="A57" s="9"/>
      <c r="B57" s="24" t="s">
        <v>336</v>
      </c>
      <c r="C57" s="25">
        <v>44246</v>
      </c>
      <c r="D57" s="24" t="s">
        <v>1447</v>
      </c>
      <c r="E57" s="24" t="s">
        <v>629</v>
      </c>
      <c r="F57" s="24" t="s">
        <v>333</v>
      </c>
      <c r="G57" s="24" t="s">
        <v>347</v>
      </c>
      <c r="H57" s="10">
        <v>24.141693158660619</v>
      </c>
    </row>
    <row r="58" spans="1:8" x14ac:dyDescent="0.2">
      <c r="A58" s="9"/>
      <c r="B58" s="24" t="s">
        <v>336</v>
      </c>
      <c r="C58" s="25">
        <v>44246</v>
      </c>
      <c r="D58" s="24" t="s">
        <v>1448</v>
      </c>
      <c r="E58" s="24" t="s">
        <v>650</v>
      </c>
      <c r="F58" s="24" t="s">
        <v>333</v>
      </c>
      <c r="G58" s="24" t="s">
        <v>347</v>
      </c>
      <c r="H58" s="10">
        <v>8520.2070580202999</v>
      </c>
    </row>
    <row r="59" spans="1:8" x14ac:dyDescent="0.2">
      <c r="A59" s="9"/>
      <c r="B59" s="24" t="s">
        <v>336</v>
      </c>
      <c r="C59" s="25">
        <v>44246</v>
      </c>
      <c r="D59" s="24" t="s">
        <v>1449</v>
      </c>
      <c r="E59" s="24" t="s">
        <v>592</v>
      </c>
      <c r="F59" s="24" t="s">
        <v>333</v>
      </c>
      <c r="G59" s="24" t="s">
        <v>347</v>
      </c>
      <c r="H59" s="10">
        <v>167.68820068005667</v>
      </c>
    </row>
    <row r="60" spans="1:8" x14ac:dyDescent="0.2">
      <c r="A60" s="9"/>
      <c r="B60" s="24" t="s">
        <v>336</v>
      </c>
      <c r="C60" s="25">
        <v>44249</v>
      </c>
      <c r="D60" s="24" t="s">
        <v>1450</v>
      </c>
      <c r="E60" s="24" t="s">
        <v>544</v>
      </c>
      <c r="F60" s="24" t="s">
        <v>333</v>
      </c>
      <c r="G60" s="24" t="s">
        <v>347</v>
      </c>
      <c r="H60" s="10">
        <v>9560.1104908296056</v>
      </c>
    </row>
    <row r="61" spans="1:8" x14ac:dyDescent="0.2">
      <c r="A61" s="9"/>
      <c r="B61" s="24" t="s">
        <v>336</v>
      </c>
      <c r="C61" s="25">
        <v>44250</v>
      </c>
      <c r="D61" s="24" t="s">
        <v>1451</v>
      </c>
      <c r="E61" s="24" t="s">
        <v>344</v>
      </c>
      <c r="F61" s="24" t="s">
        <v>333</v>
      </c>
      <c r="G61" s="24" t="s">
        <v>347</v>
      </c>
      <c r="H61" s="10">
        <v>595.91355392837875</v>
      </c>
    </row>
    <row r="62" spans="1:8" x14ac:dyDescent="0.2">
      <c r="A62" s="9"/>
      <c r="B62" s="24" t="s">
        <v>336</v>
      </c>
      <c r="C62" s="25">
        <v>44250</v>
      </c>
      <c r="D62" s="24" t="s">
        <v>1452</v>
      </c>
      <c r="E62" s="24" t="s">
        <v>375</v>
      </c>
      <c r="F62" s="24" t="s">
        <v>333</v>
      </c>
      <c r="G62" s="24" t="s">
        <v>347</v>
      </c>
      <c r="H62" s="10">
        <v>1426.4119402794627</v>
      </c>
    </row>
    <row r="63" spans="1:8" x14ac:dyDescent="0.2">
      <c r="A63" s="9"/>
      <c r="B63" s="24" t="s">
        <v>336</v>
      </c>
      <c r="C63" s="25">
        <v>44252</v>
      </c>
      <c r="D63" s="24" t="s">
        <v>1453</v>
      </c>
      <c r="E63" s="24" t="s">
        <v>510</v>
      </c>
      <c r="F63" s="24" t="s">
        <v>333</v>
      </c>
      <c r="G63" s="24" t="s">
        <v>347</v>
      </c>
      <c r="H63" s="10">
        <v>60.523224748762175</v>
      </c>
    </row>
    <row r="64" spans="1:8" x14ac:dyDescent="0.2">
      <c r="A64" s="9"/>
      <c r="B64" s="24" t="s">
        <v>336</v>
      </c>
      <c r="C64" s="25">
        <v>44253</v>
      </c>
      <c r="D64" s="24" t="s">
        <v>1454</v>
      </c>
      <c r="E64" s="24" t="s">
        <v>346</v>
      </c>
      <c r="F64" s="24" t="s">
        <v>333</v>
      </c>
      <c r="G64" s="24" t="s">
        <v>347</v>
      </c>
      <c r="H64" s="10">
        <v>265.32927866025955</v>
      </c>
    </row>
    <row r="65" spans="1:8" x14ac:dyDescent="0.2">
      <c r="A65" s="9"/>
      <c r="B65" s="24" t="s">
        <v>336</v>
      </c>
      <c r="C65" s="25">
        <v>44255</v>
      </c>
      <c r="D65" s="24" t="s">
        <v>1455</v>
      </c>
      <c r="E65" s="24" t="s">
        <v>585</v>
      </c>
      <c r="F65" s="24" t="s">
        <v>333</v>
      </c>
      <c r="G65" s="24" t="s">
        <v>347</v>
      </c>
      <c r="H65" s="10">
        <v>11970.410319357057</v>
      </c>
    </row>
    <row r="66" spans="1:8" x14ac:dyDescent="0.2">
      <c r="A66" s="9"/>
      <c r="B66" s="24" t="s">
        <v>336</v>
      </c>
      <c r="C66" s="25">
        <v>44255</v>
      </c>
      <c r="D66" s="24" t="s">
        <v>1456</v>
      </c>
      <c r="E66" s="24" t="s">
        <v>5</v>
      </c>
      <c r="F66" s="24" t="s">
        <v>333</v>
      </c>
      <c r="G66" s="24" t="s">
        <v>1419</v>
      </c>
      <c r="H66" s="10">
        <v>45308.161079378959</v>
      </c>
    </row>
    <row r="67" spans="1:8" x14ac:dyDescent="0.2">
      <c r="A67" s="9"/>
      <c r="B67" s="24" t="s">
        <v>336</v>
      </c>
      <c r="C67" s="25">
        <v>44256</v>
      </c>
      <c r="D67" s="24" t="s">
        <v>1457</v>
      </c>
      <c r="E67" s="24" t="s">
        <v>375</v>
      </c>
      <c r="F67" s="24" t="s">
        <v>333</v>
      </c>
      <c r="G67" s="24" t="s">
        <v>347</v>
      </c>
      <c r="H67" s="10">
        <v>1944.5514854667133</v>
      </c>
    </row>
    <row r="68" spans="1:8" x14ac:dyDescent="0.2">
      <c r="A68" s="9"/>
      <c r="B68" s="24" t="s">
        <v>336</v>
      </c>
      <c r="C68" s="25">
        <v>44256</v>
      </c>
      <c r="D68" s="24" t="s">
        <v>1458</v>
      </c>
      <c r="E68" s="24" t="s">
        <v>421</v>
      </c>
      <c r="F68" s="24" t="s">
        <v>333</v>
      </c>
      <c r="G68" s="24" t="s">
        <v>347</v>
      </c>
      <c r="H68" s="10">
        <v>164901.39249001862</v>
      </c>
    </row>
    <row r="69" spans="1:8" x14ac:dyDescent="0.2">
      <c r="A69" s="9"/>
      <c r="B69" s="24" t="s">
        <v>336</v>
      </c>
      <c r="C69" s="25">
        <v>44256</v>
      </c>
      <c r="D69" s="24" t="s">
        <v>1459</v>
      </c>
      <c r="E69" s="24" t="s">
        <v>421</v>
      </c>
      <c r="F69" s="24" t="s">
        <v>333</v>
      </c>
      <c r="G69" s="24" t="s">
        <v>347</v>
      </c>
      <c r="H69" s="10">
        <v>164901.39249001862</v>
      </c>
    </row>
    <row r="70" spans="1:8" x14ac:dyDescent="0.2">
      <c r="A70" s="9"/>
      <c r="B70" s="24" t="s">
        <v>336</v>
      </c>
      <c r="C70" s="25">
        <v>44257</v>
      </c>
      <c r="D70" s="24" t="s">
        <v>1460</v>
      </c>
      <c r="E70" s="24" t="s">
        <v>5</v>
      </c>
      <c r="F70" s="24" t="s">
        <v>333</v>
      </c>
      <c r="G70" s="24" t="s">
        <v>1419</v>
      </c>
      <c r="H70" s="10">
        <v>64477.431233610689</v>
      </c>
    </row>
    <row r="71" spans="1:8" x14ac:dyDescent="0.2">
      <c r="A71" s="9"/>
      <c r="B71" s="24" t="s">
        <v>336</v>
      </c>
      <c r="C71" s="25">
        <v>44258</v>
      </c>
      <c r="D71" s="24" t="s">
        <v>1461</v>
      </c>
      <c r="E71" s="24" t="s">
        <v>344</v>
      </c>
      <c r="F71" s="24" t="s">
        <v>333</v>
      </c>
      <c r="G71" s="24" t="s">
        <v>347</v>
      </c>
      <c r="H71" s="10">
        <v>632.90724927121437</v>
      </c>
    </row>
    <row r="72" spans="1:8" x14ac:dyDescent="0.2">
      <c r="A72" s="9"/>
      <c r="B72" s="24" t="s">
        <v>336</v>
      </c>
      <c r="C72" s="25">
        <v>44259</v>
      </c>
      <c r="D72" s="24" t="s">
        <v>1462</v>
      </c>
      <c r="E72" s="24" t="s">
        <v>375</v>
      </c>
      <c r="F72" s="24" t="s">
        <v>333</v>
      </c>
      <c r="G72" s="24" t="s">
        <v>347</v>
      </c>
      <c r="H72" s="10">
        <v>96.370943662997902</v>
      </c>
    </row>
    <row r="73" spans="1:8" x14ac:dyDescent="0.2">
      <c r="A73" s="9"/>
      <c r="B73" s="24" t="s">
        <v>336</v>
      </c>
      <c r="C73" s="25">
        <v>44259</v>
      </c>
      <c r="D73" s="24" t="s">
        <v>1463</v>
      </c>
      <c r="E73" s="24" t="s">
        <v>344</v>
      </c>
      <c r="F73" s="24" t="s">
        <v>333</v>
      </c>
      <c r="G73" s="24" t="s">
        <v>347</v>
      </c>
      <c r="H73" s="10">
        <v>442.99700201827949</v>
      </c>
    </row>
    <row r="74" spans="1:8" x14ac:dyDescent="0.2">
      <c r="A74" s="9"/>
      <c r="B74" s="24" t="s">
        <v>336</v>
      </c>
      <c r="C74" s="25">
        <v>44260</v>
      </c>
      <c r="D74" s="24" t="s">
        <v>1464</v>
      </c>
      <c r="E74" s="24" t="s">
        <v>650</v>
      </c>
      <c r="F74" s="24" t="s">
        <v>333</v>
      </c>
      <c r="G74" s="24" t="s">
        <v>347</v>
      </c>
      <c r="H74" s="10">
        <v>2602.6103612692336</v>
      </c>
    </row>
    <row r="75" spans="1:8" x14ac:dyDescent="0.2">
      <c r="A75" s="9"/>
      <c r="B75" s="24" t="s">
        <v>336</v>
      </c>
      <c r="C75" s="25">
        <v>44260</v>
      </c>
      <c r="D75" s="24" t="s">
        <v>1465</v>
      </c>
      <c r="E75" s="24" t="s">
        <v>344</v>
      </c>
      <c r="F75" s="24" t="s">
        <v>333</v>
      </c>
      <c r="G75" s="24" t="s">
        <v>347</v>
      </c>
      <c r="H75" s="10">
        <v>899.03382554947825</v>
      </c>
    </row>
    <row r="76" spans="1:8" x14ac:dyDescent="0.2">
      <c r="A76" s="9"/>
      <c r="B76" s="24" t="s">
        <v>336</v>
      </c>
      <c r="C76" s="25">
        <v>44260</v>
      </c>
      <c r="D76" s="24" t="s">
        <v>1466</v>
      </c>
      <c r="E76" s="24" t="s">
        <v>344</v>
      </c>
      <c r="F76" s="24" t="s">
        <v>333</v>
      </c>
      <c r="G76" s="24" t="s">
        <v>347</v>
      </c>
      <c r="H76" s="10">
        <v>916.85650130344993</v>
      </c>
    </row>
    <row r="77" spans="1:8" x14ac:dyDescent="0.2">
      <c r="A77" s="9"/>
      <c r="B77" s="24" t="s">
        <v>336</v>
      </c>
      <c r="C77" s="25">
        <v>44260</v>
      </c>
      <c r="D77" s="24" t="s">
        <v>1467</v>
      </c>
      <c r="E77" s="24" t="s">
        <v>344</v>
      </c>
      <c r="F77" s="24" t="s">
        <v>333</v>
      </c>
      <c r="G77" s="24" t="s">
        <v>347</v>
      </c>
      <c r="H77" s="10">
        <v>1475.8079745488378</v>
      </c>
    </row>
    <row r="78" spans="1:8" x14ac:dyDescent="0.2">
      <c r="A78" s="9"/>
      <c r="B78" s="24" t="s">
        <v>336</v>
      </c>
      <c r="C78" s="25">
        <v>44263</v>
      </c>
      <c r="D78" s="24" t="s">
        <v>1468</v>
      </c>
      <c r="E78" s="24" t="s">
        <v>722</v>
      </c>
      <c r="F78" s="24" t="s">
        <v>333</v>
      </c>
      <c r="G78" s="24" t="s">
        <v>347</v>
      </c>
      <c r="H78" s="10">
        <v>2093.9859363811888</v>
      </c>
    </row>
    <row r="79" spans="1:8" x14ac:dyDescent="0.2">
      <c r="A79" s="9"/>
      <c r="B79" s="24" t="s">
        <v>336</v>
      </c>
      <c r="C79" s="25">
        <v>44263</v>
      </c>
      <c r="D79" s="24" t="s">
        <v>1469</v>
      </c>
      <c r="E79" s="24" t="s">
        <v>5</v>
      </c>
      <c r="F79" s="24" t="s">
        <v>333</v>
      </c>
      <c r="G79" s="24" t="s">
        <v>1419</v>
      </c>
      <c r="H79" s="10">
        <v>35630.34078021763</v>
      </c>
    </row>
    <row r="80" spans="1:8" x14ac:dyDescent="0.2">
      <c r="A80" s="9"/>
      <c r="B80" s="24" t="s">
        <v>336</v>
      </c>
      <c r="C80" s="25">
        <v>44263</v>
      </c>
      <c r="D80" s="24" t="s">
        <v>1470</v>
      </c>
      <c r="E80" s="24" t="s">
        <v>615</v>
      </c>
      <c r="F80" s="24" t="s">
        <v>333</v>
      </c>
      <c r="G80" s="24" t="s">
        <v>347</v>
      </c>
      <c r="H80" s="10">
        <v>564.66234398097288</v>
      </c>
    </row>
    <row r="81" spans="1:8" x14ac:dyDescent="0.2">
      <c r="A81" s="9"/>
      <c r="B81" s="24" t="s">
        <v>336</v>
      </c>
      <c r="C81" s="25">
        <v>44266</v>
      </c>
      <c r="D81" s="24" t="s">
        <v>1471</v>
      </c>
      <c r="E81" s="24" t="s">
        <v>706</v>
      </c>
      <c r="F81" s="24" t="s">
        <v>333</v>
      </c>
      <c r="G81" s="24" t="s">
        <v>347</v>
      </c>
      <c r="H81" s="10">
        <v>678.16589985072596</v>
      </c>
    </row>
    <row r="82" spans="1:8" x14ac:dyDescent="0.2">
      <c r="A82" s="9"/>
      <c r="B82" s="24" t="s">
        <v>336</v>
      </c>
      <c r="C82" s="25">
        <v>44266</v>
      </c>
      <c r="D82" s="24" t="s">
        <v>1472</v>
      </c>
      <c r="E82" s="24" t="s">
        <v>675</v>
      </c>
      <c r="F82" s="24" t="s">
        <v>333</v>
      </c>
      <c r="G82" s="24" t="s">
        <v>347</v>
      </c>
      <c r="H82" s="10">
        <v>1520.1679264651955</v>
      </c>
    </row>
    <row r="83" spans="1:8" x14ac:dyDescent="0.2">
      <c r="A83" s="9"/>
      <c r="B83" s="24" t="s">
        <v>336</v>
      </c>
      <c r="C83" s="25">
        <v>44266</v>
      </c>
      <c r="D83" s="24" t="s">
        <v>1473</v>
      </c>
      <c r="E83" s="24" t="s">
        <v>625</v>
      </c>
      <c r="F83" s="24" t="s">
        <v>333</v>
      </c>
      <c r="G83" s="24" t="s">
        <v>347</v>
      </c>
      <c r="H83" s="10">
        <v>191.52832729468398</v>
      </c>
    </row>
    <row r="84" spans="1:8" x14ac:dyDescent="0.2">
      <c r="A84" s="9"/>
      <c r="B84" s="24" t="s">
        <v>336</v>
      </c>
      <c r="C84" s="25">
        <v>44267</v>
      </c>
      <c r="D84" s="24" t="s">
        <v>1474</v>
      </c>
      <c r="E84" s="24" t="s">
        <v>680</v>
      </c>
      <c r="F84" s="24" t="s">
        <v>333</v>
      </c>
      <c r="G84" s="24" t="s">
        <v>347</v>
      </c>
      <c r="H84" s="10">
        <v>119.21442660533815</v>
      </c>
    </row>
    <row r="85" spans="1:8" x14ac:dyDescent="0.2">
      <c r="A85" s="9"/>
      <c r="B85" s="24" t="s">
        <v>336</v>
      </c>
      <c r="C85" s="25">
        <v>44267</v>
      </c>
      <c r="D85" s="24" t="s">
        <v>1475</v>
      </c>
      <c r="E85" s="24" t="s">
        <v>375</v>
      </c>
      <c r="F85" s="24" t="s">
        <v>333</v>
      </c>
      <c r="G85" s="24" t="s">
        <v>347</v>
      </c>
      <c r="H85" s="10">
        <v>115.28820297462342</v>
      </c>
    </row>
    <row r="86" spans="1:8" x14ac:dyDescent="0.2">
      <c r="A86" s="9"/>
      <c r="B86" s="24" t="s">
        <v>336</v>
      </c>
      <c r="C86" s="25">
        <v>44267</v>
      </c>
      <c r="D86" s="24" t="s">
        <v>1476</v>
      </c>
      <c r="E86" s="24" t="s">
        <v>650</v>
      </c>
      <c r="F86" s="24" t="s">
        <v>333</v>
      </c>
      <c r="G86" s="24" t="s">
        <v>347</v>
      </c>
      <c r="H86" s="10">
        <v>13027.923865553419</v>
      </c>
    </row>
    <row r="87" spans="1:8" x14ac:dyDescent="0.2">
      <c r="A87" s="9"/>
      <c r="B87" s="24" t="s">
        <v>336</v>
      </c>
      <c r="C87" s="25">
        <v>44270</v>
      </c>
      <c r="D87" s="24" t="s">
        <v>1477</v>
      </c>
      <c r="E87" s="24" t="s">
        <v>421</v>
      </c>
      <c r="F87" s="24" t="s">
        <v>333</v>
      </c>
      <c r="G87" s="24" t="s">
        <v>347</v>
      </c>
      <c r="H87" s="10">
        <v>180220.80323822555</v>
      </c>
    </row>
    <row r="88" spans="1:8" x14ac:dyDescent="0.2">
      <c r="A88" s="9"/>
      <c r="B88" s="24" t="s">
        <v>336</v>
      </c>
      <c r="C88" s="25">
        <v>44270</v>
      </c>
      <c r="D88" s="24" t="s">
        <v>1478</v>
      </c>
      <c r="E88" s="24" t="s">
        <v>344</v>
      </c>
      <c r="F88" s="24" t="s">
        <v>333</v>
      </c>
      <c r="G88" s="24" t="s">
        <v>347</v>
      </c>
      <c r="H88" s="10">
        <v>286.74519916319906</v>
      </c>
    </row>
    <row r="89" spans="1:8" x14ac:dyDescent="0.2">
      <c r="A89" s="9"/>
      <c r="B89" s="24" t="s">
        <v>336</v>
      </c>
      <c r="C89" s="25">
        <v>44271</v>
      </c>
      <c r="D89" s="24" t="s">
        <v>1479</v>
      </c>
      <c r="E89" s="24" t="s">
        <v>625</v>
      </c>
      <c r="F89" s="24" t="s">
        <v>333</v>
      </c>
      <c r="G89" s="24" t="s">
        <v>347</v>
      </c>
      <c r="H89" s="10">
        <v>472.31280512761612</v>
      </c>
    </row>
    <row r="90" spans="1:8" x14ac:dyDescent="0.2">
      <c r="A90" s="9"/>
      <c r="B90" s="24" t="s">
        <v>336</v>
      </c>
      <c r="C90" s="25">
        <v>44273</v>
      </c>
      <c r="D90" s="24" t="s">
        <v>1480</v>
      </c>
      <c r="E90" s="24" t="s">
        <v>344</v>
      </c>
      <c r="F90" s="24" t="s">
        <v>333</v>
      </c>
      <c r="G90" s="24" t="s">
        <v>347</v>
      </c>
      <c r="H90" s="10">
        <v>242.94995920968114</v>
      </c>
    </row>
    <row r="91" spans="1:8" x14ac:dyDescent="0.2">
      <c r="A91" s="9"/>
      <c r="B91" s="24" t="s">
        <v>336</v>
      </c>
      <c r="C91" s="25">
        <v>44273</v>
      </c>
      <c r="D91" s="24" t="s">
        <v>1481</v>
      </c>
      <c r="E91" s="24" t="s">
        <v>700</v>
      </c>
      <c r="F91" s="24" t="s">
        <v>333</v>
      </c>
      <c r="G91" s="24" t="s">
        <v>347</v>
      </c>
      <c r="H91" s="10">
        <v>2058.2929942837823</v>
      </c>
    </row>
    <row r="92" spans="1:8" x14ac:dyDescent="0.2">
      <c r="A92" s="9"/>
      <c r="B92" s="24" t="s">
        <v>336</v>
      </c>
      <c r="C92" s="25">
        <v>44277</v>
      </c>
      <c r="D92" s="24" t="s">
        <v>1482</v>
      </c>
      <c r="E92" s="24" t="s">
        <v>711</v>
      </c>
      <c r="F92" s="24" t="s">
        <v>333</v>
      </c>
      <c r="G92" s="24" t="s">
        <v>347</v>
      </c>
      <c r="H92" s="10">
        <v>26036.918574147847</v>
      </c>
    </row>
    <row r="93" spans="1:8" x14ac:dyDescent="0.2">
      <c r="A93" s="9"/>
      <c r="B93" s="24" t="s">
        <v>336</v>
      </c>
      <c r="C93" s="25">
        <v>44277</v>
      </c>
      <c r="D93" s="24" t="s">
        <v>1483</v>
      </c>
      <c r="E93" s="24" t="s">
        <v>344</v>
      </c>
      <c r="F93" s="24" t="s">
        <v>333</v>
      </c>
      <c r="G93" s="24" t="s">
        <v>347</v>
      </c>
      <c r="H93" s="10">
        <v>822.6152365189306</v>
      </c>
    </row>
    <row r="94" spans="1:8" x14ac:dyDescent="0.2">
      <c r="A94" s="9"/>
      <c r="B94" s="24" t="s">
        <v>336</v>
      </c>
      <c r="C94" s="25">
        <v>44277</v>
      </c>
      <c r="D94" s="24" t="s">
        <v>1484</v>
      </c>
      <c r="E94" s="24" t="s">
        <v>344</v>
      </c>
      <c r="F94" s="24" t="s">
        <v>333</v>
      </c>
      <c r="G94" s="24" t="s">
        <v>347</v>
      </c>
      <c r="H94" s="10">
        <v>783.6623390432942</v>
      </c>
    </row>
    <row r="95" spans="1:8" x14ac:dyDescent="0.2">
      <c r="A95" s="9"/>
      <c r="B95" s="24" t="s">
        <v>336</v>
      </c>
      <c r="C95" s="25">
        <v>44277</v>
      </c>
      <c r="D95" s="24" t="s">
        <v>1485</v>
      </c>
      <c r="E95" s="24" t="s">
        <v>585</v>
      </c>
      <c r="F95" s="24" t="s">
        <v>333</v>
      </c>
      <c r="G95" s="24" t="s">
        <v>347</v>
      </c>
      <c r="H95" s="10">
        <v>6486.049819584834</v>
      </c>
    </row>
    <row r="96" spans="1:8" x14ac:dyDescent="0.2">
      <c r="A96" s="9"/>
      <c r="B96" s="24" t="s">
        <v>336</v>
      </c>
      <c r="C96" s="25">
        <v>44277</v>
      </c>
      <c r="D96" s="24" t="s">
        <v>1486</v>
      </c>
      <c r="E96" s="24" t="s">
        <v>694</v>
      </c>
      <c r="F96" s="24" t="s">
        <v>333</v>
      </c>
      <c r="G96" s="24" t="s">
        <v>347</v>
      </c>
      <c r="H96" s="10">
        <v>1560.4597355565204</v>
      </c>
    </row>
    <row r="97" spans="1:8" x14ac:dyDescent="0.2">
      <c r="A97" s="9"/>
      <c r="B97" s="24" t="s">
        <v>336</v>
      </c>
      <c r="C97" s="25">
        <v>44277</v>
      </c>
      <c r="D97" s="24" t="s">
        <v>1487</v>
      </c>
      <c r="E97" s="24" t="s">
        <v>375</v>
      </c>
      <c r="F97" s="24" t="s">
        <v>333</v>
      </c>
      <c r="G97" s="24" t="s">
        <v>347</v>
      </c>
      <c r="H97" s="10">
        <v>33.729830282049264</v>
      </c>
    </row>
    <row r="98" spans="1:8" x14ac:dyDescent="0.2">
      <c r="A98" s="9"/>
      <c r="B98" s="24" t="s">
        <v>336</v>
      </c>
      <c r="C98" s="25">
        <v>44280</v>
      </c>
      <c r="D98" s="24" t="s">
        <v>1488</v>
      </c>
      <c r="E98" s="24" t="s">
        <v>600</v>
      </c>
      <c r="F98" s="24" t="s">
        <v>333</v>
      </c>
      <c r="G98" s="24" t="s">
        <v>347</v>
      </c>
      <c r="H98" s="10">
        <v>17.846471048703314</v>
      </c>
    </row>
    <row r="99" spans="1:8" x14ac:dyDescent="0.2">
      <c r="A99" s="9"/>
      <c r="B99" s="24" t="s">
        <v>336</v>
      </c>
      <c r="C99" s="25">
        <v>44280</v>
      </c>
      <c r="D99" s="24" t="s">
        <v>1489</v>
      </c>
      <c r="E99" s="24" t="s">
        <v>510</v>
      </c>
      <c r="F99" s="24" t="s">
        <v>333</v>
      </c>
      <c r="G99" s="24" t="s">
        <v>347</v>
      </c>
      <c r="H99" s="10">
        <v>62.462648670461604</v>
      </c>
    </row>
    <row r="100" spans="1:8" x14ac:dyDescent="0.2">
      <c r="A100" s="9"/>
      <c r="B100" s="24" t="s">
        <v>336</v>
      </c>
      <c r="C100" s="25">
        <v>44280</v>
      </c>
      <c r="D100" s="24" t="s">
        <v>1490</v>
      </c>
      <c r="E100" s="24" t="s">
        <v>566</v>
      </c>
      <c r="F100" s="24" t="s">
        <v>333</v>
      </c>
      <c r="G100" s="24" t="s">
        <v>347</v>
      </c>
      <c r="H100" s="10">
        <v>23.795294731604422</v>
      </c>
    </row>
    <row r="101" spans="1:8" x14ac:dyDescent="0.2">
      <c r="A101" s="9"/>
      <c r="B101" s="24" t="s">
        <v>336</v>
      </c>
      <c r="C101" s="25">
        <v>44282</v>
      </c>
      <c r="D101" s="24" t="s">
        <v>1491</v>
      </c>
      <c r="E101" s="24" t="s">
        <v>375</v>
      </c>
      <c r="F101" s="24" t="s">
        <v>333</v>
      </c>
      <c r="G101" s="24" t="s">
        <v>347</v>
      </c>
      <c r="H101" s="10">
        <v>910.17002348386904</v>
      </c>
    </row>
    <row r="102" spans="1:8" x14ac:dyDescent="0.2">
      <c r="A102" s="9"/>
      <c r="B102" s="24" t="s">
        <v>336</v>
      </c>
      <c r="C102" s="25">
        <v>44284</v>
      </c>
      <c r="D102" s="24" t="s">
        <v>1492</v>
      </c>
      <c r="E102" s="24" t="s">
        <v>597</v>
      </c>
      <c r="F102" s="24" t="s">
        <v>333</v>
      </c>
      <c r="G102" s="24" t="s">
        <v>347</v>
      </c>
      <c r="H102" s="10">
        <v>25236.099827603066</v>
      </c>
    </row>
    <row r="103" spans="1:8" x14ac:dyDescent="0.2">
      <c r="A103" s="9"/>
      <c r="B103" s="24" t="s">
        <v>336</v>
      </c>
      <c r="C103" s="25">
        <v>44284</v>
      </c>
      <c r="D103" s="24" t="s">
        <v>1493</v>
      </c>
      <c r="E103" s="24" t="s">
        <v>344</v>
      </c>
      <c r="F103" s="24" t="s">
        <v>333</v>
      </c>
      <c r="G103" s="24" t="s">
        <v>347</v>
      </c>
      <c r="H103" s="10">
        <v>2760.5516300502577</v>
      </c>
    </row>
    <row r="104" spans="1:8" x14ac:dyDescent="0.2">
      <c r="A104" s="9"/>
      <c r="B104" s="24" t="s">
        <v>336</v>
      </c>
      <c r="C104" s="25">
        <v>44285</v>
      </c>
      <c r="D104" s="24" t="s">
        <v>1494</v>
      </c>
      <c r="E104" s="24" t="s">
        <v>344</v>
      </c>
      <c r="F104" s="24" t="s">
        <v>333</v>
      </c>
      <c r="G104" s="24" t="s">
        <v>347</v>
      </c>
      <c r="H104" s="10">
        <v>1639.2935470023258</v>
      </c>
    </row>
    <row r="105" spans="1:8" x14ac:dyDescent="0.2">
      <c r="A105" s="9"/>
      <c r="B105" s="24" t="s">
        <v>336</v>
      </c>
      <c r="C105" s="25">
        <v>44286</v>
      </c>
      <c r="D105" s="24" t="s">
        <v>1495</v>
      </c>
      <c r="E105" s="24" t="s">
        <v>5</v>
      </c>
      <c r="F105" s="24" t="s">
        <v>333</v>
      </c>
      <c r="G105" s="24" t="s">
        <v>1419</v>
      </c>
      <c r="H105" s="10">
        <v>48990.692583248157</v>
      </c>
    </row>
    <row r="106" spans="1:8" x14ac:dyDescent="0.2">
      <c r="A106" s="9"/>
      <c r="B106" s="24" t="s">
        <v>336</v>
      </c>
      <c r="C106" s="25">
        <v>44291</v>
      </c>
      <c r="D106" s="24" t="s">
        <v>1496</v>
      </c>
      <c r="E106" s="24" t="s">
        <v>729</v>
      </c>
      <c r="F106" s="24" t="s">
        <v>333</v>
      </c>
      <c r="G106" s="24" t="s">
        <v>347</v>
      </c>
      <c r="H106" s="10">
        <v>18197.221477092924</v>
      </c>
    </row>
    <row r="107" spans="1:8" x14ac:dyDescent="0.2">
      <c r="A107" s="9"/>
      <c r="B107" s="24" t="s">
        <v>336</v>
      </c>
      <c r="C107" s="25">
        <v>44292</v>
      </c>
      <c r="D107" s="24" t="s">
        <v>1497</v>
      </c>
      <c r="E107" s="24" t="s">
        <v>592</v>
      </c>
      <c r="F107" s="24" t="s">
        <v>333</v>
      </c>
      <c r="G107" s="24" t="s">
        <v>347</v>
      </c>
      <c r="H107" s="10">
        <v>85.096051893623056</v>
      </c>
    </row>
    <row r="108" spans="1:8" x14ac:dyDescent="0.2">
      <c r="A108" s="9"/>
      <c r="B108" s="24" t="s">
        <v>336</v>
      </c>
      <c r="C108" s="25">
        <v>44292</v>
      </c>
      <c r="D108" s="24" t="s">
        <v>1498</v>
      </c>
      <c r="E108" s="24" t="s">
        <v>592</v>
      </c>
      <c r="F108" s="24" t="s">
        <v>333</v>
      </c>
      <c r="G108" s="24" t="s">
        <v>347</v>
      </c>
      <c r="H108" s="10">
        <v>85.096051893623056</v>
      </c>
    </row>
    <row r="109" spans="1:8" x14ac:dyDescent="0.2">
      <c r="A109" s="9"/>
      <c r="B109" s="24" t="s">
        <v>336</v>
      </c>
      <c r="C109" s="25">
        <v>44292</v>
      </c>
      <c r="D109" s="24" t="s">
        <v>1499</v>
      </c>
      <c r="E109" s="24" t="s">
        <v>592</v>
      </c>
      <c r="F109" s="24" t="s">
        <v>333</v>
      </c>
      <c r="G109" s="24" t="s">
        <v>347</v>
      </c>
      <c r="H109" s="10">
        <v>85.096051893623056</v>
      </c>
    </row>
    <row r="110" spans="1:8" x14ac:dyDescent="0.2">
      <c r="A110" s="9"/>
      <c r="B110" s="24" t="s">
        <v>336</v>
      </c>
      <c r="C110" s="25">
        <v>44292</v>
      </c>
      <c r="D110" s="24" t="s">
        <v>1500</v>
      </c>
      <c r="E110" s="24" t="s">
        <v>344</v>
      </c>
      <c r="F110" s="24" t="s">
        <v>333</v>
      </c>
      <c r="G110" s="24" t="s">
        <v>347</v>
      </c>
      <c r="H110" s="10">
        <v>726.74850502124139</v>
      </c>
    </row>
    <row r="111" spans="1:8" x14ac:dyDescent="0.2">
      <c r="A111" s="9"/>
      <c r="B111" s="24" t="s">
        <v>336</v>
      </c>
      <c r="C111" s="25">
        <v>44292</v>
      </c>
      <c r="D111" s="24" t="s">
        <v>1501</v>
      </c>
      <c r="E111" s="24" t="s">
        <v>344</v>
      </c>
      <c r="F111" s="24" t="s">
        <v>333</v>
      </c>
      <c r="G111" s="24" t="s">
        <v>347</v>
      </c>
      <c r="H111" s="10">
        <v>1674.7754451520389</v>
      </c>
    </row>
    <row r="112" spans="1:8" x14ac:dyDescent="0.2">
      <c r="A112" s="9"/>
      <c r="B112" s="24" t="s">
        <v>336</v>
      </c>
      <c r="C112" s="25">
        <v>44293</v>
      </c>
      <c r="D112" s="24" t="s">
        <v>1502</v>
      </c>
      <c r="E112" s="24" t="s">
        <v>344</v>
      </c>
      <c r="F112" s="24" t="s">
        <v>333</v>
      </c>
      <c r="G112" s="24" t="s">
        <v>347</v>
      </c>
      <c r="H112" s="10">
        <v>756.45319767213516</v>
      </c>
    </row>
    <row r="113" spans="1:8" x14ac:dyDescent="0.2">
      <c r="A113" s="9"/>
      <c r="B113" s="24" t="s">
        <v>336</v>
      </c>
      <c r="C113" s="25">
        <v>44294</v>
      </c>
      <c r="D113" s="24" t="s">
        <v>1503</v>
      </c>
      <c r="E113" s="24" t="s">
        <v>375</v>
      </c>
      <c r="F113" s="24" t="s">
        <v>333</v>
      </c>
      <c r="G113" s="24" t="s">
        <v>347</v>
      </c>
      <c r="H113" s="10">
        <v>1463.7094929425889</v>
      </c>
    </row>
    <row r="114" spans="1:8" x14ac:dyDescent="0.2">
      <c r="A114" s="9"/>
      <c r="B114" s="24" t="s">
        <v>336</v>
      </c>
      <c r="C114" s="25">
        <v>44294</v>
      </c>
      <c r="D114" s="24" t="s">
        <v>1504</v>
      </c>
      <c r="E114" s="24" t="s">
        <v>346</v>
      </c>
      <c r="F114" s="24" t="s">
        <v>333</v>
      </c>
      <c r="G114" s="24" t="s">
        <v>347</v>
      </c>
      <c r="H114" s="10">
        <v>116.59450617802484</v>
      </c>
    </row>
    <row r="115" spans="1:8" x14ac:dyDescent="0.2">
      <c r="A115" s="9"/>
      <c r="B115" s="24" t="s">
        <v>336</v>
      </c>
      <c r="C115" s="25">
        <v>44298</v>
      </c>
      <c r="D115" s="24" t="s">
        <v>1505</v>
      </c>
      <c r="E115" s="24" t="s">
        <v>375</v>
      </c>
      <c r="F115" s="24" t="s">
        <v>333</v>
      </c>
      <c r="G115" s="24" t="s">
        <v>347</v>
      </c>
      <c r="H115" s="10">
        <v>2059.2383552672695</v>
      </c>
    </row>
    <row r="116" spans="1:8" x14ac:dyDescent="0.2">
      <c r="A116" s="9"/>
      <c r="B116" s="24" t="s">
        <v>336</v>
      </c>
      <c r="C116" s="25">
        <v>44299</v>
      </c>
      <c r="D116" s="24" t="s">
        <v>1506</v>
      </c>
      <c r="E116" s="24" t="s">
        <v>521</v>
      </c>
      <c r="F116" s="24" t="s">
        <v>333</v>
      </c>
      <c r="G116" s="24" t="s">
        <v>347</v>
      </c>
      <c r="H116" s="10">
        <v>52090.837837074483</v>
      </c>
    </row>
    <row r="117" spans="1:8" x14ac:dyDescent="0.2">
      <c r="A117" s="9"/>
      <c r="B117" s="24" t="s">
        <v>336</v>
      </c>
      <c r="C117" s="25">
        <v>44299</v>
      </c>
      <c r="D117" s="24" t="s">
        <v>1507</v>
      </c>
      <c r="E117" s="24" t="s">
        <v>421</v>
      </c>
      <c r="F117" s="24" t="s">
        <v>333</v>
      </c>
      <c r="G117" s="24" t="s">
        <v>347</v>
      </c>
      <c r="H117" s="10">
        <v>165743.57493614609</v>
      </c>
    </row>
    <row r="118" spans="1:8" x14ac:dyDescent="0.2">
      <c r="A118" s="9"/>
      <c r="B118" s="24" t="s">
        <v>336</v>
      </c>
      <c r="C118" s="25">
        <v>44299</v>
      </c>
      <c r="D118" s="24" t="s">
        <v>1508</v>
      </c>
      <c r="E118" s="24" t="s">
        <v>421</v>
      </c>
      <c r="F118" s="24" t="s">
        <v>333</v>
      </c>
      <c r="G118" s="24" t="s">
        <v>347</v>
      </c>
      <c r="H118" s="10">
        <v>165743.57493614609</v>
      </c>
    </row>
    <row r="119" spans="1:8" x14ac:dyDescent="0.2">
      <c r="A119" s="9"/>
      <c r="B119" s="24" t="s">
        <v>336</v>
      </c>
      <c r="C119" s="25">
        <v>44300</v>
      </c>
      <c r="D119" s="24" t="s">
        <v>1509</v>
      </c>
      <c r="E119" s="24" t="s">
        <v>568</v>
      </c>
      <c r="F119" s="24" t="s">
        <v>333</v>
      </c>
      <c r="G119" s="24" t="s">
        <v>347</v>
      </c>
      <c r="H119" s="10">
        <v>81214.351718711579</v>
      </c>
    </row>
    <row r="120" spans="1:8" x14ac:dyDescent="0.2">
      <c r="A120" s="9"/>
      <c r="B120" s="24" t="s">
        <v>336</v>
      </c>
      <c r="C120" s="25">
        <v>44300</v>
      </c>
      <c r="D120" s="24" t="s">
        <v>1510</v>
      </c>
      <c r="E120" s="24" t="s">
        <v>615</v>
      </c>
      <c r="F120" s="24" t="s">
        <v>333</v>
      </c>
      <c r="G120" s="24" t="s">
        <v>347</v>
      </c>
      <c r="H120" s="10">
        <v>13563.707967934655</v>
      </c>
    </row>
    <row r="121" spans="1:8" x14ac:dyDescent="0.2">
      <c r="A121" s="9"/>
      <c r="B121" s="24" t="s">
        <v>929</v>
      </c>
      <c r="C121" s="25">
        <v>44301</v>
      </c>
      <c r="D121" s="24" t="s">
        <v>1511</v>
      </c>
      <c r="E121" s="24" t="s">
        <v>931</v>
      </c>
      <c r="F121" s="24" t="s">
        <v>333</v>
      </c>
      <c r="G121" s="24" t="s">
        <v>347</v>
      </c>
      <c r="H121" s="10">
        <v>-2855.761620809034</v>
      </c>
    </row>
    <row r="122" spans="1:8" x14ac:dyDescent="0.2">
      <c r="A122" s="9"/>
      <c r="B122" s="24" t="s">
        <v>336</v>
      </c>
      <c r="C122" s="25">
        <v>44301</v>
      </c>
      <c r="D122" s="24" t="s">
        <v>1512</v>
      </c>
      <c r="E122" s="24" t="s">
        <v>420</v>
      </c>
      <c r="F122" s="24" t="s">
        <v>333</v>
      </c>
      <c r="G122" s="24" t="s">
        <v>347</v>
      </c>
      <c r="H122" s="10">
        <v>10224.441310996024</v>
      </c>
    </row>
    <row r="123" spans="1:8" x14ac:dyDescent="0.2">
      <c r="A123" s="9"/>
      <c r="B123" s="24" t="s">
        <v>336</v>
      </c>
      <c r="C123" s="25">
        <v>44302</v>
      </c>
      <c r="D123" s="24" t="s">
        <v>1513</v>
      </c>
      <c r="E123" s="24" t="s">
        <v>376</v>
      </c>
      <c r="F123" s="24" t="s">
        <v>333</v>
      </c>
      <c r="G123" s="24" t="s">
        <v>347</v>
      </c>
      <c r="H123" s="10">
        <v>4510.6049620302938</v>
      </c>
    </row>
    <row r="124" spans="1:8" x14ac:dyDescent="0.2">
      <c r="A124" s="9"/>
      <c r="B124" s="24" t="s">
        <v>336</v>
      </c>
      <c r="C124" s="25">
        <v>44305</v>
      </c>
      <c r="D124" s="24" t="s">
        <v>1514</v>
      </c>
      <c r="E124" s="24" t="s">
        <v>762</v>
      </c>
      <c r="F124" s="24" t="s">
        <v>333</v>
      </c>
      <c r="G124" s="24" t="s">
        <v>347</v>
      </c>
      <c r="H124" s="10">
        <v>6706.6524333500938</v>
      </c>
    </row>
    <row r="125" spans="1:8" x14ac:dyDescent="0.2">
      <c r="A125" s="9"/>
      <c r="B125" s="24" t="s">
        <v>336</v>
      </c>
      <c r="C125" s="25">
        <v>44305</v>
      </c>
      <c r="D125" s="24" t="s">
        <v>1515</v>
      </c>
      <c r="E125" s="24" t="s">
        <v>639</v>
      </c>
      <c r="F125" s="24" t="s">
        <v>333</v>
      </c>
      <c r="G125" s="24" t="s">
        <v>347</v>
      </c>
      <c r="H125" s="10">
        <v>9231.4507459186243</v>
      </c>
    </row>
    <row r="126" spans="1:8" x14ac:dyDescent="0.2">
      <c r="A126" s="9"/>
      <c r="B126" s="24" t="s">
        <v>336</v>
      </c>
      <c r="C126" s="25">
        <v>44305</v>
      </c>
      <c r="D126" s="24" t="s">
        <v>1516</v>
      </c>
      <c r="E126" s="24" t="s">
        <v>759</v>
      </c>
      <c r="F126" s="24" t="s">
        <v>333</v>
      </c>
      <c r="G126" s="24" t="s">
        <v>347</v>
      </c>
      <c r="H126" s="10">
        <v>4419.3467689365843</v>
      </c>
    </row>
    <row r="127" spans="1:8" x14ac:dyDescent="0.2">
      <c r="A127" s="9"/>
      <c r="B127" s="24" t="s">
        <v>336</v>
      </c>
      <c r="C127" s="25">
        <v>44306</v>
      </c>
      <c r="D127" s="24" t="s">
        <v>1517</v>
      </c>
      <c r="E127" s="24" t="s">
        <v>544</v>
      </c>
      <c r="F127" s="24" t="s">
        <v>333</v>
      </c>
      <c r="G127" s="24" t="s">
        <v>347</v>
      </c>
      <c r="H127" s="10">
        <v>9471.0614249226328</v>
      </c>
    </row>
    <row r="128" spans="1:8" x14ac:dyDescent="0.2">
      <c r="A128" s="9"/>
      <c r="B128" s="24" t="s">
        <v>336</v>
      </c>
      <c r="C128" s="25">
        <v>44306</v>
      </c>
      <c r="D128" s="24" t="s">
        <v>1518</v>
      </c>
      <c r="E128" s="24" t="s">
        <v>375</v>
      </c>
      <c r="F128" s="24" t="s">
        <v>333</v>
      </c>
      <c r="G128" s="24" t="s">
        <v>347</v>
      </c>
      <c r="H128" s="10">
        <v>1463.7094929425889</v>
      </c>
    </row>
    <row r="129" spans="1:8" x14ac:dyDescent="0.2">
      <c r="A129" s="9"/>
      <c r="B129" s="24" t="s">
        <v>336</v>
      </c>
      <c r="C129" s="25">
        <v>44306</v>
      </c>
      <c r="D129" s="24" t="s">
        <v>1519</v>
      </c>
      <c r="E129" s="24" t="s">
        <v>344</v>
      </c>
      <c r="F129" s="24" t="s">
        <v>333</v>
      </c>
      <c r="G129" s="24" t="s">
        <v>347</v>
      </c>
      <c r="H129" s="10">
        <v>958.80146834273603</v>
      </c>
    </row>
    <row r="130" spans="1:8" x14ac:dyDescent="0.2">
      <c r="A130" s="9"/>
      <c r="B130" s="24" t="s">
        <v>336</v>
      </c>
      <c r="C130" s="25">
        <v>44308</v>
      </c>
      <c r="D130" s="24" t="s">
        <v>1520</v>
      </c>
      <c r="E130" s="24" t="s">
        <v>376</v>
      </c>
      <c r="F130" s="24" t="s">
        <v>333</v>
      </c>
      <c r="G130" s="24" t="s">
        <v>347</v>
      </c>
      <c r="H130" s="10">
        <v>1047.6763780776159</v>
      </c>
    </row>
    <row r="131" spans="1:8" x14ac:dyDescent="0.2">
      <c r="A131" s="9"/>
      <c r="B131" s="24" t="s">
        <v>336</v>
      </c>
      <c r="C131" s="25">
        <v>44308</v>
      </c>
      <c r="D131" s="24" t="s">
        <v>1521</v>
      </c>
      <c r="E131" s="24" t="s">
        <v>711</v>
      </c>
      <c r="F131" s="24" t="s">
        <v>333</v>
      </c>
      <c r="G131" s="24" t="s">
        <v>347</v>
      </c>
      <c r="H131" s="10">
        <v>-233.78693290055239</v>
      </c>
    </row>
    <row r="132" spans="1:8" x14ac:dyDescent="0.2">
      <c r="A132" s="9"/>
      <c r="B132" s="24" t="s">
        <v>336</v>
      </c>
      <c r="C132" s="25">
        <v>44308</v>
      </c>
      <c r="D132" s="24" t="s">
        <v>1522</v>
      </c>
      <c r="E132" s="24" t="s">
        <v>423</v>
      </c>
      <c r="F132" s="24" t="s">
        <v>333</v>
      </c>
      <c r="G132" s="24" t="s">
        <v>347</v>
      </c>
      <c r="H132" s="10">
        <v>26045.418918537242</v>
      </c>
    </row>
    <row r="133" spans="1:8" x14ac:dyDescent="0.2">
      <c r="A133" s="9"/>
      <c r="B133" s="24" t="s">
        <v>336</v>
      </c>
      <c r="C133" s="25">
        <v>44308</v>
      </c>
      <c r="D133" s="24" t="s">
        <v>1523</v>
      </c>
      <c r="E133" s="24" t="s">
        <v>346</v>
      </c>
      <c r="F133" s="24" t="s">
        <v>333</v>
      </c>
      <c r="G133" s="24" t="s">
        <v>347</v>
      </c>
      <c r="H133" s="10">
        <v>109.41945964399254</v>
      </c>
    </row>
    <row r="134" spans="1:8" x14ac:dyDescent="0.2">
      <c r="A134" s="9"/>
      <c r="B134" s="24" t="s">
        <v>336</v>
      </c>
      <c r="C134" s="25">
        <v>44309</v>
      </c>
      <c r="D134" s="24" t="s">
        <v>1524</v>
      </c>
      <c r="E134" s="24" t="s">
        <v>424</v>
      </c>
      <c r="F134" s="24" t="s">
        <v>333</v>
      </c>
      <c r="G134" s="24" t="s">
        <v>347</v>
      </c>
      <c r="H134" s="10">
        <v>298.96027225134577</v>
      </c>
    </row>
    <row r="135" spans="1:8" x14ac:dyDescent="0.2">
      <c r="A135" s="9"/>
      <c r="B135" s="24" t="s">
        <v>336</v>
      </c>
      <c r="C135" s="25">
        <v>44309</v>
      </c>
      <c r="D135" s="24" t="s">
        <v>1525</v>
      </c>
      <c r="E135" s="24" t="s">
        <v>585</v>
      </c>
      <c r="F135" s="24" t="s">
        <v>333</v>
      </c>
      <c r="G135" s="24" t="s">
        <v>347</v>
      </c>
      <c r="H135" s="10">
        <v>14868.542254070613</v>
      </c>
    </row>
    <row r="136" spans="1:8" x14ac:dyDescent="0.2">
      <c r="A136" s="9"/>
      <c r="B136" s="24" t="s">
        <v>336</v>
      </c>
      <c r="C136" s="25">
        <v>44309</v>
      </c>
      <c r="D136" s="24" t="s">
        <v>1526</v>
      </c>
      <c r="E136" s="24" t="s">
        <v>346</v>
      </c>
      <c r="F136" s="24" t="s">
        <v>333</v>
      </c>
      <c r="G136" s="24" t="s">
        <v>347</v>
      </c>
      <c r="H136" s="10">
        <v>29.896027225134574</v>
      </c>
    </row>
    <row r="137" spans="1:8" x14ac:dyDescent="0.2">
      <c r="A137" s="9"/>
      <c r="B137" s="24" t="s">
        <v>336</v>
      </c>
      <c r="C137" s="25">
        <v>44313</v>
      </c>
      <c r="D137" s="24" t="s">
        <v>1527</v>
      </c>
      <c r="E137" s="24" t="s">
        <v>796</v>
      </c>
      <c r="F137" s="24" t="s">
        <v>333</v>
      </c>
      <c r="G137" s="24" t="s">
        <v>347</v>
      </c>
      <c r="H137" s="10">
        <v>1165.1318898397249</v>
      </c>
    </row>
    <row r="138" spans="1:8" x14ac:dyDescent="0.2">
      <c r="A138" s="9"/>
      <c r="B138" s="24" t="s">
        <v>336</v>
      </c>
      <c r="C138" s="25">
        <v>44313</v>
      </c>
      <c r="D138" s="24" t="s">
        <v>1528</v>
      </c>
      <c r="E138" s="24" t="s">
        <v>344</v>
      </c>
      <c r="F138" s="24" t="s">
        <v>333</v>
      </c>
      <c r="G138" s="24" t="s">
        <v>347</v>
      </c>
      <c r="H138" s="10">
        <v>1042.7255959691338</v>
      </c>
    </row>
    <row r="139" spans="1:8" x14ac:dyDescent="0.2">
      <c r="A139" s="9"/>
      <c r="B139" s="24" t="s">
        <v>336</v>
      </c>
      <c r="C139" s="25">
        <v>44314</v>
      </c>
      <c r="D139" s="24" t="s">
        <v>1529</v>
      </c>
      <c r="E139" s="24" t="s">
        <v>344</v>
      </c>
      <c r="F139" s="24" t="s">
        <v>333</v>
      </c>
      <c r="G139" s="24" t="s">
        <v>347</v>
      </c>
      <c r="H139" s="10">
        <v>489.20663110121211</v>
      </c>
    </row>
    <row r="140" spans="1:8" x14ac:dyDescent="0.2">
      <c r="A140" s="9"/>
      <c r="B140" s="24" t="s">
        <v>336</v>
      </c>
      <c r="C140" s="25">
        <v>44315</v>
      </c>
      <c r="D140" s="24" t="s">
        <v>1530</v>
      </c>
      <c r="E140" s="24" t="s">
        <v>568</v>
      </c>
      <c r="F140" s="24" t="s">
        <v>333</v>
      </c>
      <c r="G140" s="24" t="s">
        <v>347</v>
      </c>
      <c r="H140" s="10">
        <v>81214.351718711579</v>
      </c>
    </row>
    <row r="141" spans="1:8" x14ac:dyDescent="0.2">
      <c r="A141" s="9"/>
      <c r="B141" s="24" t="s">
        <v>336</v>
      </c>
      <c r="C141" s="25">
        <v>44315</v>
      </c>
      <c r="D141" s="24" t="s">
        <v>1531</v>
      </c>
      <c r="E141" s="24" t="s">
        <v>344</v>
      </c>
      <c r="F141" s="24" t="s">
        <v>333</v>
      </c>
      <c r="G141" s="24" t="s">
        <v>347</v>
      </c>
      <c r="H141" s="10">
        <v>552.11983079378535</v>
      </c>
    </row>
    <row r="142" spans="1:8" x14ac:dyDescent="0.2">
      <c r="A142" s="9"/>
      <c r="B142" s="24" t="s">
        <v>336</v>
      </c>
      <c r="C142" s="25">
        <v>44316</v>
      </c>
      <c r="D142" s="24" t="s">
        <v>1532</v>
      </c>
      <c r="E142" s="24" t="s">
        <v>796</v>
      </c>
      <c r="F142" s="24" t="s">
        <v>333</v>
      </c>
      <c r="G142" s="24" t="s">
        <v>347</v>
      </c>
      <c r="H142" s="10">
        <v>1146.6681034254816</v>
      </c>
    </row>
    <row r="143" spans="1:8" x14ac:dyDescent="0.2">
      <c r="A143" s="9"/>
      <c r="B143" s="24" t="s">
        <v>336</v>
      </c>
      <c r="C143" s="25">
        <v>44316</v>
      </c>
      <c r="D143" s="24" t="s">
        <v>1533</v>
      </c>
      <c r="E143" s="24" t="s">
        <v>5</v>
      </c>
      <c r="F143" s="24" t="s">
        <v>333</v>
      </c>
      <c r="G143" s="24" t="s">
        <v>1419</v>
      </c>
      <c r="H143" s="10">
        <v>33333.843426094907</v>
      </c>
    </row>
    <row r="144" spans="1:8" x14ac:dyDescent="0.2">
      <c r="A144" s="9"/>
      <c r="B144" s="24" t="s">
        <v>336</v>
      </c>
      <c r="C144" s="25">
        <v>44316</v>
      </c>
      <c r="D144" s="24" t="s">
        <v>1534</v>
      </c>
      <c r="E144" s="24" t="s">
        <v>377</v>
      </c>
      <c r="F144" s="24" t="s">
        <v>333</v>
      </c>
      <c r="G144" s="24" t="s">
        <v>347</v>
      </c>
      <c r="H144" s="10">
        <v>-269.60237351626358</v>
      </c>
    </row>
    <row r="145" spans="1:8" x14ac:dyDescent="0.2">
      <c r="A145" s="9"/>
      <c r="B145" s="24" t="s">
        <v>336</v>
      </c>
      <c r="C145" s="25">
        <v>44320</v>
      </c>
      <c r="D145" s="24" t="s">
        <v>1535</v>
      </c>
      <c r="E145" s="24" t="s">
        <v>344</v>
      </c>
      <c r="F145" s="24" t="s">
        <v>333</v>
      </c>
      <c r="G145" s="24" t="s">
        <v>347</v>
      </c>
      <c r="H145" s="10">
        <v>1320.3294808034811</v>
      </c>
    </row>
    <row r="146" spans="1:8" x14ac:dyDescent="0.2">
      <c r="A146" s="9"/>
      <c r="B146" s="24" t="s">
        <v>336</v>
      </c>
      <c r="C146" s="25">
        <v>44320</v>
      </c>
      <c r="D146" s="24" t="s">
        <v>1536</v>
      </c>
      <c r="E146" s="24" t="s">
        <v>376</v>
      </c>
      <c r="F146" s="24" t="s">
        <v>333</v>
      </c>
      <c r="G146" s="24" t="s">
        <v>347</v>
      </c>
      <c r="H146" s="10">
        <v>488.85328232373888</v>
      </c>
    </row>
    <row r="147" spans="1:8" x14ac:dyDescent="0.2">
      <c r="A147" s="9"/>
      <c r="B147" s="24" t="s">
        <v>336</v>
      </c>
      <c r="C147" s="25">
        <v>44321</v>
      </c>
      <c r="D147" s="24" t="s">
        <v>1537</v>
      </c>
      <c r="E147" s="24" t="s">
        <v>376</v>
      </c>
      <c r="F147" s="24" t="s">
        <v>333</v>
      </c>
      <c r="G147" s="24" t="s">
        <v>347</v>
      </c>
      <c r="H147" s="10">
        <v>308.57343380509633</v>
      </c>
    </row>
    <row r="148" spans="1:8" x14ac:dyDescent="0.2">
      <c r="A148" s="9"/>
      <c r="B148" s="24" t="s">
        <v>336</v>
      </c>
      <c r="C148" s="25">
        <v>44321</v>
      </c>
      <c r="D148" s="24" t="s">
        <v>1538</v>
      </c>
      <c r="E148" s="24" t="s">
        <v>344</v>
      </c>
      <c r="F148" s="24" t="s">
        <v>333</v>
      </c>
      <c r="G148" s="24" t="s">
        <v>347</v>
      </c>
      <c r="H148" s="10">
        <v>1045.6474424669486</v>
      </c>
    </row>
    <row r="149" spans="1:8" x14ac:dyDescent="0.2">
      <c r="A149" s="9"/>
      <c r="B149" s="24" t="s">
        <v>336</v>
      </c>
      <c r="C149" s="25">
        <v>44321</v>
      </c>
      <c r="D149" s="24" t="s">
        <v>1539</v>
      </c>
      <c r="E149" s="24" t="s">
        <v>796</v>
      </c>
      <c r="F149" s="24" t="s">
        <v>333</v>
      </c>
      <c r="G149" s="24" t="s">
        <v>347</v>
      </c>
      <c r="H149" s="10">
        <v>849.47378200807907</v>
      </c>
    </row>
    <row r="150" spans="1:8" x14ac:dyDescent="0.2">
      <c r="A150" s="9"/>
      <c r="B150" s="24" t="s">
        <v>336</v>
      </c>
      <c r="C150" s="25">
        <v>44321</v>
      </c>
      <c r="D150" s="24" t="s">
        <v>1540</v>
      </c>
      <c r="E150" s="24" t="s">
        <v>375</v>
      </c>
      <c r="F150" s="24" t="s">
        <v>333</v>
      </c>
      <c r="G150" s="24" t="s">
        <v>347</v>
      </c>
      <c r="H150" s="10">
        <v>700.44649407580494</v>
      </c>
    </row>
    <row r="151" spans="1:8" x14ac:dyDescent="0.2">
      <c r="A151" s="9"/>
      <c r="B151" s="24" t="s">
        <v>336</v>
      </c>
      <c r="C151" s="25">
        <v>44322</v>
      </c>
      <c r="D151" s="24" t="s">
        <v>1541</v>
      </c>
      <c r="E151" s="24" t="s">
        <v>344</v>
      </c>
      <c r="F151" s="24" t="s">
        <v>333</v>
      </c>
      <c r="G151" s="24" t="s">
        <v>347</v>
      </c>
      <c r="H151" s="10">
        <v>814.51225995134405</v>
      </c>
    </row>
    <row r="152" spans="1:8" x14ac:dyDescent="0.2">
      <c r="A152" s="9"/>
      <c r="B152" s="24" t="s">
        <v>336</v>
      </c>
      <c r="C152" s="25">
        <v>44323</v>
      </c>
      <c r="D152" s="24" t="s">
        <v>1542</v>
      </c>
      <c r="E152" s="24" t="s">
        <v>510</v>
      </c>
      <c r="F152" s="24" t="s">
        <v>333</v>
      </c>
      <c r="G152" s="24" t="s">
        <v>347</v>
      </c>
      <c r="H152" s="10">
        <v>62.018699996295226</v>
      </c>
    </row>
    <row r="153" spans="1:8" x14ac:dyDescent="0.2">
      <c r="A153" s="9"/>
      <c r="B153" s="24" t="s">
        <v>336</v>
      </c>
      <c r="C153" s="25">
        <v>44323</v>
      </c>
      <c r="D153" s="24" t="s">
        <v>1543</v>
      </c>
      <c r="E153" s="24" t="s">
        <v>809</v>
      </c>
      <c r="F153" s="24" t="s">
        <v>333</v>
      </c>
      <c r="G153" s="24" t="s">
        <v>347</v>
      </c>
      <c r="H153" s="10">
        <v>5642.4856467217624</v>
      </c>
    </row>
    <row r="154" spans="1:8" x14ac:dyDescent="0.2">
      <c r="A154" s="9"/>
      <c r="B154" s="24" t="s">
        <v>336</v>
      </c>
      <c r="C154" s="25">
        <v>44323</v>
      </c>
      <c r="D154" s="24" t="s">
        <v>1544</v>
      </c>
      <c r="E154" s="24" t="s">
        <v>376</v>
      </c>
      <c r="F154" s="24" t="s">
        <v>333</v>
      </c>
      <c r="G154" s="24" t="s">
        <v>347</v>
      </c>
      <c r="H154" s="10">
        <v>1231.2536028676259</v>
      </c>
    </row>
    <row r="155" spans="1:8" x14ac:dyDescent="0.2">
      <c r="A155" s="9"/>
      <c r="B155" s="24" t="s">
        <v>336</v>
      </c>
      <c r="C155" s="25">
        <v>44326</v>
      </c>
      <c r="D155" s="24" t="s">
        <v>1545</v>
      </c>
      <c r="E155" s="24" t="s">
        <v>377</v>
      </c>
      <c r="F155" s="24" t="s">
        <v>333</v>
      </c>
      <c r="G155" s="24" t="s">
        <v>347</v>
      </c>
      <c r="H155" s="10">
        <v>-219.47323481041889</v>
      </c>
    </row>
    <row r="156" spans="1:8" x14ac:dyDescent="0.2">
      <c r="A156" s="9"/>
      <c r="B156" s="24" t="s">
        <v>336</v>
      </c>
      <c r="C156" s="25">
        <v>44326</v>
      </c>
      <c r="D156" s="24" t="s">
        <v>1546</v>
      </c>
      <c r="E156" s="24" t="s">
        <v>5</v>
      </c>
      <c r="F156" s="24" t="s">
        <v>333</v>
      </c>
      <c r="G156" s="24" t="s">
        <v>1419</v>
      </c>
      <c r="H156" s="10">
        <v>37082.960004702451</v>
      </c>
    </row>
    <row r="157" spans="1:8" x14ac:dyDescent="0.2">
      <c r="A157" s="9"/>
      <c r="B157" s="24" t="s">
        <v>336</v>
      </c>
      <c r="C157" s="25">
        <v>44328</v>
      </c>
      <c r="D157" s="24" t="s">
        <v>1547</v>
      </c>
      <c r="E157" s="24" t="s">
        <v>819</v>
      </c>
      <c r="F157" s="24" t="s">
        <v>333</v>
      </c>
      <c r="G157" s="24" t="s">
        <v>347</v>
      </c>
      <c r="H157" s="10">
        <v>559.3843529077609</v>
      </c>
    </row>
    <row r="158" spans="1:8" x14ac:dyDescent="0.2">
      <c r="A158" s="9"/>
      <c r="B158" s="24" t="s">
        <v>336</v>
      </c>
      <c r="C158" s="25">
        <v>44328</v>
      </c>
      <c r="D158" s="24" t="s">
        <v>1548</v>
      </c>
      <c r="E158" s="24" t="s">
        <v>421</v>
      </c>
      <c r="F158" s="24" t="s">
        <v>333</v>
      </c>
      <c r="G158" s="24" t="s">
        <v>347</v>
      </c>
      <c r="H158" s="10">
        <v>168544.93763699057</v>
      </c>
    </row>
    <row r="159" spans="1:8" x14ac:dyDescent="0.2">
      <c r="A159" s="9"/>
      <c r="B159" s="24" t="s">
        <v>336</v>
      </c>
      <c r="C159" s="25">
        <v>44328</v>
      </c>
      <c r="D159" s="24" t="s">
        <v>1549</v>
      </c>
      <c r="E159" s="24" t="s">
        <v>421</v>
      </c>
      <c r="F159" s="24" t="s">
        <v>333</v>
      </c>
      <c r="G159" s="24" t="s">
        <v>347</v>
      </c>
      <c r="H159" s="10">
        <v>168544.93763699057</v>
      </c>
    </row>
    <row r="160" spans="1:8" x14ac:dyDescent="0.2">
      <c r="A160" s="9"/>
      <c r="B160" s="24" t="s">
        <v>336</v>
      </c>
      <c r="C160" s="25">
        <v>44328</v>
      </c>
      <c r="D160" s="24" t="s">
        <v>1550</v>
      </c>
      <c r="E160" s="24" t="s">
        <v>344</v>
      </c>
      <c r="F160" s="24" t="s">
        <v>333</v>
      </c>
      <c r="G160" s="24" t="s">
        <v>347</v>
      </c>
      <c r="H160" s="10">
        <v>495.37132608805535</v>
      </c>
    </row>
    <row r="161" spans="1:8" x14ac:dyDescent="0.2">
      <c r="A161" s="9"/>
      <c r="B161" s="24" t="s">
        <v>336</v>
      </c>
      <c r="C161" s="25">
        <v>44330</v>
      </c>
      <c r="D161" s="24" t="s">
        <v>1551</v>
      </c>
      <c r="E161" s="24" t="s">
        <v>344</v>
      </c>
      <c r="F161" s="24" t="s">
        <v>333</v>
      </c>
      <c r="G161" s="24" t="s">
        <v>347</v>
      </c>
      <c r="H161" s="10">
        <v>393.00398950593512</v>
      </c>
    </row>
    <row r="162" spans="1:8" x14ac:dyDescent="0.2">
      <c r="A162" s="9"/>
      <c r="B162" s="24" t="s">
        <v>336</v>
      </c>
      <c r="C162" s="25">
        <v>44330</v>
      </c>
      <c r="D162" s="24" t="s">
        <v>1552</v>
      </c>
      <c r="E162" s="24" t="s">
        <v>376</v>
      </c>
      <c r="F162" s="24" t="s">
        <v>333</v>
      </c>
      <c r="G162" s="24" t="s">
        <v>347</v>
      </c>
      <c r="H162" s="10">
        <v>909.12117876922184</v>
      </c>
    </row>
    <row r="163" spans="1:8" x14ac:dyDescent="0.2">
      <c r="A163" s="9"/>
      <c r="B163" s="24" t="s">
        <v>336</v>
      </c>
      <c r="C163" s="25">
        <v>44330</v>
      </c>
      <c r="D163" s="24" t="s">
        <v>1553</v>
      </c>
      <c r="E163" s="24" t="s">
        <v>639</v>
      </c>
      <c r="F163" s="24" t="s">
        <v>333</v>
      </c>
      <c r="G163" s="24" t="s">
        <v>347</v>
      </c>
      <c r="H163" s="10">
        <v>250704.08885178855</v>
      </c>
    </row>
    <row r="164" spans="1:8" x14ac:dyDescent="0.2">
      <c r="A164" s="9"/>
      <c r="B164" s="24" t="s">
        <v>336</v>
      </c>
      <c r="C164" s="25">
        <v>44334</v>
      </c>
      <c r="D164" s="24" t="s">
        <v>1554</v>
      </c>
      <c r="E164" s="24" t="s">
        <v>375</v>
      </c>
      <c r="F164" s="24" t="s">
        <v>333</v>
      </c>
      <c r="G164" s="24" t="s">
        <v>347</v>
      </c>
      <c r="H164" s="10">
        <v>1397.2448293282985</v>
      </c>
    </row>
    <row r="165" spans="1:8" x14ac:dyDescent="0.2">
      <c r="A165" s="9"/>
      <c r="B165" s="24" t="s">
        <v>336</v>
      </c>
      <c r="C165" s="25">
        <v>44335</v>
      </c>
      <c r="D165" s="24" t="s">
        <v>1555</v>
      </c>
      <c r="E165" s="24" t="s">
        <v>344</v>
      </c>
      <c r="F165" s="24" t="s">
        <v>333</v>
      </c>
      <c r="G165" s="24" t="s">
        <v>347</v>
      </c>
      <c r="H165" s="10">
        <v>718.24950913356497</v>
      </c>
    </row>
    <row r="166" spans="1:8" x14ac:dyDescent="0.2">
      <c r="A166" s="9"/>
      <c r="B166" s="24" t="s">
        <v>336</v>
      </c>
      <c r="C166" s="25">
        <v>44335</v>
      </c>
      <c r="D166" s="24" t="s">
        <v>1556</v>
      </c>
      <c r="E166" s="24" t="s">
        <v>510</v>
      </c>
      <c r="F166" s="24" t="s">
        <v>333</v>
      </c>
      <c r="G166" s="24" t="s">
        <v>347</v>
      </c>
      <c r="H166" s="10">
        <v>182.40794116557419</v>
      </c>
    </row>
    <row r="167" spans="1:8" x14ac:dyDescent="0.2">
      <c r="A167" s="9"/>
      <c r="B167" s="24" t="s">
        <v>336</v>
      </c>
      <c r="C167" s="25">
        <v>44337</v>
      </c>
      <c r="D167" s="24" t="s">
        <v>1557</v>
      </c>
      <c r="E167" s="24" t="s">
        <v>376</v>
      </c>
      <c r="F167" s="24" t="s">
        <v>333</v>
      </c>
      <c r="G167" s="24" t="s">
        <v>347</v>
      </c>
      <c r="H167" s="10">
        <v>918.13213106280114</v>
      </c>
    </row>
    <row r="168" spans="1:8" x14ac:dyDescent="0.2">
      <c r="A168" s="9"/>
      <c r="B168" s="24" t="s">
        <v>336</v>
      </c>
      <c r="C168" s="25">
        <v>44337</v>
      </c>
      <c r="D168" s="24" t="s">
        <v>1558</v>
      </c>
      <c r="E168" s="24" t="s">
        <v>346</v>
      </c>
      <c r="F168" s="24" t="s">
        <v>333</v>
      </c>
      <c r="G168" s="24" t="s">
        <v>347</v>
      </c>
      <c r="H168" s="10">
        <v>54.722382349672259</v>
      </c>
    </row>
    <row r="169" spans="1:8" x14ac:dyDescent="0.2">
      <c r="A169" s="9"/>
      <c r="B169" s="24" t="s">
        <v>336</v>
      </c>
      <c r="C169" s="25">
        <v>44340</v>
      </c>
      <c r="D169" s="24" t="s">
        <v>1559</v>
      </c>
      <c r="E169" s="24" t="s">
        <v>711</v>
      </c>
      <c r="F169" s="24" t="s">
        <v>333</v>
      </c>
      <c r="G169" s="24" t="s">
        <v>347</v>
      </c>
      <c r="H169" s="10">
        <v>6080.2647055191401</v>
      </c>
    </row>
    <row r="170" spans="1:8" x14ac:dyDescent="0.2">
      <c r="A170" s="9"/>
      <c r="B170" s="24" t="s">
        <v>336</v>
      </c>
      <c r="C170" s="25">
        <v>44341</v>
      </c>
      <c r="D170" s="24" t="s">
        <v>1560</v>
      </c>
      <c r="E170" s="24" t="s">
        <v>344</v>
      </c>
      <c r="F170" s="24" t="s">
        <v>333</v>
      </c>
      <c r="G170" s="24" t="s">
        <v>347</v>
      </c>
      <c r="H170" s="10">
        <v>541.77590632057741</v>
      </c>
    </row>
    <row r="171" spans="1:8" x14ac:dyDescent="0.2">
      <c r="A171" s="9"/>
      <c r="B171" s="24" t="s">
        <v>336</v>
      </c>
      <c r="C171" s="25">
        <v>44342</v>
      </c>
      <c r="D171" s="24" t="s">
        <v>1561</v>
      </c>
      <c r="E171" s="24" t="s">
        <v>604</v>
      </c>
      <c r="F171" s="24" t="s">
        <v>333</v>
      </c>
      <c r="G171" s="24" t="s">
        <v>347</v>
      </c>
      <c r="H171" s="10">
        <v>16071.307027510547</v>
      </c>
    </row>
    <row r="172" spans="1:8" x14ac:dyDescent="0.2">
      <c r="A172" s="9"/>
      <c r="B172" s="24" t="s">
        <v>336</v>
      </c>
      <c r="C172" s="25">
        <v>44343</v>
      </c>
      <c r="D172" s="24" t="s">
        <v>1562</v>
      </c>
      <c r="E172" s="24" t="s">
        <v>421</v>
      </c>
      <c r="F172" s="24" t="s">
        <v>333</v>
      </c>
      <c r="G172" s="24" t="s">
        <v>347</v>
      </c>
      <c r="H172" s="10">
        <v>170575.74604863394</v>
      </c>
    </row>
    <row r="173" spans="1:8" x14ac:dyDescent="0.2">
      <c r="A173" s="9"/>
      <c r="B173" s="24" t="s">
        <v>336</v>
      </c>
      <c r="C173" s="25">
        <v>44343</v>
      </c>
      <c r="D173" s="24" t="s">
        <v>1563</v>
      </c>
      <c r="E173" s="24" t="s">
        <v>423</v>
      </c>
      <c r="F173" s="24" t="s">
        <v>333</v>
      </c>
      <c r="G173" s="24" t="s">
        <v>347</v>
      </c>
      <c r="H173" s="10">
        <v>26686.281792523507</v>
      </c>
    </row>
    <row r="174" spans="1:8" x14ac:dyDescent="0.2">
      <c r="A174" s="9"/>
      <c r="B174" s="24" t="s">
        <v>336</v>
      </c>
      <c r="C174" s="25">
        <v>44343</v>
      </c>
      <c r="D174" s="24" t="s">
        <v>1564</v>
      </c>
      <c r="E174" s="24" t="s">
        <v>600</v>
      </c>
      <c r="F174" s="24" t="s">
        <v>333</v>
      </c>
      <c r="G174" s="24" t="s">
        <v>347</v>
      </c>
      <c r="H174" s="10">
        <v>30.4013235275957</v>
      </c>
    </row>
    <row r="175" spans="1:8" x14ac:dyDescent="0.2">
      <c r="A175" s="9"/>
      <c r="B175" s="24" t="s">
        <v>336</v>
      </c>
      <c r="C175" s="25">
        <v>44344</v>
      </c>
      <c r="D175" s="24" t="s">
        <v>1565</v>
      </c>
      <c r="E175" s="24" t="s">
        <v>568</v>
      </c>
      <c r="F175" s="24" t="s">
        <v>333</v>
      </c>
      <c r="G175" s="24" t="s">
        <v>347</v>
      </c>
      <c r="H175" s="10">
        <v>82587.019442125369</v>
      </c>
    </row>
    <row r="176" spans="1:8" x14ac:dyDescent="0.2">
      <c r="A176" s="9"/>
      <c r="B176" s="24" t="s">
        <v>336</v>
      </c>
      <c r="C176" s="25">
        <v>44344</v>
      </c>
      <c r="D176" s="24" t="s">
        <v>1566</v>
      </c>
      <c r="E176" s="24" t="s">
        <v>568</v>
      </c>
      <c r="F176" s="24" t="s">
        <v>333</v>
      </c>
      <c r="G176" s="24" t="s">
        <v>347</v>
      </c>
      <c r="H176" s="10">
        <v>82587.019442125369</v>
      </c>
    </row>
    <row r="177" spans="1:8" x14ac:dyDescent="0.2">
      <c r="A177" s="9"/>
      <c r="B177" s="24" t="s">
        <v>336</v>
      </c>
      <c r="C177" s="25">
        <v>44344</v>
      </c>
      <c r="D177" s="24" t="s">
        <v>1567</v>
      </c>
      <c r="E177" s="24" t="s">
        <v>376</v>
      </c>
      <c r="F177" s="24" t="s">
        <v>333</v>
      </c>
      <c r="G177" s="24" t="s">
        <v>347</v>
      </c>
      <c r="H177" s="10">
        <v>5017.5682008179156</v>
      </c>
    </row>
    <row r="178" spans="1:8" x14ac:dyDescent="0.2">
      <c r="A178" s="9"/>
      <c r="B178" s="24" t="s">
        <v>336</v>
      </c>
      <c r="C178" s="25">
        <v>44347</v>
      </c>
      <c r="D178" s="24" t="s">
        <v>1568</v>
      </c>
      <c r="E178" s="24" t="s">
        <v>421</v>
      </c>
      <c r="F178" s="24" t="s">
        <v>333</v>
      </c>
      <c r="G178" s="24" t="s">
        <v>347</v>
      </c>
      <c r="H178" s="10">
        <v>116741.08234596749</v>
      </c>
    </row>
    <row r="179" spans="1:8" x14ac:dyDescent="0.2">
      <c r="A179" s="9"/>
      <c r="B179" s="24" t="s">
        <v>336</v>
      </c>
      <c r="C179" s="25">
        <v>44347</v>
      </c>
      <c r="D179" s="24" t="s">
        <v>1569</v>
      </c>
      <c r="E179" s="24" t="s">
        <v>378</v>
      </c>
      <c r="F179" s="24" t="s">
        <v>333</v>
      </c>
      <c r="G179" s="24" t="s">
        <v>347</v>
      </c>
      <c r="H179" s="10">
        <v>-438.94646962083777</v>
      </c>
    </row>
    <row r="180" spans="1:8" x14ac:dyDescent="0.2">
      <c r="A180" s="9"/>
      <c r="B180" s="24" t="s">
        <v>336</v>
      </c>
      <c r="C180" s="25">
        <v>44347</v>
      </c>
      <c r="D180" s="24" t="s">
        <v>1570</v>
      </c>
      <c r="E180" s="24" t="s">
        <v>5</v>
      </c>
      <c r="F180" s="24" t="s">
        <v>333</v>
      </c>
      <c r="G180" s="24" t="s">
        <v>1419</v>
      </c>
      <c r="H180" s="10">
        <v>32943.746700009549</v>
      </c>
    </row>
    <row r="181" spans="1:8" x14ac:dyDescent="0.2">
      <c r="A181" s="9"/>
      <c r="B181" s="24" t="s">
        <v>336</v>
      </c>
      <c r="C181" s="25">
        <v>44348</v>
      </c>
      <c r="D181" s="24" t="s">
        <v>1571</v>
      </c>
      <c r="E181" s="24" t="s">
        <v>344</v>
      </c>
      <c r="F181" s="24" t="s">
        <v>333</v>
      </c>
      <c r="G181" s="24" t="s">
        <v>347</v>
      </c>
      <c r="H181" s="10">
        <v>807.72312476151012</v>
      </c>
    </row>
    <row r="182" spans="1:8" x14ac:dyDescent="0.2">
      <c r="A182" s="9"/>
      <c r="B182" s="24" t="s">
        <v>336</v>
      </c>
      <c r="C182" s="25">
        <v>44348</v>
      </c>
      <c r="D182" s="24" t="s">
        <v>1572</v>
      </c>
      <c r="E182" s="24" t="s">
        <v>344</v>
      </c>
      <c r="F182" s="24" t="s">
        <v>333</v>
      </c>
      <c r="G182" s="24" t="s">
        <v>347</v>
      </c>
      <c r="H182" s="10">
        <v>521.57513570306742</v>
      </c>
    </row>
    <row r="183" spans="1:8" x14ac:dyDescent="0.2">
      <c r="A183" s="9"/>
      <c r="B183" s="24" t="s">
        <v>336</v>
      </c>
      <c r="C183" s="25">
        <v>44348</v>
      </c>
      <c r="D183" s="24" t="s">
        <v>1573</v>
      </c>
      <c r="E183" s="24" t="s">
        <v>639</v>
      </c>
      <c r="F183" s="24" t="s">
        <v>333</v>
      </c>
      <c r="G183" s="24" t="s">
        <v>347</v>
      </c>
      <c r="H183" s="10">
        <v>52691.622134113961</v>
      </c>
    </row>
    <row r="184" spans="1:8" x14ac:dyDescent="0.2">
      <c r="A184" s="9"/>
      <c r="B184" s="24" t="s">
        <v>336</v>
      </c>
      <c r="C184" s="25">
        <v>44349</v>
      </c>
      <c r="D184" s="24" t="s">
        <v>1574</v>
      </c>
      <c r="E184" s="24" t="s">
        <v>600</v>
      </c>
      <c r="F184" s="24" t="s">
        <v>333</v>
      </c>
      <c r="G184" s="24" t="s">
        <v>347</v>
      </c>
      <c r="H184" s="10">
        <v>167.75142778016826</v>
      </c>
    </row>
    <row r="185" spans="1:8" x14ac:dyDescent="0.2">
      <c r="A185" s="9"/>
      <c r="B185" s="24" t="s">
        <v>336</v>
      </c>
      <c r="C185" s="25">
        <v>44351</v>
      </c>
      <c r="D185" s="24" t="s">
        <v>1575</v>
      </c>
      <c r="E185" s="24" t="s">
        <v>874</v>
      </c>
      <c r="F185" s="24" t="s">
        <v>333</v>
      </c>
      <c r="G185" s="24" t="s">
        <v>347</v>
      </c>
      <c r="H185" s="10">
        <v>347.38924244304559</v>
      </c>
    </row>
    <row r="186" spans="1:8" x14ac:dyDescent="0.2">
      <c r="A186" s="9"/>
      <c r="B186" s="24" t="s">
        <v>336</v>
      </c>
      <c r="C186" s="25">
        <v>44351</v>
      </c>
      <c r="D186" s="24" t="s">
        <v>1576</v>
      </c>
      <c r="E186" s="24" t="s">
        <v>344</v>
      </c>
      <c r="F186" s="24" t="s">
        <v>333</v>
      </c>
      <c r="G186" s="24" t="s">
        <v>347</v>
      </c>
      <c r="H186" s="10">
        <v>915.44350588606108</v>
      </c>
    </row>
    <row r="187" spans="1:8" x14ac:dyDescent="0.2">
      <c r="A187" s="9"/>
      <c r="B187" s="24" t="s">
        <v>336</v>
      </c>
      <c r="C187" s="25">
        <v>44351</v>
      </c>
      <c r="D187" s="24" t="s">
        <v>1577</v>
      </c>
      <c r="E187" s="24" t="s">
        <v>344</v>
      </c>
      <c r="F187" s="24" t="s">
        <v>333</v>
      </c>
      <c r="G187" s="24" t="s">
        <v>347</v>
      </c>
      <c r="H187" s="10">
        <v>1281.2614408952422</v>
      </c>
    </row>
    <row r="188" spans="1:8" x14ac:dyDescent="0.2">
      <c r="A188" s="9"/>
      <c r="B188" s="24" t="s">
        <v>336</v>
      </c>
      <c r="C188" s="25">
        <v>44351</v>
      </c>
      <c r="D188" s="24" t="s">
        <v>1578</v>
      </c>
      <c r="E188" s="24" t="s">
        <v>344</v>
      </c>
      <c r="F188" s="24" t="s">
        <v>333</v>
      </c>
      <c r="G188" s="24" t="s">
        <v>347</v>
      </c>
      <c r="H188" s="10">
        <v>98.853519941884869</v>
      </c>
    </row>
    <row r="189" spans="1:8" x14ac:dyDescent="0.2">
      <c r="A189" s="9"/>
      <c r="B189" s="24" t="s">
        <v>336</v>
      </c>
      <c r="C189" s="25">
        <v>44355</v>
      </c>
      <c r="D189" s="24" t="s">
        <v>1579</v>
      </c>
      <c r="E189" s="24" t="s">
        <v>422</v>
      </c>
      <c r="F189" s="24" t="s">
        <v>333</v>
      </c>
      <c r="G189" s="24" t="s">
        <v>347</v>
      </c>
      <c r="H189" s="10">
        <v>299.55612103601476</v>
      </c>
    </row>
    <row r="190" spans="1:8" x14ac:dyDescent="0.2">
      <c r="A190" s="9"/>
      <c r="B190" s="24" t="s">
        <v>336</v>
      </c>
      <c r="C190" s="25">
        <v>44356</v>
      </c>
      <c r="D190" s="24" t="s">
        <v>1580</v>
      </c>
      <c r="E190" s="24" t="s">
        <v>879</v>
      </c>
      <c r="F190" s="24" t="s">
        <v>333</v>
      </c>
      <c r="G190" s="24" t="s">
        <v>347</v>
      </c>
      <c r="H190" s="10">
        <v>563.28532999612219</v>
      </c>
    </row>
    <row r="191" spans="1:8" x14ac:dyDescent="0.2">
      <c r="A191" s="9"/>
      <c r="B191" s="24" t="s">
        <v>336</v>
      </c>
      <c r="C191" s="25">
        <v>44356</v>
      </c>
      <c r="D191" s="24" t="s">
        <v>1581</v>
      </c>
      <c r="E191" s="24" t="s">
        <v>376</v>
      </c>
      <c r="F191" s="24" t="s">
        <v>333</v>
      </c>
      <c r="G191" s="24" t="s">
        <v>347</v>
      </c>
      <c r="H191" s="10">
        <v>940.72604250150073</v>
      </c>
    </row>
    <row r="192" spans="1:8" x14ac:dyDescent="0.2">
      <c r="A192" s="9"/>
      <c r="B192" s="24" t="s">
        <v>336</v>
      </c>
      <c r="C192" s="25">
        <v>44356</v>
      </c>
      <c r="D192" s="24" t="s">
        <v>1582</v>
      </c>
      <c r="E192" s="24" t="s">
        <v>344</v>
      </c>
      <c r="F192" s="24" t="s">
        <v>333</v>
      </c>
      <c r="G192" s="24" t="s">
        <v>347</v>
      </c>
      <c r="H192" s="10">
        <v>1249.6043500241562</v>
      </c>
    </row>
    <row r="193" spans="1:8" x14ac:dyDescent="0.2">
      <c r="A193" s="9"/>
      <c r="B193" s="24" t="s">
        <v>336</v>
      </c>
      <c r="C193" s="25">
        <v>44358</v>
      </c>
      <c r="D193" s="24" t="s">
        <v>1583</v>
      </c>
      <c r="E193" s="24" t="s">
        <v>376</v>
      </c>
      <c r="F193" s="24" t="s">
        <v>333</v>
      </c>
      <c r="G193" s="24" t="s">
        <v>347</v>
      </c>
      <c r="H193" s="10">
        <v>3857.9233715986265</v>
      </c>
    </row>
    <row r="194" spans="1:8" x14ac:dyDescent="0.2">
      <c r="A194" s="9"/>
      <c r="B194" s="24" t="s">
        <v>336</v>
      </c>
      <c r="C194" s="25">
        <v>44358</v>
      </c>
      <c r="D194" s="24" t="s">
        <v>1584</v>
      </c>
      <c r="E194" s="24" t="s">
        <v>344</v>
      </c>
      <c r="F194" s="24" t="s">
        <v>333</v>
      </c>
      <c r="G194" s="24" t="s">
        <v>347</v>
      </c>
      <c r="H194" s="10">
        <v>914.90430486819628</v>
      </c>
    </row>
    <row r="195" spans="1:8" x14ac:dyDescent="0.2">
      <c r="A195" s="9"/>
      <c r="B195" s="24" t="s">
        <v>336</v>
      </c>
      <c r="C195" s="25">
        <v>44358</v>
      </c>
      <c r="D195" s="24" t="s">
        <v>1585</v>
      </c>
      <c r="E195" s="24" t="s">
        <v>759</v>
      </c>
      <c r="F195" s="24" t="s">
        <v>333</v>
      </c>
      <c r="G195" s="24" t="s">
        <v>347</v>
      </c>
      <c r="H195" s="10">
        <v>7212.4575663294245</v>
      </c>
    </row>
    <row r="196" spans="1:8" x14ac:dyDescent="0.2">
      <c r="A196" s="9"/>
      <c r="B196" s="24" t="s">
        <v>336</v>
      </c>
      <c r="C196" s="25">
        <v>44362</v>
      </c>
      <c r="D196" s="24" t="s">
        <v>1586</v>
      </c>
      <c r="E196" s="24" t="s">
        <v>344</v>
      </c>
      <c r="F196" s="24" t="s">
        <v>333</v>
      </c>
      <c r="G196" s="24" t="s">
        <v>347</v>
      </c>
      <c r="H196" s="10">
        <v>303.19872346781267</v>
      </c>
    </row>
    <row r="197" spans="1:8" x14ac:dyDescent="0.2">
      <c r="A197" s="9"/>
      <c r="B197" s="24" t="s">
        <v>336</v>
      </c>
      <c r="C197" s="25">
        <v>44362</v>
      </c>
      <c r="D197" s="24" t="s">
        <v>1587</v>
      </c>
      <c r="E197" s="24" t="s">
        <v>344</v>
      </c>
      <c r="F197" s="24" t="s">
        <v>333</v>
      </c>
      <c r="G197" s="24" t="s">
        <v>347</v>
      </c>
      <c r="H197" s="10">
        <v>448.15992155956093</v>
      </c>
    </row>
    <row r="198" spans="1:8" x14ac:dyDescent="0.2">
      <c r="A198" s="9"/>
      <c r="B198" s="24" t="s">
        <v>336</v>
      </c>
      <c r="C198" s="25">
        <v>44362</v>
      </c>
      <c r="D198" s="24" t="s">
        <v>1588</v>
      </c>
      <c r="E198" s="24" t="s">
        <v>344</v>
      </c>
      <c r="F198" s="24" t="s">
        <v>333</v>
      </c>
      <c r="G198" s="24" t="s">
        <v>347</v>
      </c>
      <c r="H198" s="10">
        <v>1217.6956320114</v>
      </c>
    </row>
    <row r="199" spans="1:8" x14ac:dyDescent="0.2">
      <c r="A199" s="9"/>
      <c r="B199" s="24" t="s">
        <v>336</v>
      </c>
      <c r="C199" s="25">
        <v>44363</v>
      </c>
      <c r="D199" s="24" t="s">
        <v>1589</v>
      </c>
      <c r="E199" s="24" t="s">
        <v>344</v>
      </c>
      <c r="F199" s="24" t="s">
        <v>333</v>
      </c>
      <c r="G199" s="24" t="s">
        <v>347</v>
      </c>
      <c r="H199" s="10">
        <v>1625.5592641691962</v>
      </c>
    </row>
    <row r="200" spans="1:8" x14ac:dyDescent="0.2">
      <c r="A200" s="9"/>
      <c r="B200" s="24" t="s">
        <v>336</v>
      </c>
      <c r="C200" s="25">
        <v>44364</v>
      </c>
      <c r="D200" s="24" t="s">
        <v>1590</v>
      </c>
      <c r="E200" s="24" t="s">
        <v>376</v>
      </c>
      <c r="F200" s="24" t="s">
        <v>333</v>
      </c>
      <c r="G200" s="24" t="s">
        <v>347</v>
      </c>
      <c r="H200" s="10">
        <v>6261.142308222159</v>
      </c>
    </row>
    <row r="201" spans="1:8" x14ac:dyDescent="0.2">
      <c r="A201" s="9"/>
      <c r="B201" s="24" t="s">
        <v>336</v>
      </c>
      <c r="C201" s="25">
        <v>44365</v>
      </c>
      <c r="D201" s="24" t="s">
        <v>1591</v>
      </c>
      <c r="E201" s="24" t="s">
        <v>566</v>
      </c>
      <c r="F201" s="24" t="s">
        <v>333</v>
      </c>
      <c r="G201" s="24" t="s">
        <v>347</v>
      </c>
      <c r="H201" s="10">
        <v>29.955612103601474</v>
      </c>
    </row>
    <row r="202" spans="1:8" x14ac:dyDescent="0.2">
      <c r="A202" s="9"/>
      <c r="B202" s="24" t="s">
        <v>336</v>
      </c>
      <c r="C202" s="25">
        <v>44365</v>
      </c>
      <c r="D202" s="24" t="s">
        <v>1592</v>
      </c>
      <c r="E202" s="24" t="s">
        <v>510</v>
      </c>
      <c r="F202" s="24" t="s">
        <v>333</v>
      </c>
      <c r="G202" s="24" t="s">
        <v>347</v>
      </c>
      <c r="H202" s="10">
        <v>164.75586656980812</v>
      </c>
    </row>
    <row r="203" spans="1:8" x14ac:dyDescent="0.2">
      <c r="A203" s="9"/>
      <c r="B203" s="24" t="s">
        <v>336</v>
      </c>
      <c r="C203" s="25">
        <v>44369</v>
      </c>
      <c r="D203" s="24" t="s">
        <v>1593</v>
      </c>
      <c r="E203" s="24" t="s">
        <v>375</v>
      </c>
      <c r="F203" s="24" t="s">
        <v>333</v>
      </c>
      <c r="G203" s="24" t="s">
        <v>347</v>
      </c>
      <c r="H203" s="10">
        <v>2293.4016626517291</v>
      </c>
    </row>
    <row r="204" spans="1:8" x14ac:dyDescent="0.2">
      <c r="A204" s="9"/>
      <c r="B204" s="24" t="s">
        <v>336</v>
      </c>
      <c r="C204" s="25">
        <v>44369</v>
      </c>
      <c r="D204" s="24" t="s">
        <v>1594</v>
      </c>
      <c r="E204" s="24" t="s">
        <v>344</v>
      </c>
      <c r="F204" s="24" t="s">
        <v>333</v>
      </c>
      <c r="G204" s="24" t="s">
        <v>347</v>
      </c>
      <c r="H204" s="10">
        <v>743.58216812527871</v>
      </c>
    </row>
    <row r="205" spans="1:8" x14ac:dyDescent="0.2">
      <c r="A205" s="9"/>
      <c r="B205" s="24" t="s">
        <v>336</v>
      </c>
      <c r="C205" s="25">
        <v>44369</v>
      </c>
      <c r="D205" s="24" t="s">
        <v>1595</v>
      </c>
      <c r="E205" s="24" t="s">
        <v>908</v>
      </c>
      <c r="F205" s="24" t="s">
        <v>333</v>
      </c>
      <c r="G205" s="24" t="s">
        <v>347</v>
      </c>
      <c r="H205" s="10">
        <v>7087.9771135057663</v>
      </c>
    </row>
    <row r="206" spans="1:8" x14ac:dyDescent="0.2">
      <c r="A206" s="9"/>
      <c r="B206" s="24" t="s">
        <v>336</v>
      </c>
      <c r="C206" s="25">
        <v>44370</v>
      </c>
      <c r="D206" s="24" t="s">
        <v>1596</v>
      </c>
      <c r="E206" s="24" t="s">
        <v>344</v>
      </c>
      <c r="F206" s="24" t="s">
        <v>333</v>
      </c>
      <c r="G206" s="24" t="s">
        <v>347</v>
      </c>
      <c r="H206" s="10">
        <v>735.14666775690455</v>
      </c>
    </row>
    <row r="207" spans="1:8" x14ac:dyDescent="0.2">
      <c r="A207" s="9"/>
      <c r="B207" s="24" t="s">
        <v>336</v>
      </c>
      <c r="C207" s="25">
        <v>44370</v>
      </c>
      <c r="D207" s="24" t="s">
        <v>1597</v>
      </c>
      <c r="E207" s="24" t="s">
        <v>905</v>
      </c>
      <c r="F207" s="24" t="s">
        <v>333</v>
      </c>
      <c r="G207" s="24" t="s">
        <v>347</v>
      </c>
      <c r="H207" s="10">
        <v>1797.3367262160884</v>
      </c>
    </row>
    <row r="208" spans="1:8" x14ac:dyDescent="0.2">
      <c r="A208" s="9"/>
      <c r="B208" s="24" t="s">
        <v>336</v>
      </c>
      <c r="C208" s="25">
        <v>44370</v>
      </c>
      <c r="D208" s="24" t="s">
        <v>1598</v>
      </c>
      <c r="E208" s="24" t="s">
        <v>344</v>
      </c>
      <c r="F208" s="24" t="s">
        <v>333</v>
      </c>
      <c r="G208" s="24" t="s">
        <v>347</v>
      </c>
      <c r="H208" s="10">
        <v>1534.3983454155161</v>
      </c>
    </row>
    <row r="209" spans="1:8" x14ac:dyDescent="0.2">
      <c r="A209" s="9"/>
      <c r="B209" s="24" t="s">
        <v>336</v>
      </c>
      <c r="C209" s="25">
        <v>44370</v>
      </c>
      <c r="D209" s="24" t="s">
        <v>1599</v>
      </c>
      <c r="E209" s="24" t="s">
        <v>420</v>
      </c>
      <c r="F209" s="24" t="s">
        <v>333</v>
      </c>
      <c r="G209" s="24" t="s">
        <v>347</v>
      </c>
      <c r="H209" s="10">
        <v>10244.819339431704</v>
      </c>
    </row>
    <row r="210" spans="1:8" x14ac:dyDescent="0.2">
      <c r="A210" s="9"/>
      <c r="B210" s="24" t="s">
        <v>336</v>
      </c>
      <c r="C210" s="25">
        <v>44371</v>
      </c>
      <c r="D210" s="24" t="s">
        <v>1600</v>
      </c>
      <c r="E210" s="24" t="s">
        <v>935</v>
      </c>
      <c r="F210" s="24" t="s">
        <v>333</v>
      </c>
      <c r="G210" s="24" t="s">
        <v>347</v>
      </c>
      <c r="H210" s="10">
        <v>40332.236136289022</v>
      </c>
    </row>
    <row r="211" spans="1:8" x14ac:dyDescent="0.2">
      <c r="A211" s="9"/>
      <c r="B211" s="24" t="s">
        <v>336</v>
      </c>
      <c r="C211" s="25">
        <v>44371</v>
      </c>
      <c r="D211" s="24" t="s">
        <v>1601</v>
      </c>
      <c r="E211" s="24" t="s">
        <v>910</v>
      </c>
      <c r="F211" s="24" t="s">
        <v>333</v>
      </c>
      <c r="G211" s="24" t="s">
        <v>347</v>
      </c>
      <c r="H211" s="10">
        <v>107.84020357296531</v>
      </c>
    </row>
    <row r="212" spans="1:8" x14ac:dyDescent="0.2">
      <c r="A212" s="9"/>
      <c r="B212" s="24" t="s">
        <v>336</v>
      </c>
      <c r="C212" s="25">
        <v>44372</v>
      </c>
      <c r="D212" s="24" t="s">
        <v>1602</v>
      </c>
      <c r="E212" s="24" t="s">
        <v>421</v>
      </c>
      <c r="F212" s="24" t="s">
        <v>333</v>
      </c>
      <c r="G212" s="24" t="s">
        <v>347</v>
      </c>
      <c r="H212" s="10">
        <v>166073.91350236657</v>
      </c>
    </row>
    <row r="213" spans="1:8" x14ac:dyDescent="0.2">
      <c r="A213" s="9"/>
      <c r="B213" s="24" t="s">
        <v>336</v>
      </c>
      <c r="C213" s="25">
        <v>44372</v>
      </c>
      <c r="D213" s="24" t="s">
        <v>1603</v>
      </c>
      <c r="E213" s="24" t="s">
        <v>346</v>
      </c>
      <c r="F213" s="24" t="s">
        <v>333</v>
      </c>
      <c r="G213" s="24" t="s">
        <v>347</v>
      </c>
      <c r="H213" s="10">
        <v>-16.6792848192853</v>
      </c>
    </row>
    <row r="214" spans="1:8" x14ac:dyDescent="0.2">
      <c r="A214" s="9"/>
      <c r="B214" s="24" t="s">
        <v>336</v>
      </c>
      <c r="C214" s="25">
        <v>44372</v>
      </c>
      <c r="D214" s="24" t="s">
        <v>1604</v>
      </c>
      <c r="E214" s="24" t="s">
        <v>566</v>
      </c>
      <c r="F214" s="24" t="s">
        <v>333</v>
      </c>
      <c r="G214" s="24" t="s">
        <v>347</v>
      </c>
      <c r="H214" s="10">
        <v>-22.754282953895679</v>
      </c>
    </row>
    <row r="215" spans="1:8" x14ac:dyDescent="0.2">
      <c r="A215" s="9"/>
      <c r="B215" s="24" t="s">
        <v>336</v>
      </c>
      <c r="C215" s="25">
        <v>44372</v>
      </c>
      <c r="D215" s="24" t="s">
        <v>1605</v>
      </c>
      <c r="E215" s="24" t="s">
        <v>377</v>
      </c>
      <c r="F215" s="24" t="s">
        <v>333</v>
      </c>
      <c r="G215" s="24" t="s">
        <v>347</v>
      </c>
      <c r="H215" s="10">
        <v>-334.85581433889871</v>
      </c>
    </row>
    <row r="216" spans="1:8" x14ac:dyDescent="0.2">
      <c r="A216" s="9"/>
      <c r="B216" s="24" t="s">
        <v>336</v>
      </c>
      <c r="C216" s="25">
        <v>44372</v>
      </c>
      <c r="D216" s="24" t="s">
        <v>1606</v>
      </c>
      <c r="E216" s="24" t="s">
        <v>344</v>
      </c>
      <c r="F216" s="24" t="s">
        <v>333</v>
      </c>
      <c r="G216" s="24" t="s">
        <v>347</v>
      </c>
      <c r="H216" s="10">
        <v>590.4850257861923</v>
      </c>
    </row>
    <row r="217" spans="1:8" x14ac:dyDescent="0.2">
      <c r="A217" s="9"/>
      <c r="B217" s="24" t="s">
        <v>336</v>
      </c>
      <c r="C217" s="25">
        <v>44372</v>
      </c>
      <c r="D217" s="24" t="s">
        <v>1607</v>
      </c>
      <c r="E217" s="24" t="s">
        <v>421</v>
      </c>
      <c r="F217" s="24" t="s">
        <v>333</v>
      </c>
      <c r="G217" s="24" t="s">
        <v>347</v>
      </c>
      <c r="H217" s="10">
        <v>166073.91350236657</v>
      </c>
    </row>
    <row r="218" spans="1:8" x14ac:dyDescent="0.2">
      <c r="A218" s="9"/>
      <c r="B218" s="24" t="s">
        <v>336</v>
      </c>
      <c r="C218" s="25">
        <v>44375</v>
      </c>
      <c r="D218" s="24" t="s">
        <v>1608</v>
      </c>
      <c r="E218" s="24" t="s">
        <v>346</v>
      </c>
      <c r="F218" s="24" t="s">
        <v>333</v>
      </c>
      <c r="G218" s="24" t="s">
        <v>347</v>
      </c>
      <c r="H218" s="10">
        <v>287.57387619457415</v>
      </c>
    </row>
    <row r="219" spans="1:8" x14ac:dyDescent="0.2">
      <c r="A219" s="9"/>
      <c r="B219" s="24" t="s">
        <v>336</v>
      </c>
      <c r="C219" s="25">
        <v>44375</v>
      </c>
      <c r="D219" s="24" t="s">
        <v>1609</v>
      </c>
      <c r="E219" s="24" t="s">
        <v>521</v>
      </c>
      <c r="F219" s="24" t="s">
        <v>333</v>
      </c>
      <c r="G219" s="24" t="s">
        <v>347</v>
      </c>
      <c r="H219" s="10">
        <v>38690.668593011666</v>
      </c>
    </row>
    <row r="220" spans="1:8" x14ac:dyDescent="0.2">
      <c r="A220" s="9"/>
      <c r="B220" s="24" t="s">
        <v>929</v>
      </c>
      <c r="C220" s="25">
        <v>44376</v>
      </c>
      <c r="D220" s="24" t="s">
        <v>930</v>
      </c>
      <c r="E220" s="24" t="s">
        <v>931</v>
      </c>
      <c r="F220" s="24" t="s">
        <v>333</v>
      </c>
      <c r="G220" s="24" t="s">
        <v>347</v>
      </c>
      <c r="H220" s="10">
        <v>-7251.6545780398446</v>
      </c>
    </row>
    <row r="221" spans="1:8" x14ac:dyDescent="0.2">
      <c r="A221" s="9"/>
      <c r="B221" s="24" t="s">
        <v>336</v>
      </c>
      <c r="C221" s="25">
        <v>44376</v>
      </c>
      <c r="D221" s="24" t="s">
        <v>1610</v>
      </c>
      <c r="E221" s="24" t="s">
        <v>344</v>
      </c>
      <c r="F221" s="24" t="s">
        <v>333</v>
      </c>
      <c r="G221" s="24" t="s">
        <v>347</v>
      </c>
      <c r="H221" s="10">
        <v>303.19872346781267</v>
      </c>
    </row>
    <row r="222" spans="1:8" x14ac:dyDescent="0.2">
      <c r="A222" s="9"/>
      <c r="B222" s="24" t="s">
        <v>336</v>
      </c>
      <c r="C222" s="25">
        <v>44376</v>
      </c>
      <c r="D222" s="24" t="s">
        <v>1611</v>
      </c>
      <c r="E222" s="24" t="s">
        <v>344</v>
      </c>
      <c r="F222" s="24" t="s">
        <v>333</v>
      </c>
      <c r="G222" s="24" t="s">
        <v>347</v>
      </c>
      <c r="H222" s="10">
        <v>636.88027781225026</v>
      </c>
    </row>
    <row r="223" spans="1:8" x14ac:dyDescent="0.2">
      <c r="A223" s="9"/>
      <c r="B223" s="24" t="s">
        <v>336</v>
      </c>
      <c r="C223" s="25">
        <v>44376</v>
      </c>
      <c r="D223" s="24" t="s">
        <v>1612</v>
      </c>
      <c r="E223" s="24" t="s">
        <v>376</v>
      </c>
      <c r="F223" s="24" t="s">
        <v>333</v>
      </c>
      <c r="G223" s="24" t="s">
        <v>347</v>
      </c>
      <c r="H223" s="10">
        <v>5545.9820248607775</v>
      </c>
    </row>
    <row r="224" spans="1:8" x14ac:dyDescent="0.2">
      <c r="A224" s="9"/>
      <c r="B224" s="24" t="s">
        <v>336</v>
      </c>
      <c r="C224" s="25">
        <v>44377</v>
      </c>
      <c r="D224" s="24" t="s">
        <v>1613</v>
      </c>
      <c r="E224" s="24" t="s">
        <v>508</v>
      </c>
      <c r="F224" s="24" t="s">
        <v>333</v>
      </c>
      <c r="G224" s="24" t="s">
        <v>347</v>
      </c>
      <c r="H224" s="10">
        <v>47.928979365762359</v>
      </c>
    </row>
    <row r="225" spans="1:8" x14ac:dyDescent="0.2">
      <c r="A225" s="9"/>
      <c r="B225" s="24" t="s">
        <v>336</v>
      </c>
      <c r="C225" s="25">
        <v>44377</v>
      </c>
      <c r="D225" s="24" t="s">
        <v>1614</v>
      </c>
      <c r="E225" s="24" t="s">
        <v>615</v>
      </c>
      <c r="F225" s="24" t="s">
        <v>333</v>
      </c>
      <c r="G225" s="24" t="s">
        <v>347</v>
      </c>
      <c r="H225" s="10">
        <v>74948.941483210889</v>
      </c>
    </row>
    <row r="226" spans="1:8" x14ac:dyDescent="0.2">
      <c r="A226" s="9"/>
      <c r="B226" s="24" t="s">
        <v>336</v>
      </c>
      <c r="C226" s="25">
        <v>44377</v>
      </c>
      <c r="D226" s="24" t="s">
        <v>1615</v>
      </c>
      <c r="E226" s="24" t="s">
        <v>510</v>
      </c>
      <c r="F226" s="24" t="s">
        <v>333</v>
      </c>
      <c r="G226" s="24" t="s">
        <v>347</v>
      </c>
      <c r="H226" s="10">
        <v>59.911224207202949</v>
      </c>
    </row>
    <row r="227" spans="1:8" x14ac:dyDescent="0.2">
      <c r="A227" s="9"/>
      <c r="B227" s="24" t="s">
        <v>336</v>
      </c>
      <c r="C227" s="25">
        <v>44377</v>
      </c>
      <c r="D227" s="24" t="s">
        <v>1616</v>
      </c>
      <c r="E227" s="24" t="s">
        <v>5</v>
      </c>
      <c r="F227" s="24" t="s">
        <v>333</v>
      </c>
      <c r="G227" s="24" t="s">
        <v>1419</v>
      </c>
      <c r="H227" s="10">
        <v>30279.073135894967</v>
      </c>
    </row>
    <row r="228" spans="1:8" x14ac:dyDescent="0.2">
      <c r="A228" s="9"/>
      <c r="B228" s="24" t="s">
        <v>336</v>
      </c>
      <c r="C228" s="25">
        <v>44378</v>
      </c>
      <c r="D228" s="24" t="s">
        <v>1617</v>
      </c>
      <c r="E228" s="24" t="s">
        <v>344</v>
      </c>
      <c r="F228" s="24" t="s">
        <v>333</v>
      </c>
      <c r="G228" s="24" t="s">
        <v>347</v>
      </c>
      <c r="H228" s="10">
        <v>948.65760351863014</v>
      </c>
    </row>
    <row r="229" spans="1:8" x14ac:dyDescent="0.2">
      <c r="A229" s="9"/>
      <c r="B229" s="24" t="s">
        <v>336</v>
      </c>
      <c r="C229" s="25">
        <v>44379</v>
      </c>
      <c r="D229" s="24" t="s">
        <v>1618</v>
      </c>
      <c r="E229" s="24" t="s">
        <v>344</v>
      </c>
      <c r="F229" s="24" t="s">
        <v>333</v>
      </c>
      <c r="G229" s="24" t="s">
        <v>347</v>
      </c>
      <c r="H229" s="10">
        <v>843.39951126648214</v>
      </c>
    </row>
    <row r="230" spans="1:8" x14ac:dyDescent="0.2">
      <c r="A230" s="9"/>
      <c r="B230" s="24" t="s">
        <v>336</v>
      </c>
      <c r="C230" s="25">
        <v>44382</v>
      </c>
      <c r="D230" s="24" t="s">
        <v>1619</v>
      </c>
      <c r="E230" s="24" t="s">
        <v>376</v>
      </c>
      <c r="F230" s="24" t="s">
        <v>333</v>
      </c>
      <c r="G230" s="24" t="s">
        <v>347</v>
      </c>
      <c r="H230" s="10">
        <v>1503.5098498838136</v>
      </c>
    </row>
    <row r="231" spans="1:8" x14ac:dyDescent="0.2">
      <c r="A231" s="9"/>
      <c r="B231" s="24" t="s">
        <v>336</v>
      </c>
      <c r="C231" s="25">
        <v>44383</v>
      </c>
      <c r="D231" s="24" t="s">
        <v>1620</v>
      </c>
      <c r="E231" s="24" t="s">
        <v>378</v>
      </c>
      <c r="F231" s="24" t="s">
        <v>333</v>
      </c>
      <c r="G231" s="24" t="s">
        <v>347</v>
      </c>
      <c r="H231" s="10">
        <v>-61.659436825969337</v>
      </c>
    </row>
    <row r="232" spans="1:8" x14ac:dyDescent="0.2">
      <c r="A232" s="9"/>
      <c r="B232" s="24" t="s">
        <v>336</v>
      </c>
      <c r="C232" s="25">
        <v>44383</v>
      </c>
      <c r="D232" s="24" t="s">
        <v>1621</v>
      </c>
      <c r="E232" s="24" t="s">
        <v>422</v>
      </c>
      <c r="F232" s="24" t="s">
        <v>333</v>
      </c>
      <c r="G232" s="24" t="s">
        <v>347</v>
      </c>
      <c r="H232" s="10">
        <v>708.72915891918785</v>
      </c>
    </row>
    <row r="233" spans="1:8" x14ac:dyDescent="0.2">
      <c r="A233" s="9"/>
      <c r="B233" s="24" t="s">
        <v>336</v>
      </c>
      <c r="C233" s="25">
        <v>44384</v>
      </c>
      <c r="D233" s="24" t="s">
        <v>1622</v>
      </c>
      <c r="E233" s="24" t="s">
        <v>344</v>
      </c>
      <c r="F233" s="24" t="s">
        <v>333</v>
      </c>
      <c r="G233" s="24" t="s">
        <v>347</v>
      </c>
      <c r="H233" s="10">
        <v>1519.7161233177658</v>
      </c>
    </row>
    <row r="234" spans="1:8" x14ac:dyDescent="0.2">
      <c r="A234" s="9"/>
      <c r="B234" s="24" t="s">
        <v>336</v>
      </c>
      <c r="C234" s="25">
        <v>44384</v>
      </c>
      <c r="D234" s="24" t="s">
        <v>1623</v>
      </c>
      <c r="E234" s="24" t="s">
        <v>510</v>
      </c>
      <c r="F234" s="24" t="s">
        <v>333</v>
      </c>
      <c r="G234" s="24" t="s">
        <v>347</v>
      </c>
      <c r="H234" s="10">
        <v>171.27621340547037</v>
      </c>
    </row>
    <row r="235" spans="1:8" x14ac:dyDescent="0.2">
      <c r="A235" s="9"/>
      <c r="B235" s="24" t="s">
        <v>336</v>
      </c>
      <c r="C235" s="25">
        <v>44385</v>
      </c>
      <c r="D235" s="24" t="s">
        <v>1624</v>
      </c>
      <c r="E235" s="24" t="s">
        <v>420</v>
      </c>
      <c r="F235" s="24" t="s">
        <v>333</v>
      </c>
      <c r="G235" s="24" t="s">
        <v>347</v>
      </c>
      <c r="H235" s="10">
        <v>13465.854019464568</v>
      </c>
    </row>
    <row r="236" spans="1:8" x14ac:dyDescent="0.2">
      <c r="A236" s="9"/>
      <c r="B236" s="24" t="s">
        <v>336</v>
      </c>
      <c r="C236" s="25">
        <v>44386</v>
      </c>
      <c r="D236" s="24" t="s">
        <v>1625</v>
      </c>
      <c r="E236" s="24" t="s">
        <v>643</v>
      </c>
      <c r="F236" s="24" t="s">
        <v>333</v>
      </c>
      <c r="G236" s="24" t="s">
        <v>347</v>
      </c>
      <c r="H236" s="10">
        <v>5.9060763243265653</v>
      </c>
    </row>
    <row r="237" spans="1:8" x14ac:dyDescent="0.2">
      <c r="A237" s="9"/>
      <c r="B237" s="24" t="s">
        <v>336</v>
      </c>
      <c r="C237" s="25">
        <v>44386</v>
      </c>
      <c r="D237" s="24" t="s">
        <v>1626</v>
      </c>
      <c r="E237" s="24" t="s">
        <v>344</v>
      </c>
      <c r="F237" s="24" t="s">
        <v>333</v>
      </c>
      <c r="G237" s="24" t="s">
        <v>347</v>
      </c>
      <c r="H237" s="10">
        <v>436.16373655151682</v>
      </c>
    </row>
    <row r="238" spans="1:8" x14ac:dyDescent="0.2">
      <c r="A238" s="9"/>
      <c r="B238" s="24" t="s">
        <v>336</v>
      </c>
      <c r="C238" s="25">
        <v>44389</v>
      </c>
      <c r="D238" s="24" t="s">
        <v>1627</v>
      </c>
      <c r="E238" s="24" t="s">
        <v>376</v>
      </c>
      <c r="F238" s="24" t="s">
        <v>333</v>
      </c>
      <c r="G238" s="24" t="s">
        <v>347</v>
      </c>
      <c r="H238" s="10">
        <v>1108.5823382287449</v>
      </c>
    </row>
    <row r="239" spans="1:8" x14ac:dyDescent="0.2">
      <c r="A239" s="9"/>
      <c r="B239" s="24" t="s">
        <v>336</v>
      </c>
      <c r="C239" s="25">
        <v>44390</v>
      </c>
      <c r="D239" s="24" t="s">
        <v>1628</v>
      </c>
      <c r="E239" s="24" t="s">
        <v>910</v>
      </c>
      <c r="F239" s="24" t="s">
        <v>333</v>
      </c>
      <c r="G239" s="24" t="s">
        <v>347</v>
      </c>
      <c r="H239" s="10">
        <v>106.30937383787817</v>
      </c>
    </row>
    <row r="240" spans="1:8" x14ac:dyDescent="0.2">
      <c r="A240" s="9"/>
      <c r="B240" s="24" t="s">
        <v>336</v>
      </c>
      <c r="C240" s="25">
        <v>44390</v>
      </c>
      <c r="D240" s="24" t="s">
        <v>1629</v>
      </c>
      <c r="E240" s="24" t="s">
        <v>375</v>
      </c>
      <c r="F240" s="24" t="s">
        <v>333</v>
      </c>
      <c r="G240" s="24" t="s">
        <v>347</v>
      </c>
      <c r="H240" s="10">
        <v>542.17780657317871</v>
      </c>
    </row>
    <row r="241" spans="1:8" x14ac:dyDescent="0.2">
      <c r="A241" s="9"/>
      <c r="B241" s="24" t="s">
        <v>336</v>
      </c>
      <c r="C241" s="25">
        <v>44391</v>
      </c>
      <c r="D241" s="24" t="s">
        <v>1630</v>
      </c>
      <c r="E241" s="24" t="s">
        <v>762</v>
      </c>
      <c r="F241" s="24" t="s">
        <v>333</v>
      </c>
      <c r="G241" s="24" t="s">
        <v>347</v>
      </c>
      <c r="H241" s="10">
        <v>1130.8593536063645</v>
      </c>
    </row>
    <row r="242" spans="1:8" x14ac:dyDescent="0.2">
      <c r="A242" s="9"/>
      <c r="B242" s="24" t="s">
        <v>336</v>
      </c>
      <c r="C242" s="25">
        <v>44391</v>
      </c>
      <c r="D242" s="24" t="s">
        <v>1631</v>
      </c>
      <c r="E242" s="24" t="s">
        <v>597</v>
      </c>
      <c r="F242" s="24" t="s">
        <v>333</v>
      </c>
      <c r="G242" s="24" t="s">
        <v>347</v>
      </c>
      <c r="H242" s="10">
        <v>6408.0928118943229</v>
      </c>
    </row>
    <row r="243" spans="1:8" x14ac:dyDescent="0.2">
      <c r="A243" s="9"/>
      <c r="B243" s="24" t="s">
        <v>336</v>
      </c>
      <c r="C243" s="25">
        <v>44391</v>
      </c>
      <c r="D243" s="24" t="s">
        <v>1632</v>
      </c>
      <c r="E243" s="24" t="s">
        <v>344</v>
      </c>
      <c r="F243" s="24" t="s">
        <v>333</v>
      </c>
      <c r="G243" s="24" t="s">
        <v>347</v>
      </c>
      <c r="H243" s="10">
        <v>649.76289289711133</v>
      </c>
    </row>
    <row r="244" spans="1:8" x14ac:dyDescent="0.2">
      <c r="A244" s="9"/>
      <c r="B244" s="24" t="s">
        <v>336</v>
      </c>
      <c r="C244" s="25">
        <v>44392</v>
      </c>
      <c r="D244" s="24" t="s">
        <v>1633</v>
      </c>
      <c r="E244" s="24" t="s">
        <v>544</v>
      </c>
      <c r="F244" s="24" t="s">
        <v>333</v>
      </c>
      <c r="G244" s="24" t="s">
        <v>347</v>
      </c>
      <c r="H244" s="10">
        <v>7937.7665798949038</v>
      </c>
    </row>
    <row r="245" spans="1:8" x14ac:dyDescent="0.2">
      <c r="A245" s="9"/>
      <c r="B245" s="24" t="s">
        <v>336</v>
      </c>
      <c r="C245" s="25">
        <v>44396</v>
      </c>
      <c r="D245" s="24" t="s">
        <v>1634</v>
      </c>
      <c r="E245" s="24" t="s">
        <v>597</v>
      </c>
      <c r="F245" s="24" t="s">
        <v>333</v>
      </c>
      <c r="G245" s="24" t="s">
        <v>347</v>
      </c>
      <c r="H245" s="10">
        <v>14700.223971248821</v>
      </c>
    </row>
    <row r="246" spans="1:8" x14ac:dyDescent="0.2">
      <c r="A246" s="9"/>
      <c r="B246" s="24" t="s">
        <v>336</v>
      </c>
      <c r="C246" s="25">
        <v>44397</v>
      </c>
      <c r="D246" s="24" t="s">
        <v>1635</v>
      </c>
      <c r="E246" s="24" t="s">
        <v>344</v>
      </c>
      <c r="F246" s="24" t="s">
        <v>333</v>
      </c>
      <c r="G246" s="24" t="s">
        <v>347</v>
      </c>
      <c r="H246" s="10">
        <v>448.34206593227822</v>
      </c>
    </row>
    <row r="247" spans="1:8" x14ac:dyDescent="0.2">
      <c r="A247" s="9"/>
      <c r="B247" s="24" t="s">
        <v>336</v>
      </c>
      <c r="C247" s="25">
        <v>44397</v>
      </c>
      <c r="D247" s="24" t="s">
        <v>1636</v>
      </c>
      <c r="E247" s="24" t="s">
        <v>910</v>
      </c>
      <c r="F247" s="24" t="s">
        <v>333</v>
      </c>
      <c r="G247" s="24" t="s">
        <v>347</v>
      </c>
      <c r="H247" s="10">
        <v>205.53145608656448</v>
      </c>
    </row>
    <row r="248" spans="1:8" x14ac:dyDescent="0.2">
      <c r="A248" s="9"/>
      <c r="B248" s="24" t="s">
        <v>336</v>
      </c>
      <c r="C248" s="25">
        <v>44398</v>
      </c>
      <c r="D248" s="24" t="s">
        <v>1637</v>
      </c>
      <c r="E248" s="24" t="s">
        <v>376</v>
      </c>
      <c r="F248" s="24" t="s">
        <v>333</v>
      </c>
      <c r="G248" s="24" t="s">
        <v>347</v>
      </c>
      <c r="H248" s="10">
        <v>4590.202519266606</v>
      </c>
    </row>
    <row r="249" spans="1:8" x14ac:dyDescent="0.2">
      <c r="A249" s="9"/>
      <c r="B249" s="24" t="s">
        <v>336</v>
      </c>
      <c r="C249" s="25">
        <v>44398</v>
      </c>
      <c r="D249" s="24" t="s">
        <v>1638</v>
      </c>
      <c r="E249" s="24" t="s">
        <v>711</v>
      </c>
      <c r="F249" s="24" t="s">
        <v>333</v>
      </c>
      <c r="G249" s="24" t="s">
        <v>347</v>
      </c>
      <c r="H249" s="10">
        <v>3945.2589846501455</v>
      </c>
    </row>
    <row r="250" spans="1:8" x14ac:dyDescent="0.2">
      <c r="A250" s="9"/>
      <c r="B250" s="24" t="s">
        <v>336</v>
      </c>
      <c r="C250" s="25">
        <v>44398</v>
      </c>
      <c r="D250" s="24" t="s">
        <v>1639</v>
      </c>
      <c r="E250" s="24" t="s">
        <v>344</v>
      </c>
      <c r="F250" s="24" t="s">
        <v>333</v>
      </c>
      <c r="G250" s="24" t="s">
        <v>347</v>
      </c>
      <c r="H250" s="10">
        <v>389.8010374055533</v>
      </c>
    </row>
    <row r="251" spans="1:8" x14ac:dyDescent="0.2">
      <c r="A251" s="9"/>
      <c r="B251" s="24" t="s">
        <v>336</v>
      </c>
      <c r="C251" s="25">
        <v>44399</v>
      </c>
      <c r="D251" s="24" t="s">
        <v>1640</v>
      </c>
      <c r="E251" s="24" t="s">
        <v>420</v>
      </c>
      <c r="F251" s="24" t="s">
        <v>333</v>
      </c>
      <c r="G251" s="24" t="s">
        <v>347</v>
      </c>
      <c r="H251" s="10">
        <v>6732.9270097322842</v>
      </c>
    </row>
    <row r="252" spans="1:8" x14ac:dyDescent="0.2">
      <c r="A252" s="9"/>
      <c r="B252" s="24" t="s">
        <v>336</v>
      </c>
      <c r="C252" s="25">
        <v>44399</v>
      </c>
      <c r="D252" s="24" t="s">
        <v>1641</v>
      </c>
      <c r="E252" s="24" t="s">
        <v>344</v>
      </c>
      <c r="F252" s="24" t="s">
        <v>333</v>
      </c>
      <c r="G252" s="24" t="s">
        <v>347</v>
      </c>
      <c r="H252" s="10">
        <v>1848.7081988880527</v>
      </c>
    </row>
    <row r="253" spans="1:8" x14ac:dyDescent="0.2">
      <c r="A253" s="9"/>
      <c r="B253" s="24" t="s">
        <v>336</v>
      </c>
      <c r="C253" s="25">
        <v>44399</v>
      </c>
      <c r="D253" s="24" t="s">
        <v>1642</v>
      </c>
      <c r="E253" s="24" t="s">
        <v>1039</v>
      </c>
      <c r="F253" s="24" t="s">
        <v>333</v>
      </c>
      <c r="G253" s="24" t="s">
        <v>347</v>
      </c>
      <c r="H253" s="10">
        <v>1328.8671729734772</v>
      </c>
    </row>
    <row r="254" spans="1:8" x14ac:dyDescent="0.2">
      <c r="A254" s="9"/>
      <c r="B254" s="24" t="s">
        <v>336</v>
      </c>
      <c r="C254" s="25">
        <v>44400</v>
      </c>
      <c r="D254" s="24" t="s">
        <v>1643</v>
      </c>
      <c r="E254" s="24" t="s">
        <v>344</v>
      </c>
      <c r="F254" s="24" t="s">
        <v>333</v>
      </c>
      <c r="G254" s="24" t="s">
        <v>347</v>
      </c>
      <c r="H254" s="10">
        <v>1379.6830536679829</v>
      </c>
    </row>
    <row r="255" spans="1:8" x14ac:dyDescent="0.2">
      <c r="A255" s="9"/>
      <c r="B255" s="24" t="s">
        <v>336</v>
      </c>
      <c r="C255" s="25">
        <v>44400</v>
      </c>
      <c r="D255" s="24" t="s">
        <v>1644</v>
      </c>
      <c r="E255" s="24" t="s">
        <v>421</v>
      </c>
      <c r="F255" s="24" t="s">
        <v>333</v>
      </c>
      <c r="G255" s="24" t="s">
        <v>347</v>
      </c>
      <c r="H255" s="10">
        <v>163716.43571033239</v>
      </c>
    </row>
    <row r="256" spans="1:8" x14ac:dyDescent="0.2">
      <c r="A256" s="9"/>
      <c r="B256" s="24" t="s">
        <v>336</v>
      </c>
      <c r="C256" s="25">
        <v>44400</v>
      </c>
      <c r="D256" s="24" t="s">
        <v>1645</v>
      </c>
      <c r="E256" s="24" t="s">
        <v>346</v>
      </c>
      <c r="F256" s="24" t="s">
        <v>333</v>
      </c>
      <c r="G256" s="24" t="s">
        <v>347</v>
      </c>
      <c r="H256" s="10">
        <v>23.624305297306261</v>
      </c>
    </row>
    <row r="257" spans="1:8" x14ac:dyDescent="0.2">
      <c r="A257" s="9"/>
      <c r="B257" s="24" t="s">
        <v>336</v>
      </c>
      <c r="C257" s="25">
        <v>44400</v>
      </c>
      <c r="D257" s="24" t="s">
        <v>1646</v>
      </c>
      <c r="E257" s="24" t="s">
        <v>910</v>
      </c>
      <c r="F257" s="24" t="s">
        <v>333</v>
      </c>
      <c r="G257" s="24" t="s">
        <v>347</v>
      </c>
      <c r="H257" s="10">
        <v>99.222082248686291</v>
      </c>
    </row>
    <row r="258" spans="1:8" x14ac:dyDescent="0.2">
      <c r="A258" s="9"/>
      <c r="B258" s="24" t="s">
        <v>336</v>
      </c>
      <c r="C258" s="25">
        <v>44400</v>
      </c>
      <c r="D258" s="24" t="s">
        <v>1647</v>
      </c>
      <c r="E258" s="24" t="s">
        <v>421</v>
      </c>
      <c r="F258" s="24" t="s">
        <v>333</v>
      </c>
      <c r="G258" s="24" t="s">
        <v>347</v>
      </c>
      <c r="H258" s="10">
        <v>160999.64060114216</v>
      </c>
    </row>
    <row r="259" spans="1:8" x14ac:dyDescent="0.2">
      <c r="A259" s="9"/>
      <c r="B259" s="24" t="s">
        <v>336</v>
      </c>
      <c r="C259" s="25">
        <v>44404</v>
      </c>
      <c r="D259" s="24" t="s">
        <v>1648</v>
      </c>
      <c r="E259" s="24" t="s">
        <v>422</v>
      </c>
      <c r="F259" s="24" t="s">
        <v>333</v>
      </c>
      <c r="G259" s="24" t="s">
        <v>347</v>
      </c>
      <c r="H259" s="10">
        <v>1181.215264865313</v>
      </c>
    </row>
    <row r="260" spans="1:8" x14ac:dyDescent="0.2">
      <c r="A260" s="9"/>
      <c r="B260" s="24" t="s">
        <v>336</v>
      </c>
      <c r="C260" s="25">
        <v>44404</v>
      </c>
      <c r="D260" s="24" t="s">
        <v>1649</v>
      </c>
      <c r="E260" s="24" t="s">
        <v>344</v>
      </c>
      <c r="F260" s="24" t="s">
        <v>333</v>
      </c>
      <c r="G260" s="24" t="s">
        <v>347</v>
      </c>
      <c r="H260" s="10">
        <v>664.92969689798201</v>
      </c>
    </row>
    <row r="261" spans="1:8" x14ac:dyDescent="0.2">
      <c r="A261" s="9"/>
      <c r="B261" s="24" t="s">
        <v>336</v>
      </c>
      <c r="C261" s="25">
        <v>44406</v>
      </c>
      <c r="D261" s="24" t="s">
        <v>1650</v>
      </c>
      <c r="E261" s="24" t="s">
        <v>905</v>
      </c>
      <c r="F261" s="24" t="s">
        <v>333</v>
      </c>
      <c r="G261" s="24" t="s">
        <v>347</v>
      </c>
      <c r="H261" s="10">
        <v>6890.7373691182902</v>
      </c>
    </row>
    <row r="262" spans="1:8" x14ac:dyDescent="0.2">
      <c r="A262" s="9"/>
      <c r="B262" s="24" t="s">
        <v>336</v>
      </c>
      <c r="C262" s="25">
        <v>44406</v>
      </c>
      <c r="D262" s="24" t="s">
        <v>1651</v>
      </c>
      <c r="E262" s="24" t="s">
        <v>1005</v>
      </c>
      <c r="F262" s="24" t="s">
        <v>333</v>
      </c>
      <c r="G262" s="24" t="s">
        <v>347</v>
      </c>
      <c r="H262" s="10">
        <v>1063.0937383787816</v>
      </c>
    </row>
    <row r="263" spans="1:8" x14ac:dyDescent="0.2">
      <c r="A263" s="9"/>
      <c r="B263" s="24" t="s">
        <v>336</v>
      </c>
      <c r="C263" s="25">
        <v>44407</v>
      </c>
      <c r="D263" s="24" t="s">
        <v>1652</v>
      </c>
      <c r="E263" s="24" t="s">
        <v>5</v>
      </c>
      <c r="F263" s="24" t="s">
        <v>333</v>
      </c>
      <c r="G263" s="24" t="s">
        <v>1419</v>
      </c>
      <c r="H263" s="10">
        <v>37472.598522543136</v>
      </c>
    </row>
    <row r="264" spans="1:8" x14ac:dyDescent="0.2">
      <c r="A264" s="9"/>
      <c r="B264" s="24" t="s">
        <v>336</v>
      </c>
      <c r="C264" s="25">
        <v>44407</v>
      </c>
      <c r="D264" s="24" t="s">
        <v>1653</v>
      </c>
      <c r="E264" s="24" t="s">
        <v>376</v>
      </c>
      <c r="F264" s="24" t="s">
        <v>333</v>
      </c>
      <c r="G264" s="24" t="s">
        <v>347</v>
      </c>
      <c r="H264" s="10">
        <v>3945.2589846501455</v>
      </c>
    </row>
    <row r="265" spans="1:8" x14ac:dyDescent="0.2">
      <c r="A265" s="9"/>
      <c r="B265" s="24" t="s">
        <v>336</v>
      </c>
      <c r="C265" s="25">
        <v>44407</v>
      </c>
      <c r="D265" s="24" t="s">
        <v>1654</v>
      </c>
      <c r="E265" s="24" t="s">
        <v>344</v>
      </c>
      <c r="F265" s="24" t="s">
        <v>333</v>
      </c>
      <c r="G265" s="24" t="s">
        <v>347</v>
      </c>
      <c r="H265" s="10">
        <v>715.8636991189743</v>
      </c>
    </row>
    <row r="266" spans="1:8" x14ac:dyDescent="0.2">
      <c r="A266" s="9"/>
      <c r="B266" s="24" t="s">
        <v>336</v>
      </c>
      <c r="C266" s="25">
        <v>44411</v>
      </c>
      <c r="D266" s="24" t="s">
        <v>1655</v>
      </c>
      <c r="E266" s="24" t="s">
        <v>377</v>
      </c>
      <c r="F266" s="24" t="s">
        <v>333</v>
      </c>
      <c r="G266" s="24" t="s">
        <v>347</v>
      </c>
      <c r="H266" s="10">
        <v>6.4525816771581983</v>
      </c>
    </row>
    <row r="267" spans="1:8" x14ac:dyDescent="0.2">
      <c r="A267" s="9"/>
      <c r="B267" s="24" t="s">
        <v>336</v>
      </c>
      <c r="C267" s="25">
        <v>44411</v>
      </c>
      <c r="D267" s="24" t="s">
        <v>1656</v>
      </c>
      <c r="E267" s="24" t="s">
        <v>722</v>
      </c>
      <c r="F267" s="24" t="s">
        <v>333</v>
      </c>
      <c r="G267" s="24" t="s">
        <v>347</v>
      </c>
      <c r="H267" s="10">
        <v>3102.8808065023031</v>
      </c>
    </row>
    <row r="268" spans="1:8" x14ac:dyDescent="0.2">
      <c r="A268" s="9"/>
      <c r="B268" s="24" t="s">
        <v>336</v>
      </c>
      <c r="C268" s="25">
        <v>44412</v>
      </c>
      <c r="D268" s="24" t="s">
        <v>1657</v>
      </c>
      <c r="E268" s="24" t="s">
        <v>344</v>
      </c>
      <c r="F268" s="24" t="s">
        <v>333</v>
      </c>
      <c r="G268" s="24" t="s">
        <v>347</v>
      </c>
      <c r="H268" s="10">
        <v>1442.7102883233001</v>
      </c>
    </row>
    <row r="269" spans="1:8" x14ac:dyDescent="0.2">
      <c r="A269" s="9"/>
      <c r="B269" s="24" t="s">
        <v>336</v>
      </c>
      <c r="C269" s="25">
        <v>44414</v>
      </c>
      <c r="D269" s="24" t="s">
        <v>1658</v>
      </c>
      <c r="E269" s="24" t="s">
        <v>346</v>
      </c>
      <c r="F269" s="24" t="s">
        <v>333</v>
      </c>
      <c r="G269" s="24" t="s">
        <v>347</v>
      </c>
      <c r="H269" s="10">
        <v>41.136677358932047</v>
      </c>
    </row>
    <row r="270" spans="1:8" x14ac:dyDescent="0.2">
      <c r="A270" s="9"/>
      <c r="B270" s="24" t="s">
        <v>336</v>
      </c>
      <c r="C270" s="25">
        <v>44414</v>
      </c>
      <c r="D270" s="24" t="s">
        <v>1659</v>
      </c>
      <c r="E270" s="24" t="s">
        <v>874</v>
      </c>
      <c r="F270" s="24" t="s">
        <v>333</v>
      </c>
      <c r="G270" s="24" t="s">
        <v>347</v>
      </c>
      <c r="H270" s="10">
        <v>1047.4103255767395</v>
      </c>
    </row>
    <row r="271" spans="1:8" x14ac:dyDescent="0.2">
      <c r="A271" s="9"/>
      <c r="B271" s="24" t="s">
        <v>336</v>
      </c>
      <c r="C271" s="25">
        <v>44414</v>
      </c>
      <c r="D271" s="24" t="s">
        <v>1660</v>
      </c>
      <c r="E271" s="24" t="s">
        <v>1019</v>
      </c>
      <c r="F271" s="24" t="s">
        <v>333</v>
      </c>
      <c r="G271" s="24" t="s">
        <v>347</v>
      </c>
      <c r="H271" s="10">
        <v>4011.178642587523</v>
      </c>
    </row>
    <row r="272" spans="1:8" x14ac:dyDescent="0.2">
      <c r="A272" s="9"/>
      <c r="B272" s="24" t="s">
        <v>336</v>
      </c>
      <c r="C272" s="25">
        <v>44414</v>
      </c>
      <c r="D272" s="24" t="s">
        <v>1661</v>
      </c>
      <c r="E272" s="24" t="s">
        <v>585</v>
      </c>
      <c r="F272" s="24" t="s">
        <v>333</v>
      </c>
      <c r="G272" s="24" t="s">
        <v>347</v>
      </c>
      <c r="H272" s="10">
        <v>6524.2735788209775</v>
      </c>
    </row>
    <row r="273" spans="1:8" x14ac:dyDescent="0.2">
      <c r="A273" s="9"/>
      <c r="B273" s="24" t="s">
        <v>336</v>
      </c>
      <c r="C273" s="25">
        <v>44414</v>
      </c>
      <c r="D273" s="24" t="s">
        <v>1662</v>
      </c>
      <c r="E273" s="24" t="s">
        <v>376</v>
      </c>
      <c r="F273" s="24" t="s">
        <v>333</v>
      </c>
      <c r="G273" s="24" t="s">
        <v>347</v>
      </c>
      <c r="H273" s="10">
        <v>2822.7988003699174</v>
      </c>
    </row>
    <row r="274" spans="1:8" x14ac:dyDescent="0.2">
      <c r="A274" s="9"/>
      <c r="B274" s="24" t="s">
        <v>336</v>
      </c>
      <c r="C274" s="25">
        <v>44418</v>
      </c>
      <c r="D274" s="24" t="s">
        <v>1663</v>
      </c>
      <c r="E274" s="24" t="s">
        <v>344</v>
      </c>
      <c r="F274" s="24" t="s">
        <v>333</v>
      </c>
      <c r="G274" s="24" t="s">
        <v>347</v>
      </c>
      <c r="H274" s="10">
        <v>754.19984269866018</v>
      </c>
    </row>
    <row r="275" spans="1:8" x14ac:dyDescent="0.2">
      <c r="A275" s="9"/>
      <c r="B275" s="24" t="s">
        <v>336</v>
      </c>
      <c r="C275" s="25">
        <v>44418</v>
      </c>
      <c r="D275" s="24" t="s">
        <v>1664</v>
      </c>
      <c r="E275" s="24" t="s">
        <v>564</v>
      </c>
      <c r="F275" s="24" t="s">
        <v>333</v>
      </c>
      <c r="G275" s="24" t="s">
        <v>347</v>
      </c>
      <c r="H275" s="10">
        <v>862.03670406100355</v>
      </c>
    </row>
    <row r="276" spans="1:8" x14ac:dyDescent="0.2">
      <c r="A276" s="9"/>
      <c r="B276" s="24" t="s">
        <v>336</v>
      </c>
      <c r="C276" s="25">
        <v>44418</v>
      </c>
      <c r="D276" s="24" t="s">
        <v>1665</v>
      </c>
      <c r="E276" s="24" t="s">
        <v>344</v>
      </c>
      <c r="F276" s="24" t="s">
        <v>333</v>
      </c>
      <c r="G276" s="24" t="s">
        <v>347</v>
      </c>
      <c r="H276" s="10">
        <v>865.92705840551969</v>
      </c>
    </row>
    <row r="277" spans="1:8" x14ac:dyDescent="0.2">
      <c r="A277" s="9"/>
      <c r="B277" s="24" t="s">
        <v>336</v>
      </c>
      <c r="C277" s="25">
        <v>44418</v>
      </c>
      <c r="D277" s="24" t="s">
        <v>1666</v>
      </c>
      <c r="E277" s="24" t="s">
        <v>375</v>
      </c>
      <c r="F277" s="24" t="s">
        <v>333</v>
      </c>
      <c r="G277" s="24" t="s">
        <v>347</v>
      </c>
      <c r="H277" s="10">
        <v>1579.6484105829907</v>
      </c>
    </row>
    <row r="278" spans="1:8" x14ac:dyDescent="0.2">
      <c r="A278" s="9"/>
      <c r="B278" s="24" t="s">
        <v>336</v>
      </c>
      <c r="C278" s="25">
        <v>44419</v>
      </c>
      <c r="D278" s="24" t="s">
        <v>1667</v>
      </c>
      <c r="E278" s="24" t="s">
        <v>910</v>
      </c>
      <c r="F278" s="24" t="s">
        <v>333</v>
      </c>
      <c r="G278" s="24" t="s">
        <v>347</v>
      </c>
      <c r="H278" s="10">
        <v>98.728025661436916</v>
      </c>
    </row>
    <row r="279" spans="1:8" x14ac:dyDescent="0.2">
      <c r="A279" s="9"/>
      <c r="B279" s="24" t="s">
        <v>336</v>
      </c>
      <c r="C279" s="25">
        <v>44420</v>
      </c>
      <c r="D279" s="24" t="s">
        <v>1668</v>
      </c>
      <c r="E279" s="24" t="s">
        <v>344</v>
      </c>
      <c r="F279" s="24" t="s">
        <v>333</v>
      </c>
      <c r="G279" s="24" t="s">
        <v>347</v>
      </c>
      <c r="H279" s="10">
        <v>1293.0550560915053</v>
      </c>
    </row>
    <row r="280" spans="1:8" x14ac:dyDescent="0.2">
      <c r="A280" s="9"/>
      <c r="B280" s="24" t="s">
        <v>336</v>
      </c>
      <c r="C280" s="25">
        <v>44421</v>
      </c>
      <c r="D280" s="24" t="s">
        <v>1669</v>
      </c>
      <c r="E280" s="24" t="s">
        <v>1039</v>
      </c>
      <c r="F280" s="24" t="s">
        <v>333</v>
      </c>
      <c r="G280" s="24" t="s">
        <v>347</v>
      </c>
      <c r="H280" s="10">
        <v>264.45006873599175</v>
      </c>
    </row>
    <row r="281" spans="1:8" x14ac:dyDescent="0.2">
      <c r="A281" s="9"/>
      <c r="B281" s="24" t="s">
        <v>336</v>
      </c>
      <c r="C281" s="25">
        <v>44421</v>
      </c>
      <c r="D281" s="24" t="s">
        <v>1670</v>
      </c>
      <c r="E281" s="24" t="s">
        <v>344</v>
      </c>
      <c r="F281" s="24" t="s">
        <v>333</v>
      </c>
      <c r="G281" s="24" t="s">
        <v>347</v>
      </c>
      <c r="H281" s="10">
        <v>702.95529604581918</v>
      </c>
    </row>
    <row r="282" spans="1:8" x14ac:dyDescent="0.2">
      <c r="A282" s="9"/>
      <c r="B282" s="24" t="s">
        <v>336</v>
      </c>
      <c r="C282" s="25">
        <v>44421</v>
      </c>
      <c r="D282" s="24" t="s">
        <v>1671</v>
      </c>
      <c r="E282" s="24" t="s">
        <v>874</v>
      </c>
      <c r="F282" s="24" t="s">
        <v>333</v>
      </c>
      <c r="G282" s="24" t="s">
        <v>347</v>
      </c>
      <c r="H282" s="10">
        <v>1054.8384341741239</v>
      </c>
    </row>
    <row r="283" spans="1:8" x14ac:dyDescent="0.2">
      <c r="A283" s="9"/>
      <c r="B283" s="24" t="s">
        <v>929</v>
      </c>
      <c r="C283" s="25">
        <v>44425</v>
      </c>
      <c r="D283" s="24" t="s">
        <v>1045</v>
      </c>
      <c r="E283" s="24" t="s">
        <v>421</v>
      </c>
      <c r="F283" s="24" t="s">
        <v>333</v>
      </c>
      <c r="G283" s="24" t="s">
        <v>347</v>
      </c>
      <c r="H283" s="10">
        <v>-58.766681941331498</v>
      </c>
    </row>
    <row r="284" spans="1:8" x14ac:dyDescent="0.2">
      <c r="A284" s="9"/>
      <c r="B284" s="24" t="s">
        <v>336</v>
      </c>
      <c r="C284" s="25">
        <v>44425</v>
      </c>
      <c r="D284" s="24" t="s">
        <v>1672</v>
      </c>
      <c r="E284" s="24" t="s">
        <v>375</v>
      </c>
      <c r="F284" s="24" t="s">
        <v>333</v>
      </c>
      <c r="G284" s="24" t="s">
        <v>347</v>
      </c>
      <c r="H284" s="10">
        <v>3596.5209348094877</v>
      </c>
    </row>
    <row r="285" spans="1:8" x14ac:dyDescent="0.2">
      <c r="A285" s="9"/>
      <c r="B285" s="24" t="s">
        <v>336</v>
      </c>
      <c r="C285" s="25">
        <v>44426</v>
      </c>
      <c r="D285" s="24" t="s">
        <v>1673</v>
      </c>
      <c r="E285" s="24" t="s">
        <v>613</v>
      </c>
      <c r="F285" s="24" t="s">
        <v>333</v>
      </c>
      <c r="G285" s="24" t="s">
        <v>347</v>
      </c>
      <c r="H285" s="10">
        <v>2380.0506186239259</v>
      </c>
    </row>
    <row r="286" spans="1:8" x14ac:dyDescent="0.2">
      <c r="A286" s="9"/>
      <c r="B286" s="24" t="s">
        <v>336</v>
      </c>
      <c r="C286" s="25">
        <v>44426</v>
      </c>
      <c r="D286" s="24" t="s">
        <v>1674</v>
      </c>
      <c r="E286" s="24" t="s">
        <v>344</v>
      </c>
      <c r="F286" s="24" t="s">
        <v>333</v>
      </c>
      <c r="G286" s="24" t="s">
        <v>347</v>
      </c>
      <c r="H286" s="10">
        <v>1271.146837063777</v>
      </c>
    </row>
    <row r="287" spans="1:8" x14ac:dyDescent="0.2">
      <c r="A287" s="9"/>
      <c r="B287" s="24" t="s">
        <v>336</v>
      </c>
      <c r="C287" s="25">
        <v>44426</v>
      </c>
      <c r="D287" s="24" t="s">
        <v>1675</v>
      </c>
      <c r="E287" s="24" t="s">
        <v>910</v>
      </c>
      <c r="F287" s="24" t="s">
        <v>333</v>
      </c>
      <c r="G287" s="24" t="s">
        <v>347</v>
      </c>
      <c r="H287" s="10">
        <v>197.45605132287383</v>
      </c>
    </row>
    <row r="288" spans="1:8" x14ac:dyDescent="0.2">
      <c r="A288" s="9"/>
      <c r="B288" s="24" t="s">
        <v>336</v>
      </c>
      <c r="C288" s="25">
        <v>44427</v>
      </c>
      <c r="D288" s="24" t="s">
        <v>1676</v>
      </c>
      <c r="E288" s="24" t="s">
        <v>421</v>
      </c>
      <c r="F288" s="24" t="s">
        <v>333</v>
      </c>
      <c r="G288" s="24" t="s">
        <v>347</v>
      </c>
      <c r="H288" s="10">
        <v>162901.2423413709</v>
      </c>
    </row>
    <row r="289" spans="1:8" x14ac:dyDescent="0.2">
      <c r="A289" s="9"/>
      <c r="B289" s="24" t="s">
        <v>336</v>
      </c>
      <c r="C289" s="25">
        <v>44427</v>
      </c>
      <c r="D289" s="24" t="s">
        <v>1677</v>
      </c>
      <c r="E289" s="24" t="s">
        <v>1039</v>
      </c>
      <c r="F289" s="24" t="s">
        <v>333</v>
      </c>
      <c r="G289" s="24" t="s">
        <v>347</v>
      </c>
      <c r="H289" s="10">
        <v>1309.0278402431591</v>
      </c>
    </row>
    <row r="290" spans="1:8" x14ac:dyDescent="0.2">
      <c r="A290" s="9"/>
      <c r="B290" s="24" t="s">
        <v>336</v>
      </c>
      <c r="C290" s="25">
        <v>44427</v>
      </c>
      <c r="D290" s="24" t="s">
        <v>1678</v>
      </c>
      <c r="E290" s="24" t="s">
        <v>1053</v>
      </c>
      <c r="F290" s="24" t="s">
        <v>333</v>
      </c>
      <c r="G290" s="24" t="s">
        <v>347</v>
      </c>
      <c r="H290" s="10">
        <v>1066.9443706540383</v>
      </c>
    </row>
    <row r="291" spans="1:8" x14ac:dyDescent="0.2">
      <c r="A291" s="9"/>
      <c r="B291" s="24" t="s">
        <v>336</v>
      </c>
      <c r="C291" s="25">
        <v>44427</v>
      </c>
      <c r="D291" s="24" t="s">
        <v>1679</v>
      </c>
      <c r="E291" s="24" t="s">
        <v>421</v>
      </c>
      <c r="F291" s="24" t="s">
        <v>333</v>
      </c>
      <c r="G291" s="24" t="s">
        <v>347</v>
      </c>
      <c r="H291" s="10">
        <v>162901.2423413709</v>
      </c>
    </row>
    <row r="292" spans="1:8" x14ac:dyDescent="0.2">
      <c r="A292" s="9"/>
      <c r="B292" s="24" t="s">
        <v>336</v>
      </c>
      <c r="C292" s="25">
        <v>44428</v>
      </c>
      <c r="D292" s="24" t="s">
        <v>1680</v>
      </c>
      <c r="E292" s="24" t="s">
        <v>675</v>
      </c>
      <c r="F292" s="24" t="s">
        <v>333</v>
      </c>
      <c r="G292" s="24" t="s">
        <v>347</v>
      </c>
      <c r="H292" s="10">
        <v>1535.1231950167007</v>
      </c>
    </row>
    <row r="293" spans="1:8" x14ac:dyDescent="0.2">
      <c r="A293" s="9"/>
      <c r="B293" s="24" t="s">
        <v>336</v>
      </c>
      <c r="C293" s="25">
        <v>44428</v>
      </c>
      <c r="D293" s="24" t="s">
        <v>1681</v>
      </c>
      <c r="E293" s="24" t="s">
        <v>1060</v>
      </c>
      <c r="F293" s="24" t="s">
        <v>333</v>
      </c>
      <c r="G293" s="24" t="s">
        <v>347</v>
      </c>
      <c r="H293" s="10">
        <v>378.75126511188154</v>
      </c>
    </row>
    <row r="294" spans="1:8" x14ac:dyDescent="0.2">
      <c r="A294" s="9"/>
      <c r="B294" s="24" t="s">
        <v>336</v>
      </c>
      <c r="C294" s="25">
        <v>44432</v>
      </c>
      <c r="D294" s="24" t="s">
        <v>1682</v>
      </c>
      <c r="E294" s="24" t="s">
        <v>1065</v>
      </c>
      <c r="F294" s="24" t="s">
        <v>333</v>
      </c>
      <c r="G294" s="24" t="s">
        <v>347</v>
      </c>
      <c r="H294" s="10">
        <v>145.1889644042536</v>
      </c>
    </row>
    <row r="295" spans="1:8" x14ac:dyDescent="0.2">
      <c r="A295" s="9"/>
      <c r="B295" s="24" t="s">
        <v>336</v>
      </c>
      <c r="C295" s="25">
        <v>44432</v>
      </c>
      <c r="D295" s="24" t="s">
        <v>1683</v>
      </c>
      <c r="E295" s="24" t="s">
        <v>376</v>
      </c>
      <c r="F295" s="24" t="s">
        <v>333</v>
      </c>
      <c r="G295" s="24" t="s">
        <v>347</v>
      </c>
      <c r="H295" s="10">
        <v>2548.840282495818</v>
      </c>
    </row>
    <row r="296" spans="1:8" x14ac:dyDescent="0.2">
      <c r="A296" s="9"/>
      <c r="B296" s="24" t="s">
        <v>336</v>
      </c>
      <c r="C296" s="25">
        <v>44432</v>
      </c>
      <c r="D296" s="24" t="s">
        <v>1684</v>
      </c>
      <c r="E296" s="24" t="s">
        <v>910</v>
      </c>
      <c r="F296" s="24" t="s">
        <v>333</v>
      </c>
      <c r="G296" s="24" t="s">
        <v>347</v>
      </c>
      <c r="H296" s="10">
        <v>98.728025661436916</v>
      </c>
    </row>
    <row r="297" spans="1:8" x14ac:dyDescent="0.2">
      <c r="A297" s="9"/>
      <c r="B297" s="24" t="s">
        <v>336</v>
      </c>
      <c r="C297" s="25">
        <v>44433</v>
      </c>
      <c r="D297" s="24" t="s">
        <v>1685</v>
      </c>
      <c r="E297" s="24" t="s">
        <v>344</v>
      </c>
      <c r="F297" s="24" t="s">
        <v>333</v>
      </c>
      <c r="G297" s="24" t="s">
        <v>347</v>
      </c>
      <c r="H297" s="10">
        <v>1465.4059808890422</v>
      </c>
    </row>
    <row r="298" spans="1:8" x14ac:dyDescent="0.2">
      <c r="A298" s="9"/>
      <c r="B298" s="24" t="s">
        <v>336</v>
      </c>
      <c r="C298" s="25">
        <v>44433</v>
      </c>
      <c r="D298" s="24" t="s">
        <v>1686</v>
      </c>
      <c r="E298" s="24" t="s">
        <v>5</v>
      </c>
      <c r="F298" s="24" t="s">
        <v>333</v>
      </c>
      <c r="G298" s="24" t="s">
        <v>1419</v>
      </c>
      <c r="H298" s="10">
        <v>71852.662263479986</v>
      </c>
    </row>
    <row r="299" spans="1:8" x14ac:dyDescent="0.2">
      <c r="A299" s="9"/>
      <c r="B299" s="24" t="s">
        <v>336</v>
      </c>
      <c r="C299" s="25">
        <v>44434</v>
      </c>
      <c r="D299" s="24" t="s">
        <v>1687</v>
      </c>
      <c r="E299" s="24" t="s">
        <v>377</v>
      </c>
      <c r="F299" s="24" t="s">
        <v>333</v>
      </c>
      <c r="G299" s="24" t="s">
        <v>347</v>
      </c>
      <c r="H299" s="10">
        <v>44.380598202093552</v>
      </c>
    </row>
    <row r="300" spans="1:8" x14ac:dyDescent="0.2">
      <c r="A300" s="9"/>
      <c r="B300" s="24" t="s">
        <v>336</v>
      </c>
      <c r="C300" s="25">
        <v>44434</v>
      </c>
      <c r="D300" s="24" t="s">
        <v>1688</v>
      </c>
      <c r="E300" s="24" t="s">
        <v>344</v>
      </c>
      <c r="F300" s="24" t="s">
        <v>333</v>
      </c>
      <c r="G300" s="24" t="s">
        <v>347</v>
      </c>
      <c r="H300" s="10">
        <v>446.10963595303571</v>
      </c>
    </row>
    <row r="301" spans="1:8" x14ac:dyDescent="0.2">
      <c r="A301" s="9"/>
      <c r="B301" s="24" t="s">
        <v>336</v>
      </c>
      <c r="C301" s="25">
        <v>44434</v>
      </c>
      <c r="D301" s="24" t="s">
        <v>1689</v>
      </c>
      <c r="E301" s="24" t="s">
        <v>344</v>
      </c>
      <c r="F301" s="24" t="s">
        <v>333</v>
      </c>
      <c r="G301" s="24" t="s">
        <v>347</v>
      </c>
      <c r="H301" s="10">
        <v>1211.7689816302554</v>
      </c>
    </row>
    <row r="302" spans="1:8" x14ac:dyDescent="0.2">
      <c r="A302" s="9"/>
      <c r="B302" s="24" t="s">
        <v>336</v>
      </c>
      <c r="C302" s="25">
        <v>44435</v>
      </c>
      <c r="D302" s="24" t="s">
        <v>1690</v>
      </c>
      <c r="E302" s="24" t="s">
        <v>344</v>
      </c>
      <c r="F302" s="24" t="s">
        <v>333</v>
      </c>
      <c r="G302" s="24" t="s">
        <v>347</v>
      </c>
      <c r="H302" s="10">
        <v>805.44438935150129</v>
      </c>
    </row>
    <row r="303" spans="1:8" x14ac:dyDescent="0.2">
      <c r="A303" s="9"/>
      <c r="B303" s="24" t="s">
        <v>336</v>
      </c>
      <c r="C303" s="25">
        <v>44438</v>
      </c>
      <c r="D303" s="24" t="s">
        <v>1691</v>
      </c>
      <c r="E303" s="24" t="s">
        <v>378</v>
      </c>
      <c r="F303" s="24" t="s">
        <v>333</v>
      </c>
      <c r="G303" s="24" t="s">
        <v>347</v>
      </c>
      <c r="H303" s="10">
        <v>6.7816750960296552</v>
      </c>
    </row>
    <row r="304" spans="1:8" x14ac:dyDescent="0.2">
      <c r="A304" s="9"/>
      <c r="B304" s="24" t="s">
        <v>336</v>
      </c>
      <c r="C304" s="25">
        <v>44438</v>
      </c>
      <c r="D304" s="24" t="s">
        <v>1692</v>
      </c>
      <c r="E304" s="24" t="s">
        <v>421</v>
      </c>
      <c r="F304" s="24" t="s">
        <v>333</v>
      </c>
      <c r="G304" s="24" t="s">
        <v>347</v>
      </c>
      <c r="H304" s="10">
        <v>-192.3786100031428</v>
      </c>
    </row>
    <row r="305" spans="1:8" x14ac:dyDescent="0.2">
      <c r="A305" s="9"/>
      <c r="B305" s="24" t="s">
        <v>336</v>
      </c>
      <c r="C305" s="25">
        <v>44438</v>
      </c>
      <c r="D305" s="24" t="s">
        <v>1693</v>
      </c>
      <c r="E305" s="24" t="s">
        <v>604</v>
      </c>
      <c r="F305" s="24" t="s">
        <v>333</v>
      </c>
      <c r="G305" s="24" t="s">
        <v>347</v>
      </c>
      <c r="H305" s="10">
        <v>17742.037384852403</v>
      </c>
    </row>
    <row r="306" spans="1:8" x14ac:dyDescent="0.2">
      <c r="A306" s="9"/>
      <c r="B306" s="24" t="s">
        <v>929</v>
      </c>
      <c r="C306" s="25">
        <v>44439</v>
      </c>
      <c r="D306" s="24" t="s">
        <v>1694</v>
      </c>
      <c r="E306" s="24" t="s">
        <v>1695</v>
      </c>
      <c r="F306" s="24" t="s">
        <v>333</v>
      </c>
      <c r="G306" s="24" t="s">
        <v>347</v>
      </c>
      <c r="H306" s="10">
        <v>-1175.33363882663</v>
      </c>
    </row>
    <row r="307" spans="1:8" x14ac:dyDescent="0.2">
      <c r="A307" s="9"/>
      <c r="B307" s="24" t="s">
        <v>336</v>
      </c>
      <c r="C307" s="25">
        <v>44439</v>
      </c>
      <c r="D307" s="24" t="s">
        <v>1696</v>
      </c>
      <c r="E307" s="24" t="s">
        <v>346</v>
      </c>
      <c r="F307" s="24" t="s">
        <v>333</v>
      </c>
      <c r="G307" s="24" t="s">
        <v>347</v>
      </c>
      <c r="H307" s="10">
        <v>64.643350135464644</v>
      </c>
    </row>
    <row r="308" spans="1:8" x14ac:dyDescent="0.2">
      <c r="A308" s="9"/>
      <c r="B308" s="24" t="s">
        <v>336</v>
      </c>
      <c r="C308" s="25">
        <v>44439</v>
      </c>
      <c r="D308" s="24" t="s">
        <v>1697</v>
      </c>
      <c r="E308" s="24" t="s">
        <v>5</v>
      </c>
      <c r="F308" s="24" t="s">
        <v>333</v>
      </c>
      <c r="G308" s="24" t="s">
        <v>1419</v>
      </c>
      <c r="H308" s="10">
        <v>32151.926081394293</v>
      </c>
    </row>
    <row r="309" spans="1:8" x14ac:dyDescent="0.2">
      <c r="A309" s="9"/>
      <c r="B309" s="24" t="s">
        <v>336</v>
      </c>
      <c r="C309" s="25">
        <v>44439</v>
      </c>
      <c r="D309" s="24" t="s">
        <v>1698</v>
      </c>
      <c r="E309" s="24" t="s">
        <v>625</v>
      </c>
      <c r="F309" s="24" t="s">
        <v>333</v>
      </c>
      <c r="G309" s="24" t="s">
        <v>347</v>
      </c>
      <c r="H309" s="10">
        <v>4843.185572176506</v>
      </c>
    </row>
    <row r="310" spans="1:8" x14ac:dyDescent="0.2">
      <c r="A310" s="9"/>
      <c r="B310" s="24" t="s">
        <v>336</v>
      </c>
      <c r="C310" s="25">
        <v>44439</v>
      </c>
      <c r="D310" s="24" t="s">
        <v>1699</v>
      </c>
      <c r="E310" s="24" t="s">
        <v>625</v>
      </c>
      <c r="F310" s="24" t="s">
        <v>333</v>
      </c>
      <c r="G310" s="24" t="s">
        <v>347</v>
      </c>
      <c r="H310" s="10">
        <v>4592.2283336142436</v>
      </c>
    </row>
    <row r="311" spans="1:8" x14ac:dyDescent="0.2">
      <c r="A311" s="9"/>
      <c r="B311" s="24" t="s">
        <v>336</v>
      </c>
      <c r="C311" s="25">
        <v>44439</v>
      </c>
      <c r="D311" s="24" t="s">
        <v>1700</v>
      </c>
      <c r="E311" s="24" t="s">
        <v>346</v>
      </c>
      <c r="F311" s="24" t="s">
        <v>333</v>
      </c>
      <c r="G311" s="24" t="s">
        <v>347</v>
      </c>
      <c r="H311" s="10">
        <v>141.85101686998598</v>
      </c>
    </row>
    <row r="312" spans="1:8" x14ac:dyDescent="0.2">
      <c r="A312" s="9"/>
      <c r="B312" s="24" t="s">
        <v>336</v>
      </c>
      <c r="C312" s="25">
        <v>44439</v>
      </c>
      <c r="D312" s="24" t="s">
        <v>1701</v>
      </c>
      <c r="E312" s="24" t="s">
        <v>376</v>
      </c>
      <c r="F312" s="24" t="s">
        <v>333</v>
      </c>
      <c r="G312" s="24" t="s">
        <v>347</v>
      </c>
      <c r="H312" s="10">
        <v>1623.1357552195761</v>
      </c>
    </row>
    <row r="313" spans="1:8" x14ac:dyDescent="0.2">
      <c r="A313" s="9"/>
      <c r="B313" s="24" t="s">
        <v>336</v>
      </c>
      <c r="C313" s="25">
        <v>44439</v>
      </c>
      <c r="D313" s="24" t="s">
        <v>1702</v>
      </c>
      <c r="E313" s="24" t="s">
        <v>344</v>
      </c>
      <c r="F313" s="24" t="s">
        <v>333</v>
      </c>
      <c r="G313" s="24" t="s">
        <v>347</v>
      </c>
      <c r="H313" s="10">
        <v>446.10963595303571</v>
      </c>
    </row>
    <row r="314" spans="1:8" x14ac:dyDescent="0.2">
      <c r="A314" s="9"/>
      <c r="B314" s="24" t="s">
        <v>336</v>
      </c>
      <c r="C314" s="25">
        <v>44440</v>
      </c>
      <c r="D314" s="24" t="s">
        <v>1703</v>
      </c>
      <c r="E314" s="24" t="s">
        <v>420</v>
      </c>
      <c r="F314" s="24" t="s">
        <v>333</v>
      </c>
      <c r="G314" s="24" t="s">
        <v>347</v>
      </c>
      <c r="H314" s="10">
        <v>10017.71364071527</v>
      </c>
    </row>
    <row r="315" spans="1:8" x14ac:dyDescent="0.2">
      <c r="A315" s="9"/>
      <c r="B315" s="24" t="s">
        <v>336</v>
      </c>
      <c r="C315" s="25">
        <v>44441</v>
      </c>
      <c r="D315" s="24" t="s">
        <v>1704</v>
      </c>
      <c r="E315" s="24" t="s">
        <v>344</v>
      </c>
      <c r="F315" s="24" t="s">
        <v>333</v>
      </c>
      <c r="G315" s="24" t="s">
        <v>347</v>
      </c>
      <c r="H315" s="10">
        <v>1306.1458260112945</v>
      </c>
    </row>
    <row r="316" spans="1:8" x14ac:dyDescent="0.2">
      <c r="A316" s="9"/>
      <c r="B316" s="24" t="s">
        <v>336</v>
      </c>
      <c r="C316" s="25">
        <v>44441</v>
      </c>
      <c r="D316" s="24" t="s">
        <v>1705</v>
      </c>
      <c r="E316" s="24" t="s">
        <v>423</v>
      </c>
      <c r="F316" s="24" t="s">
        <v>333</v>
      </c>
      <c r="G316" s="24" t="s">
        <v>347</v>
      </c>
      <c r="H316" s="10">
        <v>17106.271246133678</v>
      </c>
    </row>
    <row r="317" spans="1:8" x14ac:dyDescent="0.2">
      <c r="A317" s="9"/>
      <c r="B317" s="24" t="s">
        <v>336</v>
      </c>
      <c r="C317" s="25">
        <v>44445</v>
      </c>
      <c r="D317" s="24" t="s">
        <v>1706</v>
      </c>
      <c r="E317" s="24" t="s">
        <v>376</v>
      </c>
      <c r="F317" s="24" t="s">
        <v>333</v>
      </c>
      <c r="G317" s="24" t="s">
        <v>347</v>
      </c>
      <c r="H317" s="10">
        <v>3419.4967556055572</v>
      </c>
    </row>
    <row r="318" spans="1:8" x14ac:dyDescent="0.2">
      <c r="A318" s="9"/>
      <c r="B318" s="24" t="s">
        <v>929</v>
      </c>
      <c r="C318" s="25">
        <v>44446</v>
      </c>
      <c r="D318" s="24" t="s">
        <v>1094</v>
      </c>
      <c r="E318" s="24" t="s">
        <v>1039</v>
      </c>
      <c r="F318" s="24" t="s">
        <v>333</v>
      </c>
      <c r="G318" s="24" t="s">
        <v>347</v>
      </c>
      <c r="H318" s="10">
        <v>-1318.1202158835881</v>
      </c>
    </row>
    <row r="319" spans="1:8" x14ac:dyDescent="0.2">
      <c r="A319" s="9"/>
      <c r="B319" s="24" t="s">
        <v>336</v>
      </c>
      <c r="C319" s="25">
        <v>44448</v>
      </c>
      <c r="D319" s="24" t="s">
        <v>1707</v>
      </c>
      <c r="E319" s="24" t="s">
        <v>1100</v>
      </c>
      <c r="F319" s="24" t="s">
        <v>333</v>
      </c>
      <c r="G319" s="24" t="s">
        <v>347</v>
      </c>
      <c r="H319" s="10">
        <v>11103.844698603347</v>
      </c>
    </row>
    <row r="320" spans="1:8" x14ac:dyDescent="0.2">
      <c r="A320" s="9"/>
      <c r="B320" s="24" t="s">
        <v>336</v>
      </c>
      <c r="C320" s="25">
        <v>44448</v>
      </c>
      <c r="D320" s="24" t="s">
        <v>1708</v>
      </c>
      <c r="E320" s="24" t="s">
        <v>344</v>
      </c>
      <c r="F320" s="24" t="s">
        <v>333</v>
      </c>
      <c r="G320" s="24" t="s">
        <v>347</v>
      </c>
      <c r="H320" s="10">
        <v>2990.5042793001198</v>
      </c>
    </row>
    <row r="321" spans="1:8" x14ac:dyDescent="0.2">
      <c r="A321" s="9"/>
      <c r="B321" s="24" t="s">
        <v>336</v>
      </c>
      <c r="C321" s="25">
        <v>44448</v>
      </c>
      <c r="D321" s="24" t="s">
        <v>1709</v>
      </c>
      <c r="E321" s="24" t="s">
        <v>796</v>
      </c>
      <c r="F321" s="24" t="s">
        <v>333</v>
      </c>
      <c r="G321" s="24" t="s">
        <v>347</v>
      </c>
      <c r="H321" s="10">
        <v>666.17209879549489</v>
      </c>
    </row>
    <row r="322" spans="1:8" x14ac:dyDescent="0.2">
      <c r="A322" s="9"/>
      <c r="B322" s="24" t="s">
        <v>336</v>
      </c>
      <c r="C322" s="25">
        <v>44449</v>
      </c>
      <c r="D322" s="24" t="s">
        <v>1710</v>
      </c>
      <c r="E322" s="24" t="s">
        <v>905</v>
      </c>
      <c r="F322" s="24" t="s">
        <v>333</v>
      </c>
      <c r="G322" s="24" t="s">
        <v>347</v>
      </c>
      <c r="H322" s="10">
        <v>-1533.5889338400252</v>
      </c>
    </row>
    <row r="323" spans="1:8" x14ac:dyDescent="0.2">
      <c r="A323" s="9"/>
      <c r="B323" s="24" t="s">
        <v>336</v>
      </c>
      <c r="C323" s="25">
        <v>44453</v>
      </c>
      <c r="D323" s="24" t="s">
        <v>1711</v>
      </c>
      <c r="E323" s="24" t="s">
        <v>344</v>
      </c>
      <c r="F323" s="24" t="s">
        <v>333</v>
      </c>
      <c r="G323" s="24" t="s">
        <v>347</v>
      </c>
      <c r="H323" s="10">
        <v>874.38822640853698</v>
      </c>
    </row>
    <row r="324" spans="1:8" x14ac:dyDescent="0.2">
      <c r="A324" s="9"/>
      <c r="B324" s="24" t="s">
        <v>336</v>
      </c>
      <c r="C324" s="25">
        <v>44453</v>
      </c>
      <c r="D324" s="24" t="s">
        <v>1712</v>
      </c>
      <c r="E324" s="24" t="s">
        <v>376</v>
      </c>
      <c r="F324" s="24" t="s">
        <v>333</v>
      </c>
      <c r="G324" s="24" t="s">
        <v>347</v>
      </c>
      <c r="H324" s="10">
        <v>251.95428553209493</v>
      </c>
    </row>
    <row r="325" spans="1:8" x14ac:dyDescent="0.2">
      <c r="A325" s="9"/>
      <c r="B325" s="24" t="s">
        <v>336</v>
      </c>
      <c r="C325" s="25">
        <v>44454</v>
      </c>
      <c r="D325" s="24" t="s">
        <v>1713</v>
      </c>
      <c r="E325" s="24" t="s">
        <v>377</v>
      </c>
      <c r="F325" s="24" t="s">
        <v>333</v>
      </c>
      <c r="G325" s="24" t="s">
        <v>347</v>
      </c>
      <c r="H325" s="10">
        <v>-199.29977664159853</v>
      </c>
    </row>
    <row r="326" spans="1:8" x14ac:dyDescent="0.2">
      <c r="A326" s="9"/>
      <c r="B326" s="24" t="s">
        <v>336</v>
      </c>
      <c r="C326" s="25">
        <v>44454</v>
      </c>
      <c r="D326" s="24" t="s">
        <v>1714</v>
      </c>
      <c r="E326" s="24" t="s">
        <v>378</v>
      </c>
      <c r="F326" s="24" t="s">
        <v>333</v>
      </c>
      <c r="G326" s="24" t="s">
        <v>347</v>
      </c>
      <c r="H326" s="10">
        <v>2.1324255936961158</v>
      </c>
    </row>
    <row r="327" spans="1:8" x14ac:dyDescent="0.2">
      <c r="A327" s="9"/>
      <c r="B327" s="24" t="s">
        <v>336</v>
      </c>
      <c r="C327" s="25">
        <v>44455</v>
      </c>
      <c r="D327" s="24" t="s">
        <v>1715</v>
      </c>
      <c r="E327" s="24" t="s">
        <v>421</v>
      </c>
      <c r="F327" s="24" t="s">
        <v>333</v>
      </c>
      <c r="G327" s="24" t="s">
        <v>347</v>
      </c>
      <c r="H327" s="10">
        <v>198575.68926967314</v>
      </c>
    </row>
    <row r="328" spans="1:8" x14ac:dyDescent="0.2">
      <c r="A328" s="9"/>
      <c r="B328" s="24" t="s">
        <v>336</v>
      </c>
      <c r="C328" s="25">
        <v>44455</v>
      </c>
      <c r="D328" s="24" t="s">
        <v>1716</v>
      </c>
      <c r="E328" s="24" t="s">
        <v>819</v>
      </c>
      <c r="F328" s="24" t="s">
        <v>333</v>
      </c>
      <c r="G328" s="24" t="s">
        <v>347</v>
      </c>
      <c r="H328" s="10">
        <v>2665.5319921201449</v>
      </c>
    </row>
    <row r="329" spans="1:8" x14ac:dyDescent="0.2">
      <c r="A329" s="9"/>
      <c r="B329" s="24" t="s">
        <v>336</v>
      </c>
      <c r="C329" s="25">
        <v>44455</v>
      </c>
      <c r="D329" s="24" t="s">
        <v>1717</v>
      </c>
      <c r="E329" s="24" t="s">
        <v>421</v>
      </c>
      <c r="F329" s="24" t="s">
        <v>333</v>
      </c>
      <c r="G329" s="24" t="s">
        <v>347</v>
      </c>
      <c r="H329" s="10">
        <v>1097.847682029264</v>
      </c>
    </row>
    <row r="330" spans="1:8" x14ac:dyDescent="0.2">
      <c r="A330" s="9"/>
      <c r="B330" s="24" t="s">
        <v>336</v>
      </c>
      <c r="C330" s="25">
        <v>44455</v>
      </c>
      <c r="D330" s="24" t="s">
        <v>1718</v>
      </c>
      <c r="E330" s="24" t="s">
        <v>1196</v>
      </c>
      <c r="F330" s="24" t="s">
        <v>333</v>
      </c>
      <c r="G330" s="24" t="s">
        <v>347</v>
      </c>
      <c r="H330" s="10">
        <v>5554.8515053369701</v>
      </c>
    </row>
    <row r="331" spans="1:8" x14ac:dyDescent="0.2">
      <c r="A331" s="9"/>
      <c r="B331" s="24" t="s">
        <v>336</v>
      </c>
      <c r="C331" s="25">
        <v>44456</v>
      </c>
      <c r="D331" s="24" t="s">
        <v>1719</v>
      </c>
      <c r="E331" s="24" t="s">
        <v>344</v>
      </c>
      <c r="F331" s="24" t="s">
        <v>333</v>
      </c>
      <c r="G331" s="24" t="s">
        <v>347</v>
      </c>
      <c r="H331" s="10">
        <v>655.33422146489647</v>
      </c>
    </row>
    <row r="332" spans="1:8" x14ac:dyDescent="0.2">
      <c r="A332" s="9"/>
      <c r="B332" s="24" t="s">
        <v>336</v>
      </c>
      <c r="C332" s="25">
        <v>44459</v>
      </c>
      <c r="D332" s="24" t="s">
        <v>1720</v>
      </c>
      <c r="E332" s="24" t="s">
        <v>420</v>
      </c>
      <c r="F332" s="24" t="s">
        <v>333</v>
      </c>
      <c r="G332" s="24" t="s">
        <v>347</v>
      </c>
      <c r="H332" s="10">
        <v>16696.189401192118</v>
      </c>
    </row>
    <row r="333" spans="1:8" x14ac:dyDescent="0.2">
      <c r="A333" s="9"/>
      <c r="B333" s="24" t="s">
        <v>336</v>
      </c>
      <c r="C333" s="25">
        <v>44459</v>
      </c>
      <c r="D333" s="24" t="s">
        <v>1721</v>
      </c>
      <c r="E333" s="24" t="s">
        <v>377</v>
      </c>
      <c r="F333" s="24" t="s">
        <v>333</v>
      </c>
      <c r="G333" s="24" t="s">
        <v>347</v>
      </c>
      <c r="H333" s="10">
        <v>-8.8109013541729624</v>
      </c>
    </row>
    <row r="334" spans="1:8" x14ac:dyDescent="0.2">
      <c r="A334" s="9"/>
      <c r="B334" s="24" t="s">
        <v>336</v>
      </c>
      <c r="C334" s="25">
        <v>44460</v>
      </c>
      <c r="D334" s="24" t="s">
        <v>1722</v>
      </c>
      <c r="E334" s="24" t="s">
        <v>910</v>
      </c>
      <c r="F334" s="24" t="s">
        <v>333</v>
      </c>
      <c r="G334" s="24" t="s">
        <v>347</v>
      </c>
      <c r="H334" s="10">
        <v>196.83928557194915</v>
      </c>
    </row>
    <row r="335" spans="1:8" x14ac:dyDescent="0.2">
      <c r="A335" s="9"/>
      <c r="B335" s="24" t="s">
        <v>336</v>
      </c>
      <c r="C335" s="25">
        <v>44460</v>
      </c>
      <c r="D335" s="24" t="s">
        <v>1723</v>
      </c>
      <c r="E335" s="24" t="s">
        <v>508</v>
      </c>
      <c r="F335" s="24" t="s">
        <v>333</v>
      </c>
      <c r="G335" s="24" t="s">
        <v>347</v>
      </c>
      <c r="H335" s="10">
        <v>7.0299744847124703</v>
      </c>
    </row>
    <row r="336" spans="1:8" x14ac:dyDescent="0.2">
      <c r="A336" s="9"/>
      <c r="B336" s="24" t="s">
        <v>336</v>
      </c>
      <c r="C336" s="25">
        <v>44460</v>
      </c>
      <c r="D336" s="24" t="s">
        <v>1724</v>
      </c>
      <c r="E336" s="24" t="s">
        <v>344</v>
      </c>
      <c r="F336" s="24" t="s">
        <v>333</v>
      </c>
      <c r="G336" s="24" t="s">
        <v>347</v>
      </c>
      <c r="H336" s="10">
        <v>541.37833506770733</v>
      </c>
    </row>
    <row r="337" spans="1:8" x14ac:dyDescent="0.2">
      <c r="A337" s="9"/>
      <c r="B337" s="24" t="s">
        <v>336</v>
      </c>
      <c r="C337" s="25">
        <v>44461</v>
      </c>
      <c r="D337" s="24" t="s">
        <v>1725</v>
      </c>
      <c r="E337" s="24" t="s">
        <v>422</v>
      </c>
      <c r="F337" s="24" t="s">
        <v>333</v>
      </c>
      <c r="G337" s="24" t="s">
        <v>347</v>
      </c>
      <c r="H337" s="10">
        <v>644.41432776530974</v>
      </c>
    </row>
    <row r="338" spans="1:8" x14ac:dyDescent="0.2">
      <c r="A338" s="9"/>
      <c r="B338" s="24" t="s">
        <v>336</v>
      </c>
      <c r="C338" s="25">
        <v>44461</v>
      </c>
      <c r="D338" s="24" t="s">
        <v>1726</v>
      </c>
      <c r="E338" s="24" t="s">
        <v>739</v>
      </c>
      <c r="F338" s="24" t="s">
        <v>333</v>
      </c>
      <c r="G338" s="24" t="s">
        <v>347</v>
      </c>
      <c r="H338" s="10">
        <v>3444.6874975091105</v>
      </c>
    </row>
    <row r="339" spans="1:8" x14ac:dyDescent="0.2">
      <c r="A339" s="9"/>
      <c r="B339" s="24" t="s">
        <v>336</v>
      </c>
      <c r="C339" s="25">
        <v>44461</v>
      </c>
      <c r="D339" s="24" t="s">
        <v>1727</v>
      </c>
      <c r="E339" s="24" t="s">
        <v>421</v>
      </c>
      <c r="F339" s="24" t="s">
        <v>333</v>
      </c>
      <c r="G339" s="24" t="s">
        <v>347</v>
      </c>
      <c r="H339" s="10">
        <v>162392.41059685807</v>
      </c>
    </row>
    <row r="340" spans="1:8" x14ac:dyDescent="0.2">
      <c r="A340" s="9"/>
      <c r="B340" s="24" t="s">
        <v>336</v>
      </c>
      <c r="C340" s="25">
        <v>44461</v>
      </c>
      <c r="D340" s="24" t="s">
        <v>1728</v>
      </c>
      <c r="E340" s="24" t="s">
        <v>510</v>
      </c>
      <c r="F340" s="24" t="s">
        <v>333</v>
      </c>
      <c r="G340" s="24" t="s">
        <v>347</v>
      </c>
      <c r="H340" s="10">
        <v>5.8583120705937253</v>
      </c>
    </row>
    <row r="341" spans="1:8" x14ac:dyDescent="0.2">
      <c r="A341" s="9"/>
      <c r="B341" s="24" t="s">
        <v>336</v>
      </c>
      <c r="C341" s="25">
        <v>44461</v>
      </c>
      <c r="D341" s="24" t="s">
        <v>1729</v>
      </c>
      <c r="E341" s="24" t="s">
        <v>344</v>
      </c>
      <c r="F341" s="24" t="s">
        <v>333</v>
      </c>
      <c r="G341" s="24" t="s">
        <v>347</v>
      </c>
      <c r="H341" s="10">
        <v>1283.8725235188972</v>
      </c>
    </row>
    <row r="342" spans="1:8" x14ac:dyDescent="0.2">
      <c r="A342" s="9"/>
      <c r="B342" s="24" t="s">
        <v>336</v>
      </c>
      <c r="C342" s="25">
        <v>44463</v>
      </c>
      <c r="D342" s="24" t="s">
        <v>1730</v>
      </c>
      <c r="E342" s="24" t="s">
        <v>344</v>
      </c>
      <c r="F342" s="24" t="s">
        <v>333</v>
      </c>
      <c r="G342" s="24" t="s">
        <v>347</v>
      </c>
      <c r="H342" s="10">
        <v>1342.4790774731168</v>
      </c>
    </row>
    <row r="343" spans="1:8" x14ac:dyDescent="0.2">
      <c r="A343" s="9"/>
      <c r="B343" s="24" t="s">
        <v>336</v>
      </c>
      <c r="C343" s="25">
        <v>44463</v>
      </c>
      <c r="D343" s="24" t="s">
        <v>1731</v>
      </c>
      <c r="E343" s="24" t="s">
        <v>344</v>
      </c>
      <c r="F343" s="24" t="s">
        <v>333</v>
      </c>
      <c r="G343" s="24" t="s">
        <v>347</v>
      </c>
      <c r="H343" s="10">
        <v>578.75436607809525</v>
      </c>
    </row>
    <row r="344" spans="1:8" x14ac:dyDescent="0.2">
      <c r="A344" s="9"/>
      <c r="B344" s="24" t="s">
        <v>336</v>
      </c>
      <c r="C344" s="25">
        <v>44466</v>
      </c>
      <c r="D344" s="24" t="s">
        <v>1732</v>
      </c>
      <c r="E344" s="24" t="s">
        <v>711</v>
      </c>
      <c r="F344" s="24" t="s">
        <v>333</v>
      </c>
      <c r="G344" s="24" t="s">
        <v>347</v>
      </c>
      <c r="H344" s="10">
        <v>18477.116270652608</v>
      </c>
    </row>
    <row r="345" spans="1:8" x14ac:dyDescent="0.2">
      <c r="A345" s="9"/>
      <c r="B345" s="24" t="s">
        <v>336</v>
      </c>
      <c r="C345" s="25">
        <v>44466</v>
      </c>
      <c r="D345" s="24" t="s">
        <v>1733</v>
      </c>
      <c r="E345" s="24" t="s">
        <v>585</v>
      </c>
      <c r="F345" s="24" t="s">
        <v>333</v>
      </c>
      <c r="G345" s="24" t="s">
        <v>347</v>
      </c>
      <c r="H345" s="10">
        <v>6449.4038662149533</v>
      </c>
    </row>
    <row r="346" spans="1:8" x14ac:dyDescent="0.2">
      <c r="A346" s="9"/>
      <c r="B346" s="24" t="s">
        <v>336</v>
      </c>
      <c r="C346" s="25">
        <v>44466</v>
      </c>
      <c r="D346" s="24" t="s">
        <v>1734</v>
      </c>
      <c r="E346" s="24" t="s">
        <v>1132</v>
      </c>
      <c r="F346" s="24" t="s">
        <v>333</v>
      </c>
      <c r="G346" s="24" t="s">
        <v>347</v>
      </c>
      <c r="H346" s="10">
        <v>11599.457899775576</v>
      </c>
    </row>
    <row r="347" spans="1:8" x14ac:dyDescent="0.2">
      <c r="A347" s="9"/>
      <c r="B347" s="24" t="s">
        <v>336</v>
      </c>
      <c r="C347" s="25">
        <v>44467</v>
      </c>
      <c r="D347" s="24" t="s">
        <v>1735</v>
      </c>
      <c r="E347" s="24" t="s">
        <v>421</v>
      </c>
      <c r="F347" s="24" t="s">
        <v>333</v>
      </c>
      <c r="G347" s="24" t="s">
        <v>347</v>
      </c>
      <c r="H347" s="10">
        <v>162392.41059685807</v>
      </c>
    </row>
    <row r="348" spans="1:8" x14ac:dyDescent="0.2">
      <c r="A348" s="9"/>
      <c r="B348" s="24" t="s">
        <v>336</v>
      </c>
      <c r="C348" s="25">
        <v>44468</v>
      </c>
      <c r="D348" s="24" t="s">
        <v>1736</v>
      </c>
      <c r="E348" s="24" t="s">
        <v>344</v>
      </c>
      <c r="F348" s="24" t="s">
        <v>333</v>
      </c>
      <c r="G348" s="24" t="s">
        <v>347</v>
      </c>
      <c r="H348" s="10">
        <v>683.75875163141723</v>
      </c>
    </row>
    <row r="349" spans="1:8" x14ac:dyDescent="0.2">
      <c r="A349" s="9"/>
      <c r="B349" s="24" t="s">
        <v>336</v>
      </c>
      <c r="C349" s="25">
        <v>44468</v>
      </c>
      <c r="D349" s="24" t="s">
        <v>1737</v>
      </c>
      <c r="E349" s="24" t="s">
        <v>344</v>
      </c>
      <c r="F349" s="24" t="s">
        <v>333</v>
      </c>
      <c r="G349" s="24" t="s">
        <v>347</v>
      </c>
      <c r="H349" s="10">
        <v>1721.0432034748833</v>
      </c>
    </row>
    <row r="350" spans="1:8" x14ac:dyDescent="0.2">
      <c r="A350" s="9"/>
      <c r="B350" s="24" t="s">
        <v>336</v>
      </c>
      <c r="C350" s="25">
        <v>44468</v>
      </c>
      <c r="D350" s="24" t="s">
        <v>1738</v>
      </c>
      <c r="E350" s="24" t="s">
        <v>344</v>
      </c>
      <c r="F350" s="24" t="s">
        <v>333</v>
      </c>
      <c r="G350" s="24" t="s">
        <v>347</v>
      </c>
      <c r="H350" s="10">
        <v>850.41601341566752</v>
      </c>
    </row>
    <row r="351" spans="1:8" x14ac:dyDescent="0.2">
      <c r="A351" s="9"/>
      <c r="B351" s="24" t="s">
        <v>342</v>
      </c>
      <c r="C351" s="25">
        <v>44469</v>
      </c>
      <c r="D351" s="24" t="s">
        <v>1739</v>
      </c>
      <c r="E351" s="24" t="s">
        <v>1740</v>
      </c>
      <c r="F351" s="24" t="s">
        <v>333</v>
      </c>
      <c r="G351" s="24" t="s">
        <v>343</v>
      </c>
      <c r="H351" s="10">
        <v>281.1989793884988</v>
      </c>
    </row>
    <row r="352" spans="1:8" x14ac:dyDescent="0.2">
      <c r="A352" s="9"/>
      <c r="B352" s="24" t="s">
        <v>929</v>
      </c>
      <c r="C352" s="25">
        <v>44469</v>
      </c>
      <c r="D352" s="24" t="s">
        <v>1741</v>
      </c>
      <c r="E352" s="24" t="s">
        <v>905</v>
      </c>
      <c r="F352" s="24" t="s">
        <v>333</v>
      </c>
      <c r="G352" s="24" t="s">
        <v>347</v>
      </c>
      <c r="H352" s="10">
        <v>-1757.4936211781176</v>
      </c>
    </row>
    <row r="353" spans="1:8" x14ac:dyDescent="0.2">
      <c r="A353" s="9"/>
      <c r="B353" s="24" t="s">
        <v>336</v>
      </c>
      <c r="C353" s="25">
        <v>44469</v>
      </c>
      <c r="D353" s="24" t="s">
        <v>1742</v>
      </c>
      <c r="E353" s="24" t="s">
        <v>376</v>
      </c>
      <c r="F353" s="24" t="s">
        <v>333</v>
      </c>
      <c r="G353" s="24" t="s">
        <v>347</v>
      </c>
      <c r="H353" s="10">
        <v>2407.1101300621144</v>
      </c>
    </row>
    <row r="354" spans="1:8" x14ac:dyDescent="0.2">
      <c r="A354" s="9"/>
      <c r="B354" s="24" t="s">
        <v>336</v>
      </c>
      <c r="C354" s="25">
        <v>44469</v>
      </c>
      <c r="D354" s="24" t="s">
        <v>1743</v>
      </c>
      <c r="E354" s="24" t="s">
        <v>377</v>
      </c>
      <c r="F354" s="24" t="s">
        <v>333</v>
      </c>
      <c r="G354" s="24" t="s">
        <v>347</v>
      </c>
      <c r="H354" s="10">
        <v>-70.2997448471247</v>
      </c>
    </row>
    <row r="355" spans="1:8" x14ac:dyDescent="0.2">
      <c r="A355" s="9"/>
      <c r="B355" s="24" t="s">
        <v>336</v>
      </c>
      <c r="C355" s="25">
        <v>44469</v>
      </c>
      <c r="D355" s="24" t="s">
        <v>1744</v>
      </c>
      <c r="E355" s="24" t="s">
        <v>1005</v>
      </c>
      <c r="F355" s="24" t="s">
        <v>333</v>
      </c>
      <c r="G355" s="24" t="s">
        <v>347</v>
      </c>
      <c r="H355" s="10">
        <v>1757.4936211781176</v>
      </c>
    </row>
    <row r="356" spans="1:8" x14ac:dyDescent="0.2">
      <c r="A356" s="9"/>
      <c r="B356" s="24" t="s">
        <v>336</v>
      </c>
      <c r="C356" s="25">
        <v>44469</v>
      </c>
      <c r="D356" s="24" t="s">
        <v>1745</v>
      </c>
      <c r="E356" s="24" t="s">
        <v>5</v>
      </c>
      <c r="F356" s="24" t="s">
        <v>333</v>
      </c>
      <c r="G356" s="24" t="s">
        <v>1419</v>
      </c>
      <c r="H356" s="10">
        <v>36089.648802612333</v>
      </c>
    </row>
    <row r="357" spans="1:8" x14ac:dyDescent="0.2">
      <c r="A357" s="9"/>
      <c r="B357" s="24" t="s">
        <v>336</v>
      </c>
      <c r="C357" s="25">
        <v>44473</v>
      </c>
      <c r="D357" s="24" t="s">
        <v>1746</v>
      </c>
      <c r="E357" s="24" t="s">
        <v>422</v>
      </c>
      <c r="F357" s="24" t="s">
        <v>333</v>
      </c>
      <c r="G357" s="24" t="s">
        <v>347</v>
      </c>
      <c r="H357" s="10">
        <v>290.1315364343655</v>
      </c>
    </row>
    <row r="358" spans="1:8" x14ac:dyDescent="0.2">
      <c r="A358" s="9"/>
      <c r="B358" s="24" t="s">
        <v>336</v>
      </c>
      <c r="C358" s="25">
        <v>44474</v>
      </c>
      <c r="D358" s="24" t="s">
        <v>1747</v>
      </c>
      <c r="E358" s="24" t="s">
        <v>344</v>
      </c>
      <c r="F358" s="24" t="s">
        <v>333</v>
      </c>
      <c r="G358" s="24" t="s">
        <v>347</v>
      </c>
      <c r="H358" s="10">
        <v>1500.2701749021039</v>
      </c>
    </row>
    <row r="359" spans="1:8" x14ac:dyDescent="0.2">
      <c r="A359" s="9"/>
      <c r="B359" s="24" t="s">
        <v>336</v>
      </c>
      <c r="C359" s="25">
        <v>44474</v>
      </c>
      <c r="D359" s="24" t="s">
        <v>1748</v>
      </c>
      <c r="E359" s="24" t="s">
        <v>344</v>
      </c>
      <c r="F359" s="24" t="s">
        <v>333</v>
      </c>
      <c r="G359" s="24" t="s">
        <v>347</v>
      </c>
      <c r="H359" s="10">
        <v>950.87709750998954</v>
      </c>
    </row>
    <row r="360" spans="1:8" x14ac:dyDescent="0.2">
      <c r="A360" s="9"/>
      <c r="B360" s="24" t="s">
        <v>336</v>
      </c>
      <c r="C360" s="25">
        <v>44474</v>
      </c>
      <c r="D360" s="24" t="s">
        <v>1749</v>
      </c>
      <c r="E360" s="24" t="s">
        <v>344</v>
      </c>
      <c r="F360" s="24" t="s">
        <v>333</v>
      </c>
      <c r="G360" s="24" t="s">
        <v>347</v>
      </c>
      <c r="H360" s="10">
        <v>873.94581930905315</v>
      </c>
    </row>
    <row r="361" spans="1:8" x14ac:dyDescent="0.2">
      <c r="A361" s="9"/>
      <c r="B361" s="24" t="s">
        <v>336</v>
      </c>
      <c r="C361" s="25">
        <v>44475</v>
      </c>
      <c r="D361" s="24" t="s">
        <v>1750</v>
      </c>
      <c r="E361" s="24" t="s">
        <v>1183</v>
      </c>
      <c r="F361" s="24" t="s">
        <v>333</v>
      </c>
      <c r="G361" s="24" t="s">
        <v>347</v>
      </c>
      <c r="H361" s="10">
        <v>1114.1050999079634</v>
      </c>
    </row>
    <row r="362" spans="1:8" x14ac:dyDescent="0.2">
      <c r="A362" s="9"/>
      <c r="B362" s="24" t="s">
        <v>336</v>
      </c>
      <c r="C362" s="25">
        <v>44475</v>
      </c>
      <c r="D362" s="24" t="s">
        <v>1751</v>
      </c>
      <c r="E362" s="24" t="s">
        <v>510</v>
      </c>
      <c r="F362" s="24" t="s">
        <v>333</v>
      </c>
      <c r="G362" s="24" t="s">
        <v>347</v>
      </c>
      <c r="H362" s="10">
        <v>46.421045829498482</v>
      </c>
    </row>
    <row r="363" spans="1:8" x14ac:dyDescent="0.2">
      <c r="A363" s="9"/>
      <c r="B363" s="24" t="s">
        <v>336</v>
      </c>
      <c r="C363" s="25">
        <v>44476</v>
      </c>
      <c r="D363" s="24" t="s">
        <v>1752</v>
      </c>
      <c r="E363" s="24" t="s">
        <v>344</v>
      </c>
      <c r="F363" s="24" t="s">
        <v>333</v>
      </c>
      <c r="G363" s="24" t="s">
        <v>347</v>
      </c>
      <c r="H363" s="10">
        <v>546.78189356420523</v>
      </c>
    </row>
    <row r="364" spans="1:8" x14ac:dyDescent="0.2">
      <c r="A364" s="9"/>
      <c r="B364" s="24" t="s">
        <v>336</v>
      </c>
      <c r="C364" s="25">
        <v>44476</v>
      </c>
      <c r="D364" s="24" t="s">
        <v>1753</v>
      </c>
      <c r="E364" s="24" t="s">
        <v>377</v>
      </c>
      <c r="F364" s="24" t="s">
        <v>333</v>
      </c>
      <c r="G364" s="24" t="s">
        <v>347</v>
      </c>
      <c r="H364" s="10">
        <v>-8.0308409285032365</v>
      </c>
    </row>
    <row r="365" spans="1:8" x14ac:dyDescent="0.2">
      <c r="A365" s="9"/>
      <c r="B365" s="24" t="s">
        <v>336</v>
      </c>
      <c r="C365" s="25">
        <v>44476</v>
      </c>
      <c r="D365" s="24" t="s">
        <v>1754</v>
      </c>
      <c r="E365" s="24" t="s">
        <v>377</v>
      </c>
      <c r="F365" s="24" t="s">
        <v>333</v>
      </c>
      <c r="G365" s="24" t="s">
        <v>347</v>
      </c>
      <c r="H365" s="10">
        <v>-8.7271566159457148</v>
      </c>
    </row>
    <row r="366" spans="1:8" x14ac:dyDescent="0.2">
      <c r="A366" s="9"/>
      <c r="B366" s="24" t="s">
        <v>336</v>
      </c>
      <c r="C366" s="25">
        <v>44477</v>
      </c>
      <c r="D366" s="24" t="s">
        <v>1755</v>
      </c>
      <c r="E366" s="24" t="s">
        <v>521</v>
      </c>
      <c r="F366" s="24" t="s">
        <v>333</v>
      </c>
      <c r="G366" s="24" t="s">
        <v>347</v>
      </c>
      <c r="H366" s="10">
        <v>33701.679272215893</v>
      </c>
    </row>
    <row r="367" spans="1:8" x14ac:dyDescent="0.2">
      <c r="A367" s="9"/>
      <c r="B367" s="24" t="s">
        <v>336</v>
      </c>
      <c r="C367" s="25">
        <v>44480</v>
      </c>
      <c r="D367" s="24" t="s">
        <v>1756</v>
      </c>
      <c r="E367" s="24" t="s">
        <v>1173</v>
      </c>
      <c r="F367" s="24" t="s">
        <v>333</v>
      </c>
      <c r="G367" s="24" t="s">
        <v>347</v>
      </c>
      <c r="H367" s="10">
        <v>4366.6072812132315</v>
      </c>
    </row>
    <row r="368" spans="1:8" x14ac:dyDescent="0.2">
      <c r="A368" s="9"/>
      <c r="B368" s="24" t="s">
        <v>336</v>
      </c>
      <c r="C368" s="25">
        <v>44481</v>
      </c>
      <c r="D368" s="24" t="s">
        <v>1757</v>
      </c>
      <c r="E368" s="24" t="s">
        <v>344</v>
      </c>
      <c r="F368" s="24" t="s">
        <v>333</v>
      </c>
      <c r="G368" s="24" t="s">
        <v>347</v>
      </c>
      <c r="H368" s="10">
        <v>702.71018650549058</v>
      </c>
    </row>
    <row r="369" spans="1:8" x14ac:dyDescent="0.2">
      <c r="A369" s="9"/>
      <c r="B369" s="24" t="s">
        <v>336</v>
      </c>
      <c r="C369" s="25">
        <v>44481</v>
      </c>
      <c r="D369" s="24" t="s">
        <v>1758</v>
      </c>
      <c r="E369" s="24" t="s">
        <v>344</v>
      </c>
      <c r="F369" s="24" t="s">
        <v>333</v>
      </c>
      <c r="G369" s="24" t="s">
        <v>347</v>
      </c>
      <c r="H369" s="10">
        <v>584.41775647047109</v>
      </c>
    </row>
    <row r="370" spans="1:8" x14ac:dyDescent="0.2">
      <c r="A370" s="9"/>
      <c r="B370" s="24" t="s">
        <v>336</v>
      </c>
      <c r="C370" s="25">
        <v>44482</v>
      </c>
      <c r="D370" s="24" t="s">
        <v>1759</v>
      </c>
      <c r="E370" s="24" t="s">
        <v>344</v>
      </c>
      <c r="F370" s="24" t="s">
        <v>333</v>
      </c>
      <c r="G370" s="24" t="s">
        <v>347</v>
      </c>
      <c r="H370" s="10">
        <v>211.50589006065246</v>
      </c>
    </row>
    <row r="371" spans="1:8" x14ac:dyDescent="0.2">
      <c r="A371" s="9"/>
      <c r="B371" s="24" t="s">
        <v>336</v>
      </c>
      <c r="C371" s="25">
        <v>44482</v>
      </c>
      <c r="D371" s="24" t="s">
        <v>1760</v>
      </c>
      <c r="E371" s="24" t="s">
        <v>344</v>
      </c>
      <c r="F371" s="24" t="s">
        <v>333</v>
      </c>
      <c r="G371" s="24" t="s">
        <v>347</v>
      </c>
      <c r="H371" s="10">
        <v>575.71381037744015</v>
      </c>
    </row>
    <row r="372" spans="1:8" x14ac:dyDescent="0.2">
      <c r="A372" s="9"/>
      <c r="B372" s="24" t="s">
        <v>336</v>
      </c>
      <c r="C372" s="25">
        <v>44482</v>
      </c>
      <c r="D372" s="24" t="s">
        <v>1761</v>
      </c>
      <c r="E372" s="24" t="s">
        <v>346</v>
      </c>
      <c r="F372" s="24" t="s">
        <v>333</v>
      </c>
      <c r="G372" s="24" t="s">
        <v>347</v>
      </c>
      <c r="H372" s="10">
        <v>-29.013153643436549</v>
      </c>
    </row>
    <row r="373" spans="1:8" x14ac:dyDescent="0.2">
      <c r="A373" s="9"/>
      <c r="B373" s="24" t="s">
        <v>336</v>
      </c>
      <c r="C373" s="25">
        <v>44483</v>
      </c>
      <c r="D373" s="24" t="s">
        <v>1762</v>
      </c>
      <c r="E373" s="24" t="s">
        <v>344</v>
      </c>
      <c r="F373" s="24" t="s">
        <v>333</v>
      </c>
      <c r="G373" s="24" t="s">
        <v>347</v>
      </c>
      <c r="H373" s="10">
        <v>1129.7373870910471</v>
      </c>
    </row>
    <row r="374" spans="1:8" x14ac:dyDescent="0.2">
      <c r="A374" s="9"/>
      <c r="B374" s="24" t="s">
        <v>336</v>
      </c>
      <c r="C374" s="25">
        <v>44484</v>
      </c>
      <c r="D374" s="24" t="s">
        <v>1763</v>
      </c>
      <c r="E374" s="24" t="s">
        <v>604</v>
      </c>
      <c r="F374" s="24" t="s">
        <v>333</v>
      </c>
      <c r="G374" s="24" t="s">
        <v>347</v>
      </c>
      <c r="H374" s="10">
        <v>11247.20432563024</v>
      </c>
    </row>
    <row r="375" spans="1:8" x14ac:dyDescent="0.2">
      <c r="A375" s="9"/>
      <c r="B375" s="24" t="s">
        <v>336</v>
      </c>
      <c r="C375" s="25">
        <v>44484</v>
      </c>
      <c r="D375" s="24" t="s">
        <v>1764</v>
      </c>
      <c r="E375" s="24" t="s">
        <v>379</v>
      </c>
      <c r="F375" s="24" t="s">
        <v>333</v>
      </c>
      <c r="G375" s="24" t="s">
        <v>347</v>
      </c>
      <c r="H375" s="10">
        <v>2350.0654451183605</v>
      </c>
    </row>
    <row r="376" spans="1:8" x14ac:dyDescent="0.2">
      <c r="A376" s="9"/>
      <c r="B376" s="24" t="s">
        <v>336</v>
      </c>
      <c r="C376" s="25">
        <v>44484</v>
      </c>
      <c r="D376" s="24" t="s">
        <v>1765</v>
      </c>
      <c r="E376" s="24" t="s">
        <v>421</v>
      </c>
      <c r="F376" s="24" t="s">
        <v>333</v>
      </c>
      <c r="G376" s="24" t="s">
        <v>347</v>
      </c>
      <c r="H376" s="10">
        <v>160036.55549719601</v>
      </c>
    </row>
    <row r="377" spans="1:8" x14ac:dyDescent="0.2">
      <c r="A377" s="9"/>
      <c r="B377" s="24" t="s">
        <v>336</v>
      </c>
      <c r="C377" s="25">
        <v>44484</v>
      </c>
      <c r="D377" s="24" t="s">
        <v>1766</v>
      </c>
      <c r="E377" s="24" t="s">
        <v>379</v>
      </c>
      <c r="F377" s="24" t="s">
        <v>333</v>
      </c>
      <c r="G377" s="24" t="s">
        <v>347</v>
      </c>
      <c r="H377" s="10">
        <v>1462.262943629202</v>
      </c>
    </row>
    <row r="378" spans="1:8" x14ac:dyDescent="0.2">
      <c r="A378" s="9"/>
      <c r="B378" s="24" t="s">
        <v>336</v>
      </c>
      <c r="C378" s="25">
        <v>44484</v>
      </c>
      <c r="D378" s="24" t="s">
        <v>1767</v>
      </c>
      <c r="E378" s="24" t="s">
        <v>1190</v>
      </c>
      <c r="F378" s="24" t="s">
        <v>333</v>
      </c>
      <c r="G378" s="24" t="s">
        <v>347</v>
      </c>
      <c r="H378" s="10">
        <v>293.65953591740737</v>
      </c>
    </row>
    <row r="379" spans="1:8" x14ac:dyDescent="0.2">
      <c r="A379" s="9"/>
      <c r="B379" s="24" t="s">
        <v>336</v>
      </c>
      <c r="C379" s="25">
        <v>44488</v>
      </c>
      <c r="D379" s="24" t="s">
        <v>1768</v>
      </c>
      <c r="E379" s="24" t="s">
        <v>1190</v>
      </c>
      <c r="F379" s="24" t="s">
        <v>333</v>
      </c>
      <c r="G379" s="24" t="s">
        <v>347</v>
      </c>
      <c r="H379" s="10">
        <v>3084.9686269066083</v>
      </c>
    </row>
    <row r="380" spans="1:8" x14ac:dyDescent="0.2">
      <c r="A380" s="9"/>
      <c r="B380" s="24" t="s">
        <v>336</v>
      </c>
      <c r="C380" s="25">
        <v>44488</v>
      </c>
      <c r="D380" s="24" t="s">
        <v>1769</v>
      </c>
      <c r="E380" s="24" t="s">
        <v>344</v>
      </c>
      <c r="F380" s="24" t="s">
        <v>333</v>
      </c>
      <c r="G380" s="24" t="s">
        <v>347</v>
      </c>
      <c r="H380" s="10">
        <v>505.16542597805983</v>
      </c>
    </row>
    <row r="381" spans="1:8" x14ac:dyDescent="0.2">
      <c r="A381" s="9"/>
      <c r="B381" s="24" t="s">
        <v>336</v>
      </c>
      <c r="C381" s="25">
        <v>44488</v>
      </c>
      <c r="D381" s="24" t="s">
        <v>1770</v>
      </c>
      <c r="E381" s="24" t="s">
        <v>650</v>
      </c>
      <c r="F381" s="24" t="s">
        <v>333</v>
      </c>
      <c r="G381" s="24" t="s">
        <v>347</v>
      </c>
      <c r="H381" s="10">
        <v>11373.156228227128</v>
      </c>
    </row>
    <row r="382" spans="1:8" x14ac:dyDescent="0.2">
      <c r="A382" s="9"/>
      <c r="B382" s="24" t="s">
        <v>336</v>
      </c>
      <c r="C382" s="25">
        <v>44489</v>
      </c>
      <c r="D382" s="24" t="s">
        <v>1771</v>
      </c>
      <c r="E382" s="24" t="s">
        <v>377</v>
      </c>
      <c r="F382" s="24" t="s">
        <v>333</v>
      </c>
      <c r="G382" s="24" t="s">
        <v>347</v>
      </c>
      <c r="H382" s="10">
        <v>-6.6846305994477815</v>
      </c>
    </row>
    <row r="383" spans="1:8" x14ac:dyDescent="0.2">
      <c r="A383" s="9"/>
      <c r="B383" s="24" t="s">
        <v>336</v>
      </c>
      <c r="C383" s="25">
        <v>44489</v>
      </c>
      <c r="D383" s="24" t="s">
        <v>1772</v>
      </c>
      <c r="E383" s="24" t="s">
        <v>344</v>
      </c>
      <c r="F383" s="24" t="s">
        <v>333</v>
      </c>
      <c r="G383" s="24" t="s">
        <v>347</v>
      </c>
      <c r="H383" s="10">
        <v>336.552582263864</v>
      </c>
    </row>
    <row r="384" spans="1:8" x14ac:dyDescent="0.2">
      <c r="A384" s="9"/>
      <c r="B384" s="24" t="s">
        <v>336</v>
      </c>
      <c r="C384" s="25">
        <v>44489</v>
      </c>
      <c r="D384" s="24" t="s">
        <v>1773</v>
      </c>
      <c r="E384" s="24" t="s">
        <v>1205</v>
      </c>
      <c r="F384" s="24" t="s">
        <v>333</v>
      </c>
      <c r="G384" s="24" t="s">
        <v>347</v>
      </c>
      <c r="H384" s="10">
        <v>26738.522397791123</v>
      </c>
    </row>
    <row r="385" spans="1:8" x14ac:dyDescent="0.2">
      <c r="A385" s="9"/>
      <c r="B385" s="24" t="s">
        <v>336</v>
      </c>
      <c r="C385" s="25">
        <v>44489</v>
      </c>
      <c r="D385" s="24" t="s">
        <v>1774</v>
      </c>
      <c r="E385" s="24" t="s">
        <v>1205</v>
      </c>
      <c r="F385" s="24" t="s">
        <v>333</v>
      </c>
      <c r="G385" s="24" t="s">
        <v>347</v>
      </c>
      <c r="H385" s="10">
        <v>-10098.109362428293</v>
      </c>
    </row>
    <row r="386" spans="1:8" x14ac:dyDescent="0.2">
      <c r="A386" s="9"/>
      <c r="B386" s="24" t="s">
        <v>336</v>
      </c>
      <c r="C386" s="25">
        <v>44489</v>
      </c>
      <c r="D386" s="24" t="s">
        <v>1775</v>
      </c>
      <c r="E386" s="24" t="s">
        <v>377</v>
      </c>
      <c r="F386" s="24" t="s">
        <v>333</v>
      </c>
      <c r="G386" s="24" t="s">
        <v>347</v>
      </c>
      <c r="H386" s="10">
        <v>-133.36766466814913</v>
      </c>
    </row>
    <row r="387" spans="1:8" x14ac:dyDescent="0.2">
      <c r="A387" s="9"/>
      <c r="B387" s="24" t="s">
        <v>336</v>
      </c>
      <c r="C387" s="25">
        <v>44489</v>
      </c>
      <c r="D387" s="24" t="s">
        <v>1776</v>
      </c>
      <c r="E387" s="24" t="s">
        <v>344</v>
      </c>
      <c r="F387" s="24" t="s">
        <v>333</v>
      </c>
      <c r="G387" s="24" t="s">
        <v>347</v>
      </c>
      <c r="H387" s="10">
        <v>989.19767084224054</v>
      </c>
    </row>
    <row r="388" spans="1:8" x14ac:dyDescent="0.2">
      <c r="A388" s="9"/>
      <c r="B388" s="24" t="s">
        <v>336</v>
      </c>
      <c r="C388" s="25">
        <v>44490</v>
      </c>
      <c r="D388" s="24" t="s">
        <v>1777</v>
      </c>
      <c r="E388" s="24" t="s">
        <v>615</v>
      </c>
      <c r="F388" s="24" t="s">
        <v>333</v>
      </c>
      <c r="G388" s="24" t="s">
        <v>347</v>
      </c>
      <c r="H388" s="10">
        <v>2390.6838602191715</v>
      </c>
    </row>
    <row r="389" spans="1:8" x14ac:dyDescent="0.2">
      <c r="A389" s="9"/>
      <c r="B389" s="24" t="s">
        <v>336</v>
      </c>
      <c r="C389" s="25">
        <v>44491</v>
      </c>
      <c r="D389" s="24" t="s">
        <v>1778</v>
      </c>
      <c r="E389" s="24" t="s">
        <v>421</v>
      </c>
      <c r="F389" s="24" t="s">
        <v>333</v>
      </c>
      <c r="G389" s="24" t="s">
        <v>347</v>
      </c>
      <c r="H389" s="10">
        <v>161580.05527102682</v>
      </c>
    </row>
    <row r="390" spans="1:8" x14ac:dyDescent="0.2">
      <c r="A390" s="9"/>
      <c r="B390" s="24" t="s">
        <v>336</v>
      </c>
      <c r="C390" s="25">
        <v>44491</v>
      </c>
      <c r="D390" s="24" t="s">
        <v>1779</v>
      </c>
      <c r="E390" s="24" t="s">
        <v>777</v>
      </c>
      <c r="F390" s="24" t="s">
        <v>333</v>
      </c>
      <c r="G390" s="24" t="s">
        <v>347</v>
      </c>
      <c r="H390" s="10">
        <v>-253.4589102290617</v>
      </c>
    </row>
    <row r="391" spans="1:8" x14ac:dyDescent="0.2">
      <c r="A391" s="9"/>
      <c r="B391" s="24" t="s">
        <v>336</v>
      </c>
      <c r="C391" s="25">
        <v>44491</v>
      </c>
      <c r="D391" s="24" t="s">
        <v>1780</v>
      </c>
      <c r="E391" s="24" t="s">
        <v>344</v>
      </c>
      <c r="F391" s="24" t="s">
        <v>333</v>
      </c>
      <c r="G391" s="24" t="s">
        <v>347</v>
      </c>
      <c r="H391" s="10">
        <v>1050.8796354881865</v>
      </c>
    </row>
    <row r="392" spans="1:8" x14ac:dyDescent="0.2">
      <c r="A392" s="9"/>
      <c r="B392" s="24" t="s">
        <v>336</v>
      </c>
      <c r="C392" s="25">
        <v>44491</v>
      </c>
      <c r="D392" s="24" t="s">
        <v>1781</v>
      </c>
      <c r="E392" s="24" t="s">
        <v>344</v>
      </c>
      <c r="F392" s="24" t="s">
        <v>333</v>
      </c>
      <c r="G392" s="24" t="s">
        <v>347</v>
      </c>
      <c r="H392" s="10">
        <v>4030.2984094399726</v>
      </c>
    </row>
    <row r="393" spans="1:8" x14ac:dyDescent="0.2">
      <c r="A393" s="9"/>
      <c r="B393" s="24" t="s">
        <v>336</v>
      </c>
      <c r="C393" s="25">
        <v>44491</v>
      </c>
      <c r="D393" s="24" t="s">
        <v>1782</v>
      </c>
      <c r="E393" s="24" t="s">
        <v>1219</v>
      </c>
      <c r="F393" s="24" t="s">
        <v>333</v>
      </c>
      <c r="G393" s="24" t="s">
        <v>347</v>
      </c>
      <c r="H393" s="10">
        <v>9191.3670742406994</v>
      </c>
    </row>
    <row r="394" spans="1:8" x14ac:dyDescent="0.2">
      <c r="A394" s="9"/>
      <c r="B394" s="24" t="s">
        <v>336</v>
      </c>
      <c r="C394" s="25">
        <v>44495</v>
      </c>
      <c r="D394" s="24" t="s">
        <v>1783</v>
      </c>
      <c r="E394" s="24" t="s">
        <v>874</v>
      </c>
      <c r="F394" s="24" t="s">
        <v>333</v>
      </c>
      <c r="G394" s="24" t="s">
        <v>347</v>
      </c>
      <c r="H394" s="10">
        <v>702.77981807423487</v>
      </c>
    </row>
    <row r="395" spans="1:8" x14ac:dyDescent="0.2">
      <c r="A395" s="9"/>
      <c r="B395" s="24" t="s">
        <v>336</v>
      </c>
      <c r="C395" s="25">
        <v>44495</v>
      </c>
      <c r="D395" s="24" t="s">
        <v>1784</v>
      </c>
      <c r="E395" s="24" t="s">
        <v>421</v>
      </c>
      <c r="F395" s="24" t="s">
        <v>333</v>
      </c>
      <c r="G395" s="24" t="s">
        <v>347</v>
      </c>
      <c r="H395" s="10">
        <v>160848.92379921224</v>
      </c>
    </row>
    <row r="396" spans="1:8" x14ac:dyDescent="0.2">
      <c r="A396" s="9"/>
      <c r="B396" s="24" t="s">
        <v>336</v>
      </c>
      <c r="C396" s="25">
        <v>44496</v>
      </c>
      <c r="D396" s="24" t="s">
        <v>1785</v>
      </c>
      <c r="E396" s="24" t="s">
        <v>566</v>
      </c>
      <c r="F396" s="24" t="s">
        <v>333</v>
      </c>
      <c r="G396" s="24" t="s">
        <v>347</v>
      </c>
      <c r="H396" s="10">
        <v>58.049517809787851</v>
      </c>
    </row>
    <row r="397" spans="1:8" x14ac:dyDescent="0.2">
      <c r="A397" s="9"/>
      <c r="B397" s="24" t="s">
        <v>336</v>
      </c>
      <c r="C397" s="25">
        <v>44496</v>
      </c>
      <c r="D397" s="24" t="s">
        <v>1786</v>
      </c>
      <c r="E397" s="24" t="s">
        <v>344</v>
      </c>
      <c r="F397" s="24" t="s">
        <v>333</v>
      </c>
      <c r="G397" s="24" t="s">
        <v>347</v>
      </c>
      <c r="H397" s="10">
        <v>813.78414391402305</v>
      </c>
    </row>
    <row r="398" spans="1:8" x14ac:dyDescent="0.2">
      <c r="A398" s="9"/>
      <c r="B398" s="24" t="s">
        <v>336</v>
      </c>
      <c r="C398" s="25">
        <v>44497</v>
      </c>
      <c r="D398" s="24" t="s">
        <v>1787</v>
      </c>
      <c r="E398" s="24" t="s">
        <v>344</v>
      </c>
      <c r="F398" s="24" t="s">
        <v>333</v>
      </c>
      <c r="G398" s="24" t="s">
        <v>347</v>
      </c>
      <c r="H398" s="10">
        <v>496.75161142146322</v>
      </c>
    </row>
    <row r="399" spans="1:8" x14ac:dyDescent="0.2">
      <c r="A399" s="9"/>
      <c r="B399" s="24" t="s">
        <v>336</v>
      </c>
      <c r="C399" s="25">
        <v>44497</v>
      </c>
      <c r="D399" s="24" t="s">
        <v>1788</v>
      </c>
      <c r="E399" s="24" t="s">
        <v>376</v>
      </c>
      <c r="F399" s="24" t="s">
        <v>333</v>
      </c>
      <c r="G399" s="24" t="s">
        <v>347</v>
      </c>
      <c r="H399" s="10">
        <v>4243.2897729671695</v>
      </c>
    </row>
    <row r="400" spans="1:8" x14ac:dyDescent="0.2">
      <c r="A400" s="9"/>
      <c r="B400" s="24" t="s">
        <v>336</v>
      </c>
      <c r="C400" s="25">
        <v>44498</v>
      </c>
      <c r="D400" s="24" t="s">
        <v>1789</v>
      </c>
      <c r="E400" s="24" t="s">
        <v>344</v>
      </c>
      <c r="F400" s="24" t="s">
        <v>333</v>
      </c>
      <c r="G400" s="24" t="s">
        <v>347</v>
      </c>
      <c r="H400" s="10">
        <v>746.58968007582405</v>
      </c>
    </row>
    <row r="401" spans="1:8" x14ac:dyDescent="0.2">
      <c r="A401" s="9"/>
      <c r="B401" s="24" t="s">
        <v>425</v>
      </c>
      <c r="C401" s="25">
        <v>44500</v>
      </c>
      <c r="D401" s="24" t="s">
        <v>1790</v>
      </c>
      <c r="E401" s="24" t="s">
        <v>1791</v>
      </c>
      <c r="F401" s="24" t="s">
        <v>333</v>
      </c>
      <c r="G401" s="24" t="s">
        <v>343</v>
      </c>
      <c r="H401" s="10">
        <v>1160.526145737462</v>
      </c>
    </row>
    <row r="402" spans="1:8" x14ac:dyDescent="0.2">
      <c r="A402" s="9"/>
      <c r="B402" s="24" t="s">
        <v>982</v>
      </c>
      <c r="C402" s="25">
        <v>44500</v>
      </c>
      <c r="D402" s="24" t="s">
        <v>1234</v>
      </c>
      <c r="E402" s="24"/>
      <c r="F402" s="24" t="s">
        <v>333</v>
      </c>
      <c r="G402" s="24" t="s">
        <v>1792</v>
      </c>
      <c r="H402" s="10">
        <v>-1160.526145737462</v>
      </c>
    </row>
    <row r="403" spans="1:8" x14ac:dyDescent="0.2">
      <c r="A403" s="9"/>
      <c r="B403" s="24" t="s">
        <v>336</v>
      </c>
      <c r="C403" s="25">
        <v>44501</v>
      </c>
      <c r="D403" s="24" t="s">
        <v>1793</v>
      </c>
      <c r="E403" s="24" t="s">
        <v>597</v>
      </c>
      <c r="F403" s="24" t="s">
        <v>333</v>
      </c>
      <c r="G403" s="24" t="s">
        <v>347</v>
      </c>
      <c r="H403" s="10">
        <v>13872.651951934205</v>
      </c>
    </row>
    <row r="404" spans="1:8" x14ac:dyDescent="0.2">
      <c r="A404" s="9"/>
      <c r="B404" s="24" t="s">
        <v>336</v>
      </c>
      <c r="C404" s="25">
        <v>44502</v>
      </c>
      <c r="D404" s="24" t="s">
        <v>1794</v>
      </c>
      <c r="E404" s="24" t="s">
        <v>379</v>
      </c>
      <c r="F404" s="24" t="s">
        <v>333</v>
      </c>
      <c r="G404" s="24" t="s">
        <v>347</v>
      </c>
      <c r="H404" s="10">
        <v>718.7311455360649</v>
      </c>
    </row>
    <row r="405" spans="1:8" x14ac:dyDescent="0.2">
      <c r="A405" s="9"/>
      <c r="B405" s="24" t="s">
        <v>336</v>
      </c>
      <c r="C405" s="25">
        <v>44502</v>
      </c>
      <c r="D405" s="24" t="s">
        <v>1795</v>
      </c>
      <c r="E405" s="24" t="s">
        <v>377</v>
      </c>
      <c r="F405" s="24" t="s">
        <v>333</v>
      </c>
      <c r="G405" s="24" t="s">
        <v>347</v>
      </c>
      <c r="H405" s="10">
        <v>-83.851966979207575</v>
      </c>
    </row>
    <row r="406" spans="1:8" x14ac:dyDescent="0.2">
      <c r="A406" s="9"/>
      <c r="B406" s="24" t="s">
        <v>336</v>
      </c>
      <c r="C406" s="25">
        <v>44503</v>
      </c>
      <c r="D406" s="24" t="s">
        <v>1796</v>
      </c>
      <c r="E406" s="24" t="s">
        <v>423</v>
      </c>
      <c r="F406" s="24" t="s">
        <v>333</v>
      </c>
      <c r="G406" s="24" t="s">
        <v>347</v>
      </c>
      <c r="H406" s="10">
        <v>33130.083279948136</v>
      </c>
    </row>
    <row r="407" spans="1:8" x14ac:dyDescent="0.2">
      <c r="A407" s="9"/>
      <c r="B407" s="24" t="s">
        <v>336</v>
      </c>
      <c r="C407" s="25">
        <v>44503</v>
      </c>
      <c r="D407" s="24" t="s">
        <v>1797</v>
      </c>
      <c r="E407" s="24" t="s">
        <v>521</v>
      </c>
      <c r="F407" s="24" t="s">
        <v>333</v>
      </c>
      <c r="G407" s="24" t="s">
        <v>347</v>
      </c>
      <c r="H407" s="10">
        <v>33130.083279948136</v>
      </c>
    </row>
    <row r="408" spans="1:8" x14ac:dyDescent="0.2">
      <c r="A408" s="9"/>
      <c r="B408" s="24" t="s">
        <v>336</v>
      </c>
      <c r="C408" s="25">
        <v>44504</v>
      </c>
      <c r="D408" s="24" t="s">
        <v>1798</v>
      </c>
      <c r="E408" s="24" t="s">
        <v>350</v>
      </c>
      <c r="F408" s="24" t="s">
        <v>333</v>
      </c>
      <c r="G408" s="24" t="s">
        <v>1419</v>
      </c>
      <c r="H408" s="10">
        <v>11249.980794477267</v>
      </c>
    </row>
    <row r="409" spans="1:8" x14ac:dyDescent="0.2">
      <c r="A409" s="9"/>
      <c r="B409" s="24" t="s">
        <v>336</v>
      </c>
      <c r="C409" s="25">
        <v>44504</v>
      </c>
      <c r="D409" s="24" t="s">
        <v>1799</v>
      </c>
      <c r="E409" s="24" t="s">
        <v>344</v>
      </c>
      <c r="F409" s="24" t="s">
        <v>333</v>
      </c>
      <c r="G409" s="24" t="s">
        <v>347</v>
      </c>
      <c r="H409" s="10">
        <v>288.67893502610457</v>
      </c>
    </row>
    <row r="410" spans="1:8" x14ac:dyDescent="0.2">
      <c r="A410" s="9"/>
      <c r="B410" s="24" t="s">
        <v>336</v>
      </c>
      <c r="C410" s="25">
        <v>44505</v>
      </c>
      <c r="D410" s="24" t="s">
        <v>1800</v>
      </c>
      <c r="E410" s="24" t="s">
        <v>344</v>
      </c>
      <c r="F410" s="24" t="s">
        <v>333</v>
      </c>
      <c r="G410" s="24" t="s">
        <v>347</v>
      </c>
      <c r="H410" s="10">
        <v>859.71653436994893</v>
      </c>
    </row>
    <row r="411" spans="1:8" x14ac:dyDescent="0.2">
      <c r="A411" s="9"/>
      <c r="B411" s="24" t="s">
        <v>336</v>
      </c>
      <c r="C411" s="25">
        <v>44505</v>
      </c>
      <c r="D411" s="24" t="s">
        <v>1801</v>
      </c>
      <c r="E411" s="24" t="s">
        <v>379</v>
      </c>
      <c r="F411" s="24" t="s">
        <v>333</v>
      </c>
      <c r="G411" s="24" t="s">
        <v>347</v>
      </c>
      <c r="H411" s="10">
        <v>2874.9245821442596</v>
      </c>
    </row>
    <row r="412" spans="1:8" x14ac:dyDescent="0.2">
      <c r="A412" s="9"/>
      <c r="B412" s="24" t="s">
        <v>929</v>
      </c>
      <c r="C412" s="25">
        <v>44509</v>
      </c>
      <c r="D412" s="24" t="s">
        <v>1802</v>
      </c>
      <c r="E412" s="24" t="s">
        <v>905</v>
      </c>
      <c r="F412" s="24" t="s">
        <v>333</v>
      </c>
      <c r="G412" s="24" t="s">
        <v>347</v>
      </c>
      <c r="H412" s="10">
        <v>-6655.2222390463303</v>
      </c>
    </row>
    <row r="413" spans="1:8" x14ac:dyDescent="0.2">
      <c r="A413" s="9"/>
      <c r="B413" s="24" t="s">
        <v>336</v>
      </c>
      <c r="C413" s="25">
        <v>44509</v>
      </c>
      <c r="D413" s="24" t="s">
        <v>1803</v>
      </c>
      <c r="E413" s="24" t="s">
        <v>910</v>
      </c>
      <c r="F413" s="24" t="s">
        <v>333</v>
      </c>
      <c r="G413" s="24" t="s">
        <v>347</v>
      </c>
      <c r="H413" s="10">
        <v>63.921438229183678</v>
      </c>
    </row>
    <row r="414" spans="1:8" x14ac:dyDescent="0.2">
      <c r="A414" s="9"/>
      <c r="B414" s="24" t="s">
        <v>336</v>
      </c>
      <c r="C414" s="25">
        <v>44509</v>
      </c>
      <c r="D414" s="24" t="s">
        <v>1804</v>
      </c>
      <c r="E414" s="24" t="s">
        <v>344</v>
      </c>
      <c r="F414" s="24" t="s">
        <v>333</v>
      </c>
      <c r="G414" s="24" t="s">
        <v>347</v>
      </c>
      <c r="H414" s="10">
        <v>187.09826645700738</v>
      </c>
    </row>
    <row r="415" spans="1:8" x14ac:dyDescent="0.2">
      <c r="A415" s="9"/>
      <c r="B415" s="24" t="s">
        <v>336</v>
      </c>
      <c r="C415" s="25">
        <v>44509</v>
      </c>
      <c r="D415" s="24" t="s">
        <v>1805</v>
      </c>
      <c r="E415" s="24" t="s">
        <v>905</v>
      </c>
      <c r="F415" s="24" t="s">
        <v>333</v>
      </c>
      <c r="G415" s="24" t="s">
        <v>347</v>
      </c>
      <c r="H415" s="10">
        <v>4015.7676702967437</v>
      </c>
    </row>
    <row r="416" spans="1:8" x14ac:dyDescent="0.2">
      <c r="A416" s="9"/>
      <c r="B416" s="24" t="s">
        <v>336</v>
      </c>
      <c r="C416" s="25">
        <v>44510</v>
      </c>
      <c r="D416" s="24" t="s">
        <v>1806</v>
      </c>
      <c r="E416" s="24" t="s">
        <v>420</v>
      </c>
      <c r="F416" s="24" t="s">
        <v>333</v>
      </c>
      <c r="G416" s="24" t="s">
        <v>347</v>
      </c>
      <c r="H416" s="10">
        <v>8583.7033952592901</v>
      </c>
    </row>
    <row r="417" spans="1:8" x14ac:dyDescent="0.2">
      <c r="A417" s="9"/>
      <c r="B417" s="24" t="s">
        <v>336</v>
      </c>
      <c r="C417" s="25">
        <v>44510</v>
      </c>
      <c r="D417" s="24" t="s">
        <v>1807</v>
      </c>
      <c r="E417" s="24" t="s">
        <v>344</v>
      </c>
      <c r="F417" s="24" t="s">
        <v>333</v>
      </c>
      <c r="G417" s="24" t="s">
        <v>347</v>
      </c>
      <c r="H417" s="10">
        <v>935.49133228503683</v>
      </c>
    </row>
    <row r="418" spans="1:8" x14ac:dyDescent="0.2">
      <c r="A418" s="9"/>
      <c r="B418" s="24" t="s">
        <v>336</v>
      </c>
      <c r="C418" s="25">
        <v>44510</v>
      </c>
      <c r="D418" s="24" t="s">
        <v>1808</v>
      </c>
      <c r="E418" s="24" t="s">
        <v>1255</v>
      </c>
      <c r="F418" s="24" t="s">
        <v>333</v>
      </c>
      <c r="G418" s="24" t="s">
        <v>347</v>
      </c>
      <c r="H418" s="10">
        <v>992.71602158676546</v>
      </c>
    </row>
    <row r="419" spans="1:8" x14ac:dyDescent="0.2">
      <c r="A419" s="9"/>
      <c r="B419" s="24" t="s">
        <v>336</v>
      </c>
      <c r="C419" s="25">
        <v>44511</v>
      </c>
      <c r="D419" s="24" t="s">
        <v>1809</v>
      </c>
      <c r="E419" s="24" t="s">
        <v>344</v>
      </c>
      <c r="F419" s="24" t="s">
        <v>333</v>
      </c>
      <c r="G419" s="24" t="s">
        <v>347</v>
      </c>
      <c r="H419" s="10">
        <v>759.26530045812262</v>
      </c>
    </row>
    <row r="420" spans="1:8" x14ac:dyDescent="0.2">
      <c r="A420" s="9"/>
      <c r="B420" s="24" t="s">
        <v>336</v>
      </c>
      <c r="C420" s="25">
        <v>44511</v>
      </c>
      <c r="D420" s="24" t="s">
        <v>1810</v>
      </c>
      <c r="E420" s="24" t="s">
        <v>344</v>
      </c>
      <c r="F420" s="24" t="s">
        <v>333</v>
      </c>
      <c r="G420" s="24" t="s">
        <v>347</v>
      </c>
      <c r="H420" s="10">
        <v>1513.4880744666114</v>
      </c>
    </row>
    <row r="421" spans="1:8" x14ac:dyDescent="0.2">
      <c r="A421" s="9"/>
      <c r="B421" s="24" t="s">
        <v>336</v>
      </c>
      <c r="C421" s="25">
        <v>44512</v>
      </c>
      <c r="D421" s="24" t="s">
        <v>1811</v>
      </c>
      <c r="E421" s="24" t="s">
        <v>379</v>
      </c>
      <c r="F421" s="24" t="s">
        <v>333</v>
      </c>
      <c r="G421" s="24" t="s">
        <v>347</v>
      </c>
      <c r="H421" s="10">
        <v>3234.2901549122921</v>
      </c>
    </row>
    <row r="422" spans="1:8" x14ac:dyDescent="0.2">
      <c r="A422" s="9"/>
      <c r="B422" s="24" t="s">
        <v>336</v>
      </c>
      <c r="C422" s="25">
        <v>44512</v>
      </c>
      <c r="D422" s="24" t="s">
        <v>1812</v>
      </c>
      <c r="E422" s="24" t="s">
        <v>639</v>
      </c>
      <c r="F422" s="24" t="s">
        <v>333</v>
      </c>
      <c r="G422" s="24" t="s">
        <v>347</v>
      </c>
      <c r="H422" s="10">
        <v>6431.2176986875902</v>
      </c>
    </row>
    <row r="423" spans="1:8" x14ac:dyDescent="0.2">
      <c r="A423" s="9"/>
      <c r="B423" s="24" t="s">
        <v>336</v>
      </c>
      <c r="C423" s="25">
        <v>44512</v>
      </c>
      <c r="D423" s="24" t="s">
        <v>1813</v>
      </c>
      <c r="E423" s="24" t="s">
        <v>1346</v>
      </c>
      <c r="F423" s="24" t="s">
        <v>333</v>
      </c>
      <c r="G423" s="24" t="s">
        <v>347</v>
      </c>
      <c r="H423" s="10">
        <v>4449.2880437946878</v>
      </c>
    </row>
    <row r="424" spans="1:8" x14ac:dyDescent="0.2">
      <c r="A424" s="9"/>
      <c r="B424" s="24" t="s">
        <v>336</v>
      </c>
      <c r="C424" s="25">
        <v>44513</v>
      </c>
      <c r="D424" s="24" t="s">
        <v>1814</v>
      </c>
      <c r="E424" s="24" t="s">
        <v>421</v>
      </c>
      <c r="F424" s="24" t="s">
        <v>333</v>
      </c>
      <c r="G424" s="24" t="s">
        <v>347</v>
      </c>
      <c r="H424" s="10">
        <v>-186.73319666879857</v>
      </c>
    </row>
    <row r="425" spans="1:8" x14ac:dyDescent="0.2">
      <c r="A425" s="9"/>
      <c r="B425" s="24" t="s">
        <v>336</v>
      </c>
      <c r="C425" s="25">
        <v>44516</v>
      </c>
      <c r="D425" s="24" t="s">
        <v>1815</v>
      </c>
      <c r="E425" s="24" t="s">
        <v>377</v>
      </c>
      <c r="F425" s="24" t="s">
        <v>333</v>
      </c>
      <c r="G425" s="24" t="s">
        <v>347</v>
      </c>
      <c r="H425" s="10">
        <v>-23.683902510045566</v>
      </c>
    </row>
    <row r="426" spans="1:8" x14ac:dyDescent="0.2">
      <c r="A426" s="9"/>
      <c r="B426" s="24" t="s">
        <v>336</v>
      </c>
      <c r="C426" s="25">
        <v>44517</v>
      </c>
      <c r="D426" s="24" t="s">
        <v>1816</v>
      </c>
      <c r="E426" s="24" t="s">
        <v>344</v>
      </c>
      <c r="F426" s="24" t="s">
        <v>333</v>
      </c>
      <c r="G426" s="24" t="s">
        <v>347</v>
      </c>
      <c r="H426" s="10">
        <v>2384.2479699298765</v>
      </c>
    </row>
    <row r="427" spans="1:8" x14ac:dyDescent="0.2">
      <c r="A427" s="9"/>
      <c r="B427" s="24" t="s">
        <v>336</v>
      </c>
      <c r="C427" s="25">
        <v>44517</v>
      </c>
      <c r="D427" s="24" t="s">
        <v>1817</v>
      </c>
      <c r="E427" s="24" t="s">
        <v>597</v>
      </c>
      <c r="F427" s="24" t="s">
        <v>333</v>
      </c>
      <c r="G427" s="24" t="s">
        <v>347</v>
      </c>
      <c r="H427" s="10">
        <v>3719.1484673770979</v>
      </c>
    </row>
    <row r="428" spans="1:8" x14ac:dyDescent="0.2">
      <c r="A428" s="9"/>
      <c r="B428" s="24" t="s">
        <v>336</v>
      </c>
      <c r="C428" s="25">
        <v>44517</v>
      </c>
      <c r="D428" s="24" t="s">
        <v>1818</v>
      </c>
      <c r="E428" s="24" t="s">
        <v>379</v>
      </c>
      <c r="F428" s="24" t="s">
        <v>333</v>
      </c>
      <c r="G428" s="24" t="s">
        <v>347</v>
      </c>
      <c r="H428" s="10">
        <v>2874.9245821442596</v>
      </c>
    </row>
    <row r="429" spans="1:8" x14ac:dyDescent="0.2">
      <c r="A429" s="9"/>
      <c r="B429" s="24" t="s">
        <v>336</v>
      </c>
      <c r="C429" s="25">
        <v>44518</v>
      </c>
      <c r="D429" s="24" t="s">
        <v>1819</v>
      </c>
      <c r="E429" s="24" t="s">
        <v>711</v>
      </c>
      <c r="F429" s="24" t="s">
        <v>333</v>
      </c>
      <c r="G429" s="24" t="s">
        <v>347</v>
      </c>
      <c r="H429" s="10">
        <v>10039.419175741859</v>
      </c>
    </row>
    <row r="430" spans="1:8" x14ac:dyDescent="0.2">
      <c r="A430" s="9"/>
      <c r="B430" s="24" t="s">
        <v>336</v>
      </c>
      <c r="C430" s="25">
        <v>44522</v>
      </c>
      <c r="D430" s="24" t="s">
        <v>1820</v>
      </c>
      <c r="E430" s="24" t="s">
        <v>422</v>
      </c>
      <c r="F430" s="24" t="s">
        <v>333</v>
      </c>
      <c r="G430" s="24" t="s">
        <v>347</v>
      </c>
      <c r="H430" s="10">
        <v>285.21077203812098</v>
      </c>
    </row>
    <row r="431" spans="1:8" x14ac:dyDescent="0.2">
      <c r="A431" s="9"/>
      <c r="B431" s="24" t="s">
        <v>336</v>
      </c>
      <c r="C431" s="25">
        <v>44523</v>
      </c>
      <c r="D431" s="24" t="s">
        <v>1821</v>
      </c>
      <c r="E431" s="24" t="s">
        <v>422</v>
      </c>
      <c r="F431" s="24" t="s">
        <v>333</v>
      </c>
      <c r="G431" s="24" t="s">
        <v>347</v>
      </c>
      <c r="H431" s="10">
        <v>766.6465552384692</v>
      </c>
    </row>
    <row r="432" spans="1:8" x14ac:dyDescent="0.2">
      <c r="A432" s="9"/>
      <c r="B432" s="24" t="s">
        <v>336</v>
      </c>
      <c r="C432" s="25">
        <v>44523</v>
      </c>
      <c r="D432" s="24" t="s">
        <v>1822</v>
      </c>
      <c r="E432" s="24" t="s">
        <v>615</v>
      </c>
      <c r="F432" s="24" t="s">
        <v>333</v>
      </c>
      <c r="G432" s="24" t="s">
        <v>347</v>
      </c>
      <c r="H432" s="10">
        <v>30446.820336613491</v>
      </c>
    </row>
    <row r="433" spans="1:8" x14ac:dyDescent="0.2">
      <c r="A433" s="9"/>
      <c r="B433" s="24" t="s">
        <v>336</v>
      </c>
      <c r="C433" s="25">
        <v>44524</v>
      </c>
      <c r="D433" s="24" t="s">
        <v>1823</v>
      </c>
      <c r="E433" s="24" t="s">
        <v>376</v>
      </c>
      <c r="F433" s="24" t="s">
        <v>333</v>
      </c>
      <c r="G433" s="24" t="s">
        <v>347</v>
      </c>
      <c r="H433" s="10">
        <v>3448.1982339408828</v>
      </c>
    </row>
    <row r="434" spans="1:8" x14ac:dyDescent="0.2">
      <c r="A434" s="9"/>
      <c r="B434" s="24" t="s">
        <v>336</v>
      </c>
      <c r="C434" s="25">
        <v>44524</v>
      </c>
      <c r="D434" s="24" t="s">
        <v>1824</v>
      </c>
      <c r="E434" s="24" t="s">
        <v>544</v>
      </c>
      <c r="F434" s="24" t="s">
        <v>333</v>
      </c>
      <c r="G434" s="24" t="s">
        <v>347</v>
      </c>
      <c r="H434" s="10">
        <v>13918.285675460305</v>
      </c>
    </row>
    <row r="435" spans="1:8" x14ac:dyDescent="0.2">
      <c r="A435" s="9"/>
      <c r="B435" s="24" t="s">
        <v>336</v>
      </c>
      <c r="C435" s="25">
        <v>44524</v>
      </c>
      <c r="D435" s="24" t="s">
        <v>1825</v>
      </c>
      <c r="E435" s="24" t="s">
        <v>344</v>
      </c>
      <c r="F435" s="24" t="s">
        <v>333</v>
      </c>
      <c r="G435" s="24" t="s">
        <v>347</v>
      </c>
      <c r="H435" s="10">
        <v>1796.6453289460578</v>
      </c>
    </row>
    <row r="436" spans="1:8" x14ac:dyDescent="0.2">
      <c r="A436" s="9"/>
      <c r="B436" s="24" t="s">
        <v>336</v>
      </c>
      <c r="C436" s="25">
        <v>44526</v>
      </c>
      <c r="D436" s="24" t="s">
        <v>1826</v>
      </c>
      <c r="E436" s="24" t="s">
        <v>344</v>
      </c>
      <c r="F436" s="24" t="s">
        <v>333</v>
      </c>
      <c r="G436" s="24" t="s">
        <v>347</v>
      </c>
      <c r="H436" s="10">
        <v>937.17978005550253</v>
      </c>
    </row>
    <row r="437" spans="1:8" x14ac:dyDescent="0.2">
      <c r="A437" s="9"/>
      <c r="B437" s="24" t="s">
        <v>336</v>
      </c>
      <c r="C437" s="25">
        <v>44529</v>
      </c>
      <c r="D437" s="24" t="s">
        <v>1827</v>
      </c>
      <c r="E437" s="24" t="s">
        <v>1053</v>
      </c>
      <c r="F437" s="24" t="s">
        <v>333</v>
      </c>
      <c r="G437" s="24" t="s">
        <v>347</v>
      </c>
      <c r="H437" s="10">
        <v>1072.7347557897806</v>
      </c>
    </row>
    <row r="438" spans="1:8" x14ac:dyDescent="0.2">
      <c r="A438" s="9"/>
      <c r="B438" s="24" t="s">
        <v>336</v>
      </c>
      <c r="C438" s="25">
        <v>44529</v>
      </c>
      <c r="D438" s="24" t="s">
        <v>1828</v>
      </c>
      <c r="E438" s="24" t="s">
        <v>379</v>
      </c>
      <c r="F438" s="24" t="s">
        <v>333</v>
      </c>
      <c r="G438" s="24" t="s">
        <v>347</v>
      </c>
      <c r="H438" s="10">
        <v>13553.21588725151</v>
      </c>
    </row>
    <row r="439" spans="1:8" x14ac:dyDescent="0.2">
      <c r="A439" s="9"/>
      <c r="B439" s="24" t="s">
        <v>336</v>
      </c>
      <c r="C439" s="25">
        <v>44530</v>
      </c>
      <c r="D439" s="24" t="s">
        <v>1829</v>
      </c>
      <c r="E439" s="24" t="s">
        <v>344</v>
      </c>
      <c r="F439" s="24" t="s">
        <v>333</v>
      </c>
      <c r="G439" s="24" t="s">
        <v>347</v>
      </c>
      <c r="H439" s="10">
        <v>2518.0346388775183</v>
      </c>
    </row>
    <row r="440" spans="1:8" x14ac:dyDescent="0.2">
      <c r="A440" s="9"/>
      <c r="B440" s="24" t="s">
        <v>336</v>
      </c>
      <c r="C440" s="25">
        <v>44531</v>
      </c>
      <c r="D440" s="24" t="s">
        <v>1830</v>
      </c>
      <c r="E440" s="24" t="s">
        <v>344</v>
      </c>
      <c r="F440" s="24" t="s">
        <v>333</v>
      </c>
      <c r="G440" s="24" t="s">
        <v>347</v>
      </c>
      <c r="H440" s="10">
        <v>1375.4957434729349</v>
      </c>
    </row>
    <row r="441" spans="1:8" x14ac:dyDescent="0.2">
      <c r="A441" s="9"/>
      <c r="B441" s="24" t="s">
        <v>336</v>
      </c>
      <c r="C441" s="25">
        <v>44532</v>
      </c>
      <c r="D441" s="24" t="s">
        <v>1831</v>
      </c>
      <c r="E441" s="24" t="s">
        <v>1306</v>
      </c>
      <c r="F441" s="24" t="s">
        <v>333</v>
      </c>
      <c r="G441" s="24" t="s">
        <v>347</v>
      </c>
      <c r="H441" s="10">
        <v>6436.1504777206601</v>
      </c>
    </row>
    <row r="442" spans="1:8" x14ac:dyDescent="0.2">
      <c r="A442" s="9"/>
      <c r="B442" s="24" t="s">
        <v>336</v>
      </c>
      <c r="C442" s="25">
        <v>44532</v>
      </c>
      <c r="D442" s="24" t="s">
        <v>1832</v>
      </c>
      <c r="E442" s="24" t="s">
        <v>1306</v>
      </c>
      <c r="F442" s="24" t="s">
        <v>333</v>
      </c>
      <c r="G442" s="24" t="s">
        <v>347</v>
      </c>
      <c r="H442" s="10">
        <v>2423.5949882682521</v>
      </c>
    </row>
    <row r="443" spans="1:8" x14ac:dyDescent="0.2">
      <c r="A443" s="9"/>
      <c r="B443" s="24" t="s">
        <v>336</v>
      </c>
      <c r="C443" s="25">
        <v>44532</v>
      </c>
      <c r="D443" s="24" t="s">
        <v>1833</v>
      </c>
      <c r="E443" s="24" t="s">
        <v>350</v>
      </c>
      <c r="F443" s="24" t="s">
        <v>333</v>
      </c>
      <c r="G443" s="24" t="s">
        <v>1419</v>
      </c>
      <c r="H443" s="10">
        <v>93413.716651169758</v>
      </c>
    </row>
    <row r="444" spans="1:8" x14ac:dyDescent="0.2">
      <c r="A444" s="9"/>
      <c r="B444" s="24" t="s">
        <v>336</v>
      </c>
      <c r="C444" s="25">
        <v>44533</v>
      </c>
      <c r="D444" s="24" t="s">
        <v>1834</v>
      </c>
      <c r="E444" s="24" t="s">
        <v>344</v>
      </c>
      <c r="F444" s="24" t="s">
        <v>333</v>
      </c>
      <c r="G444" s="24" t="s">
        <v>347</v>
      </c>
      <c r="H444" s="10">
        <v>863.33850023918421</v>
      </c>
    </row>
    <row r="445" spans="1:8" x14ac:dyDescent="0.2">
      <c r="A445" s="9"/>
      <c r="B445" s="24" t="s">
        <v>336</v>
      </c>
      <c r="C445" s="25">
        <v>44533</v>
      </c>
      <c r="D445" s="24" t="s">
        <v>1835</v>
      </c>
      <c r="E445" s="24" t="s">
        <v>344</v>
      </c>
      <c r="F445" s="24" t="s">
        <v>333</v>
      </c>
      <c r="G445" s="24" t="s">
        <v>347</v>
      </c>
      <c r="H445" s="10">
        <v>690.76808031794167</v>
      </c>
    </row>
    <row r="446" spans="1:8" x14ac:dyDescent="0.2">
      <c r="A446" s="9"/>
      <c r="B446" s="24" t="s">
        <v>336</v>
      </c>
      <c r="C446" s="25">
        <v>44536</v>
      </c>
      <c r="D446" s="24" t="s">
        <v>1836</v>
      </c>
      <c r="E446" s="24" t="s">
        <v>1190</v>
      </c>
      <c r="F446" s="24" t="s">
        <v>333</v>
      </c>
      <c r="G446" s="24" t="s">
        <v>347</v>
      </c>
      <c r="H446" s="10">
        <v>3512.2650357594266</v>
      </c>
    </row>
    <row r="447" spans="1:8" x14ac:dyDescent="0.2">
      <c r="A447" s="9"/>
      <c r="B447" s="24" t="s">
        <v>336</v>
      </c>
      <c r="C447" s="25">
        <v>44536</v>
      </c>
      <c r="D447" s="24" t="s">
        <v>1837</v>
      </c>
      <c r="E447" s="24" t="s">
        <v>421</v>
      </c>
      <c r="F447" s="24" t="s">
        <v>333</v>
      </c>
      <c r="G447" s="24" t="s">
        <v>347</v>
      </c>
      <c r="H447" s="10">
        <v>156779.36681360917</v>
      </c>
    </row>
    <row r="448" spans="1:8" x14ac:dyDescent="0.2">
      <c r="A448" s="9"/>
      <c r="B448" s="24" t="s">
        <v>336</v>
      </c>
      <c r="C448" s="25">
        <v>44536</v>
      </c>
      <c r="D448" s="24" t="s">
        <v>1838</v>
      </c>
      <c r="E448" s="24" t="s">
        <v>521</v>
      </c>
      <c r="F448" s="24" t="s">
        <v>333</v>
      </c>
      <c r="G448" s="24" t="s">
        <v>347</v>
      </c>
      <c r="H448" s="10">
        <v>32849.010189518114</v>
      </c>
    </row>
    <row r="449" spans="1:8" x14ac:dyDescent="0.2">
      <c r="A449" s="9"/>
      <c r="B449" s="24" t="s">
        <v>336</v>
      </c>
      <c r="C449" s="25">
        <v>44536</v>
      </c>
      <c r="D449" s="24" t="s">
        <v>1839</v>
      </c>
      <c r="E449" s="24" t="s">
        <v>421</v>
      </c>
      <c r="F449" s="24" t="s">
        <v>333</v>
      </c>
      <c r="G449" s="24" t="s">
        <v>347</v>
      </c>
      <c r="H449" s="10">
        <v>156779.36681360917</v>
      </c>
    </row>
    <row r="450" spans="1:8" x14ac:dyDescent="0.2">
      <c r="A450" s="9"/>
      <c r="B450" s="24" t="s">
        <v>336</v>
      </c>
      <c r="C450" s="25">
        <v>44537</v>
      </c>
      <c r="D450" s="24" t="s">
        <v>1840</v>
      </c>
      <c r="E450" s="24" t="s">
        <v>344</v>
      </c>
      <c r="F450" s="24" t="s">
        <v>333</v>
      </c>
      <c r="G450" s="24" t="s">
        <v>347</v>
      </c>
      <c r="H450" s="10">
        <v>2223.7558240900021</v>
      </c>
    </row>
    <row r="451" spans="1:8" x14ac:dyDescent="0.2">
      <c r="A451" s="9"/>
      <c r="B451" s="24" t="s">
        <v>336</v>
      </c>
      <c r="C451" s="25">
        <v>44537</v>
      </c>
      <c r="D451" s="24" t="s">
        <v>1841</v>
      </c>
      <c r="E451" s="24" t="s">
        <v>377</v>
      </c>
      <c r="F451" s="24" t="s">
        <v>333</v>
      </c>
      <c r="G451" s="24" t="s">
        <v>347</v>
      </c>
      <c r="H451" s="10">
        <v>-36.830708394308189</v>
      </c>
    </row>
    <row r="452" spans="1:8" x14ac:dyDescent="0.2">
      <c r="A452" s="9"/>
      <c r="B452" s="24" t="s">
        <v>336</v>
      </c>
      <c r="C452" s="25">
        <v>44537</v>
      </c>
      <c r="D452" s="24" t="s">
        <v>1842</v>
      </c>
      <c r="E452" s="24" t="s">
        <v>5</v>
      </c>
      <c r="F452" s="24" t="s">
        <v>333</v>
      </c>
      <c r="G452" s="24" t="s">
        <v>1419</v>
      </c>
      <c r="H452" s="10">
        <v>65842.952310183377</v>
      </c>
    </row>
    <row r="453" spans="1:8" x14ac:dyDescent="0.2">
      <c r="A453" s="9"/>
      <c r="B453" s="24" t="s">
        <v>336</v>
      </c>
      <c r="C453" s="25">
        <v>44538</v>
      </c>
      <c r="D453" s="24" t="s">
        <v>1843</v>
      </c>
      <c r="E453" s="24" t="s">
        <v>344</v>
      </c>
      <c r="F453" s="24" t="s">
        <v>333</v>
      </c>
      <c r="G453" s="24" t="s">
        <v>347</v>
      </c>
      <c r="H453" s="10">
        <v>852.79604931059237</v>
      </c>
    </row>
    <row r="454" spans="1:8" x14ac:dyDescent="0.2">
      <c r="A454" s="9"/>
      <c r="B454" s="24" t="s">
        <v>336</v>
      </c>
      <c r="C454" s="25">
        <v>44538</v>
      </c>
      <c r="D454" s="24" t="s">
        <v>1844</v>
      </c>
      <c r="E454" s="24" t="s">
        <v>566</v>
      </c>
      <c r="F454" s="24" t="s">
        <v>333</v>
      </c>
      <c r="G454" s="24" t="s">
        <v>347</v>
      </c>
      <c r="H454" s="10">
        <v>158.36299678142342</v>
      </c>
    </row>
    <row r="455" spans="1:8" x14ac:dyDescent="0.2">
      <c r="A455" s="9"/>
      <c r="B455" s="24" t="s">
        <v>929</v>
      </c>
      <c r="C455" s="25">
        <v>44539</v>
      </c>
      <c r="D455" s="24" t="s">
        <v>1845</v>
      </c>
      <c r="E455" s="24" t="s">
        <v>796</v>
      </c>
      <c r="F455" s="24" t="s">
        <v>333</v>
      </c>
      <c r="G455" s="24" t="s">
        <v>347</v>
      </c>
      <c r="H455" s="10">
        <v>-1102.115964457689</v>
      </c>
    </row>
    <row r="456" spans="1:8" x14ac:dyDescent="0.2">
      <c r="A456" s="9"/>
      <c r="B456" s="24" t="s">
        <v>336</v>
      </c>
      <c r="C456" s="25">
        <v>44539</v>
      </c>
      <c r="D456" s="24" t="s">
        <v>1846</v>
      </c>
      <c r="E456" s="24" t="s">
        <v>423</v>
      </c>
      <c r="F456" s="24" t="s">
        <v>333</v>
      </c>
      <c r="G456" s="24" t="s">
        <v>347</v>
      </c>
      <c r="H456" s="10">
        <v>24636.757642138586</v>
      </c>
    </row>
    <row r="457" spans="1:8" x14ac:dyDescent="0.2">
      <c r="A457" s="9"/>
      <c r="B457" s="24" t="s">
        <v>336</v>
      </c>
      <c r="C457" s="25">
        <v>44539</v>
      </c>
      <c r="D457" s="24" t="s">
        <v>1847</v>
      </c>
      <c r="E457" s="24" t="s">
        <v>639</v>
      </c>
      <c r="F457" s="24" t="s">
        <v>333</v>
      </c>
      <c r="G457" s="24" t="s">
        <v>347</v>
      </c>
      <c r="H457" s="10">
        <v>147000.23684114637</v>
      </c>
    </row>
    <row r="458" spans="1:8" x14ac:dyDescent="0.2">
      <c r="A458" s="9"/>
      <c r="B458" s="24" t="s">
        <v>336</v>
      </c>
      <c r="C458" s="25">
        <v>44539</v>
      </c>
      <c r="D458" s="24" t="s">
        <v>1848</v>
      </c>
      <c r="E458" s="24" t="s">
        <v>344</v>
      </c>
      <c r="F458" s="24" t="s">
        <v>333</v>
      </c>
      <c r="G458" s="24" t="s">
        <v>347</v>
      </c>
      <c r="H458" s="10">
        <v>963.7519518412339</v>
      </c>
    </row>
    <row r="459" spans="1:8" x14ac:dyDescent="0.2">
      <c r="A459" s="9"/>
      <c r="B459" s="24" t="s">
        <v>336</v>
      </c>
      <c r="C459" s="25">
        <v>44540</v>
      </c>
      <c r="D459" s="24" t="s">
        <v>1849</v>
      </c>
      <c r="E459" s="24" t="s">
        <v>344</v>
      </c>
      <c r="F459" s="24" t="s">
        <v>333</v>
      </c>
      <c r="G459" s="24" t="s">
        <v>347</v>
      </c>
      <c r="H459" s="10">
        <v>716.33239265551435</v>
      </c>
    </row>
    <row r="460" spans="1:8" x14ac:dyDescent="0.2">
      <c r="A460" s="9"/>
      <c r="B460" s="24" t="s">
        <v>336</v>
      </c>
      <c r="C460" s="25">
        <v>44540</v>
      </c>
      <c r="D460" s="24" t="s">
        <v>1850</v>
      </c>
      <c r="E460" s="24" t="s">
        <v>905</v>
      </c>
      <c r="F460" s="24" t="s">
        <v>333</v>
      </c>
      <c r="G460" s="24" t="s">
        <v>347</v>
      </c>
      <c r="H460" s="10">
        <v>12736.909598277342</v>
      </c>
    </row>
    <row r="461" spans="1:8" x14ac:dyDescent="0.2">
      <c r="A461" s="9"/>
      <c r="B461" s="24" t="s">
        <v>336</v>
      </c>
      <c r="C461" s="25">
        <v>44540</v>
      </c>
      <c r="D461" s="24" t="s">
        <v>1851</v>
      </c>
      <c r="E461" s="24" t="s">
        <v>711</v>
      </c>
      <c r="F461" s="24" t="s">
        <v>333</v>
      </c>
      <c r="G461" s="24" t="s">
        <v>347</v>
      </c>
      <c r="H461" s="10">
        <v>6823.1828327539006</v>
      </c>
    </row>
    <row r="462" spans="1:8" x14ac:dyDescent="0.2">
      <c r="A462" s="9"/>
      <c r="B462" s="24" t="s">
        <v>929</v>
      </c>
      <c r="C462" s="25">
        <v>44543</v>
      </c>
      <c r="D462" s="24" t="s">
        <v>1338</v>
      </c>
      <c r="E462" s="24" t="s">
        <v>379</v>
      </c>
      <c r="F462" s="24" t="s">
        <v>333</v>
      </c>
      <c r="G462" s="24" t="s">
        <v>347</v>
      </c>
      <c r="H462" s="10">
        <v>-142.52669710328107</v>
      </c>
    </row>
    <row r="463" spans="1:8" x14ac:dyDescent="0.2">
      <c r="A463" s="9"/>
      <c r="B463" s="24" t="s">
        <v>336</v>
      </c>
      <c r="C463" s="25">
        <v>44543</v>
      </c>
      <c r="D463" s="24" t="s">
        <v>1852</v>
      </c>
      <c r="E463" s="24" t="s">
        <v>1341</v>
      </c>
      <c r="F463" s="24" t="s">
        <v>333</v>
      </c>
      <c r="G463" s="24" t="s">
        <v>347</v>
      </c>
      <c r="H463" s="10">
        <v>2996.9401221792859</v>
      </c>
    </row>
    <row r="464" spans="1:8" x14ac:dyDescent="0.2">
      <c r="A464" s="9"/>
      <c r="B464" s="24" t="s">
        <v>336</v>
      </c>
      <c r="C464" s="25">
        <v>44544</v>
      </c>
      <c r="D464" s="24" t="s">
        <v>1853</v>
      </c>
      <c r="E464" s="24" t="s">
        <v>344</v>
      </c>
      <c r="F464" s="24" t="s">
        <v>333</v>
      </c>
      <c r="G464" s="24" t="s">
        <v>347</v>
      </c>
      <c r="H464" s="10">
        <v>2826.03292413501</v>
      </c>
    </row>
    <row r="465" spans="1:8" x14ac:dyDescent="0.2">
      <c r="A465" s="9"/>
      <c r="B465" s="24" t="s">
        <v>336</v>
      </c>
      <c r="C465" s="25">
        <v>44544</v>
      </c>
      <c r="D465" s="24" t="s">
        <v>1854</v>
      </c>
      <c r="E465" s="24" t="s">
        <v>422</v>
      </c>
      <c r="F465" s="24" t="s">
        <v>333</v>
      </c>
      <c r="G465" s="24" t="s">
        <v>347</v>
      </c>
      <c r="H465" s="10">
        <v>997.68687972296755</v>
      </c>
    </row>
    <row r="466" spans="1:8" x14ac:dyDescent="0.2">
      <c r="A466" s="9"/>
      <c r="B466" s="24" t="s">
        <v>336</v>
      </c>
      <c r="C466" s="25">
        <v>44544</v>
      </c>
      <c r="D466" s="24" t="s">
        <v>1855</v>
      </c>
      <c r="E466" s="24" t="s">
        <v>376</v>
      </c>
      <c r="F466" s="24" t="s">
        <v>333</v>
      </c>
      <c r="G466" s="24" t="s">
        <v>347</v>
      </c>
      <c r="H466" s="10">
        <v>3258.884240909149</v>
      </c>
    </row>
    <row r="467" spans="1:8" x14ac:dyDescent="0.2">
      <c r="A467" s="9"/>
      <c r="B467" s="24" t="s">
        <v>336</v>
      </c>
      <c r="C467" s="25">
        <v>44545</v>
      </c>
      <c r="D467" s="24" t="s">
        <v>1856</v>
      </c>
      <c r="E467" s="24" t="s">
        <v>344</v>
      </c>
      <c r="F467" s="24" t="s">
        <v>333</v>
      </c>
      <c r="G467" s="24" t="s">
        <v>347</v>
      </c>
      <c r="H467" s="10">
        <v>1332.9639671944954</v>
      </c>
    </row>
    <row r="468" spans="1:8" x14ac:dyDescent="0.2">
      <c r="A468" s="9"/>
      <c r="B468" s="24" t="s">
        <v>336</v>
      </c>
      <c r="C468" s="25">
        <v>44545</v>
      </c>
      <c r="D468" s="24" t="s">
        <v>1857</v>
      </c>
      <c r="E468" s="24" t="s">
        <v>711</v>
      </c>
      <c r="F468" s="24" t="s">
        <v>333</v>
      </c>
      <c r="G468" s="24" t="s">
        <v>347</v>
      </c>
      <c r="H468" s="10">
        <v>8062.9388646999014</v>
      </c>
    </row>
    <row r="469" spans="1:8" x14ac:dyDescent="0.2">
      <c r="A469" s="9"/>
      <c r="B469" s="24" t="s">
        <v>929</v>
      </c>
      <c r="C469" s="25">
        <v>44546</v>
      </c>
      <c r="D469" s="24" t="s">
        <v>1351</v>
      </c>
      <c r="E469" s="24" t="s">
        <v>566</v>
      </c>
      <c r="F469" s="24" t="s">
        <v>333</v>
      </c>
      <c r="G469" s="24" t="s">
        <v>347</v>
      </c>
      <c r="H469" s="10">
        <v>-11.311642627244529</v>
      </c>
    </row>
    <row r="470" spans="1:8" x14ac:dyDescent="0.2">
      <c r="A470" s="9"/>
      <c r="B470" s="24" t="s">
        <v>336</v>
      </c>
      <c r="C470" s="25">
        <v>44546</v>
      </c>
      <c r="D470" s="24" t="s">
        <v>1858</v>
      </c>
      <c r="E470" s="24" t="s">
        <v>344</v>
      </c>
      <c r="F470" s="24" t="s">
        <v>333</v>
      </c>
      <c r="G470" s="24" t="s">
        <v>347</v>
      </c>
      <c r="H470" s="10">
        <v>1562.7034289538319</v>
      </c>
    </row>
    <row r="471" spans="1:8" x14ac:dyDescent="0.2">
      <c r="A471" s="9"/>
      <c r="B471" s="24" t="s">
        <v>336</v>
      </c>
      <c r="C471" s="25">
        <v>44546</v>
      </c>
      <c r="D471" s="24" t="s">
        <v>1859</v>
      </c>
      <c r="E471" s="24" t="s">
        <v>344</v>
      </c>
      <c r="F471" s="24" t="s">
        <v>333</v>
      </c>
      <c r="G471" s="24" t="s">
        <v>347</v>
      </c>
      <c r="H471" s="10">
        <v>1287.887071324926</v>
      </c>
    </row>
    <row r="472" spans="1:8" x14ac:dyDescent="0.2">
      <c r="A472" s="9"/>
      <c r="B472" s="24" t="s">
        <v>336</v>
      </c>
      <c r="C472" s="25">
        <v>44546</v>
      </c>
      <c r="D472" s="24" t="s">
        <v>1860</v>
      </c>
      <c r="E472" s="24" t="s">
        <v>1255</v>
      </c>
      <c r="F472" s="24" t="s">
        <v>333</v>
      </c>
      <c r="G472" s="24" t="s">
        <v>347</v>
      </c>
      <c r="H472" s="10">
        <v>336.74760101306964</v>
      </c>
    </row>
    <row r="473" spans="1:8" x14ac:dyDescent="0.2">
      <c r="A473" s="9"/>
      <c r="B473" s="24" t="s">
        <v>336</v>
      </c>
      <c r="C473" s="25">
        <v>44546</v>
      </c>
      <c r="D473" s="24" t="s">
        <v>1861</v>
      </c>
      <c r="E473" s="24" t="s">
        <v>378</v>
      </c>
      <c r="F473" s="24" t="s">
        <v>333</v>
      </c>
      <c r="G473" s="24" t="s">
        <v>347</v>
      </c>
      <c r="H473" s="10">
        <v>27.566473082594921</v>
      </c>
    </row>
    <row r="474" spans="1:8" x14ac:dyDescent="0.2">
      <c r="A474" s="9"/>
      <c r="B474" s="24" t="s">
        <v>336</v>
      </c>
      <c r="C474" s="25">
        <v>44546</v>
      </c>
      <c r="D474" s="24" t="s">
        <v>1862</v>
      </c>
      <c r="E474" s="24" t="s">
        <v>344</v>
      </c>
      <c r="F474" s="24" t="s">
        <v>333</v>
      </c>
      <c r="G474" s="24" t="s">
        <v>347</v>
      </c>
      <c r="H474" s="10">
        <v>2305.1204695077722</v>
      </c>
    </row>
    <row r="475" spans="1:8" x14ac:dyDescent="0.2">
      <c r="A475" s="9"/>
      <c r="B475" s="24" t="s">
        <v>336</v>
      </c>
      <c r="C475" s="25">
        <v>44547</v>
      </c>
      <c r="D475" s="24" t="s">
        <v>1863</v>
      </c>
      <c r="E475" s="24" t="s">
        <v>424</v>
      </c>
      <c r="F475" s="24" t="s">
        <v>333</v>
      </c>
      <c r="G475" s="24" t="s">
        <v>347</v>
      </c>
      <c r="H475" s="10">
        <v>79.18149839071171</v>
      </c>
    </row>
    <row r="476" spans="1:8" x14ac:dyDescent="0.2">
      <c r="A476" s="9"/>
      <c r="B476" s="24" t="s">
        <v>336</v>
      </c>
      <c r="C476" s="25">
        <v>44547</v>
      </c>
      <c r="D476" s="24" t="s">
        <v>1864</v>
      </c>
      <c r="E476" s="24" t="s">
        <v>680</v>
      </c>
      <c r="F476" s="24" t="s">
        <v>333</v>
      </c>
      <c r="G476" s="24" t="s">
        <v>347</v>
      </c>
      <c r="H476" s="10">
        <v>694.5348573128141</v>
      </c>
    </row>
    <row r="477" spans="1:8" x14ac:dyDescent="0.2">
      <c r="A477" s="9"/>
      <c r="B477" s="24" t="s">
        <v>336</v>
      </c>
      <c r="C477" s="25">
        <v>44547</v>
      </c>
      <c r="D477" s="24" t="s">
        <v>1865</v>
      </c>
      <c r="E477" s="24" t="s">
        <v>1053</v>
      </c>
      <c r="F477" s="24" t="s">
        <v>333</v>
      </c>
      <c r="G477" s="24" t="s">
        <v>347</v>
      </c>
      <c r="H477" s="10">
        <v>1057.7743253588906</v>
      </c>
    </row>
    <row r="478" spans="1:8" x14ac:dyDescent="0.2">
      <c r="A478" s="9"/>
      <c r="B478" s="24" t="s">
        <v>929</v>
      </c>
      <c r="C478" s="25">
        <v>44550</v>
      </c>
      <c r="D478" s="24" t="s">
        <v>1363</v>
      </c>
      <c r="E478" s="24" t="s">
        <v>585</v>
      </c>
      <c r="F478" s="24" t="s">
        <v>333</v>
      </c>
      <c r="G478" s="24" t="s">
        <v>347</v>
      </c>
      <c r="H478" s="10">
        <v>-1094.6331683699152</v>
      </c>
    </row>
    <row r="479" spans="1:8" x14ac:dyDescent="0.2">
      <c r="A479" s="9"/>
      <c r="B479" s="24" t="s">
        <v>929</v>
      </c>
      <c r="C479" s="25">
        <v>44550</v>
      </c>
      <c r="D479" s="24" t="s">
        <v>1364</v>
      </c>
      <c r="E479" s="24" t="s">
        <v>585</v>
      </c>
      <c r="F479" s="24" t="s">
        <v>333</v>
      </c>
      <c r="G479" s="24" t="s">
        <v>347</v>
      </c>
      <c r="H479" s="10">
        <v>-7078.5895799954596</v>
      </c>
    </row>
    <row r="480" spans="1:8" x14ac:dyDescent="0.2">
      <c r="A480" s="9"/>
      <c r="B480" s="24" t="s">
        <v>929</v>
      </c>
      <c r="C480" s="25">
        <v>44550</v>
      </c>
      <c r="D480" s="24" t="s">
        <v>1366</v>
      </c>
      <c r="E480" s="24" t="s">
        <v>585</v>
      </c>
      <c r="F480" s="24" t="s">
        <v>333</v>
      </c>
      <c r="G480" s="24" t="s">
        <v>347</v>
      </c>
      <c r="H480" s="10">
        <v>-257.56074549880356</v>
      </c>
    </row>
    <row r="481" spans="1:8" x14ac:dyDescent="0.2">
      <c r="A481" s="9"/>
      <c r="B481" s="24" t="s">
        <v>929</v>
      </c>
      <c r="C481" s="25">
        <v>44550</v>
      </c>
      <c r="D481" s="24" t="s">
        <v>1365</v>
      </c>
      <c r="E481" s="24" t="s">
        <v>585</v>
      </c>
      <c r="F481" s="24" t="s">
        <v>333</v>
      </c>
      <c r="G481" s="24" t="s">
        <v>347</v>
      </c>
      <c r="H481" s="10">
        <v>-2058.6216601532992</v>
      </c>
    </row>
    <row r="482" spans="1:8" x14ac:dyDescent="0.2">
      <c r="A482" s="9"/>
      <c r="B482" s="24" t="s">
        <v>336</v>
      </c>
      <c r="C482" s="25">
        <v>44550</v>
      </c>
      <c r="D482" s="24" t="s">
        <v>1866</v>
      </c>
      <c r="E482" s="24" t="s">
        <v>1306</v>
      </c>
      <c r="F482" s="24" t="s">
        <v>333</v>
      </c>
      <c r="G482" s="24" t="s">
        <v>347</v>
      </c>
      <c r="H482" s="10">
        <v>7895.3410910418606</v>
      </c>
    </row>
    <row r="483" spans="1:8" x14ac:dyDescent="0.2">
      <c r="A483" s="9"/>
      <c r="B483" s="24" t="s">
        <v>336</v>
      </c>
      <c r="C483" s="25">
        <v>44551</v>
      </c>
      <c r="D483" s="24" t="s">
        <v>1867</v>
      </c>
      <c r="E483" s="24" t="s">
        <v>344</v>
      </c>
      <c r="F483" s="24" t="s">
        <v>333</v>
      </c>
      <c r="G483" s="24" t="s">
        <v>347</v>
      </c>
      <c r="H483" s="10">
        <v>1168.7528511747867</v>
      </c>
    </row>
    <row r="484" spans="1:8" x14ac:dyDescent="0.2">
      <c r="A484" s="9"/>
      <c r="B484" s="24" t="s">
        <v>336</v>
      </c>
      <c r="C484" s="25">
        <v>44551</v>
      </c>
      <c r="D484" s="24" t="s">
        <v>1868</v>
      </c>
      <c r="E484" s="24" t="s">
        <v>1306</v>
      </c>
      <c r="F484" s="24" t="s">
        <v>333</v>
      </c>
      <c r="G484" s="24" t="s">
        <v>347</v>
      </c>
      <c r="H484" s="10">
        <v>1021.093552394533</v>
      </c>
    </row>
    <row r="485" spans="1:8" x14ac:dyDescent="0.2">
      <c r="A485" s="9"/>
      <c r="B485" s="24" t="s">
        <v>336</v>
      </c>
      <c r="C485" s="25">
        <v>44551</v>
      </c>
      <c r="D485" s="24" t="s">
        <v>1869</v>
      </c>
      <c r="E485" s="24" t="s">
        <v>1306</v>
      </c>
      <c r="F485" s="24" t="s">
        <v>333</v>
      </c>
      <c r="G485" s="24" t="s">
        <v>347</v>
      </c>
      <c r="H485" s="10">
        <v>1436.1521201339051</v>
      </c>
    </row>
    <row r="486" spans="1:8" x14ac:dyDescent="0.2">
      <c r="A486" s="9"/>
      <c r="B486" s="24" t="s">
        <v>336</v>
      </c>
      <c r="C486" s="25">
        <v>44551</v>
      </c>
      <c r="D486" s="24" t="s">
        <v>1870</v>
      </c>
      <c r="E486" s="24" t="s">
        <v>510</v>
      </c>
      <c r="F486" s="24" t="s">
        <v>333</v>
      </c>
      <c r="G486" s="24" t="s">
        <v>347</v>
      </c>
      <c r="H486" s="10">
        <v>223.40494188807946</v>
      </c>
    </row>
    <row r="487" spans="1:8" x14ac:dyDescent="0.2">
      <c r="A487" s="9"/>
      <c r="B487" s="24" t="s">
        <v>929</v>
      </c>
      <c r="C487" s="25">
        <v>44552</v>
      </c>
      <c r="D487" s="24" t="s">
        <v>1373</v>
      </c>
      <c r="E487" s="24" t="s">
        <v>874</v>
      </c>
      <c r="F487" s="24" t="s">
        <v>333</v>
      </c>
      <c r="G487" s="24" t="s">
        <v>347</v>
      </c>
      <c r="H487" s="10">
        <v>-1015.1973025099421</v>
      </c>
    </row>
    <row r="488" spans="1:8" x14ac:dyDescent="0.2">
      <c r="A488" s="9"/>
      <c r="B488" s="24" t="s">
        <v>929</v>
      </c>
      <c r="C488" s="25">
        <v>44552</v>
      </c>
      <c r="D488" s="24" t="s">
        <v>1372</v>
      </c>
      <c r="E488" s="24" t="s">
        <v>711</v>
      </c>
      <c r="F488" s="24" t="s">
        <v>333</v>
      </c>
      <c r="G488" s="24" t="s">
        <v>347</v>
      </c>
      <c r="H488" s="10">
        <v>-583.68075956581777</v>
      </c>
    </row>
    <row r="489" spans="1:8" x14ac:dyDescent="0.2">
      <c r="A489" s="9"/>
      <c r="B489" s="24" t="s">
        <v>336</v>
      </c>
      <c r="C489" s="25">
        <v>44552</v>
      </c>
      <c r="D489" s="24" t="s">
        <v>1871</v>
      </c>
      <c r="E489" s="24" t="s">
        <v>1376</v>
      </c>
      <c r="F489" s="24" t="s">
        <v>333</v>
      </c>
      <c r="G489" s="24" t="s">
        <v>347</v>
      </c>
      <c r="H489" s="10">
        <v>107.46060495882304</v>
      </c>
    </row>
    <row r="490" spans="1:8" x14ac:dyDescent="0.2">
      <c r="A490" s="9"/>
      <c r="B490" s="24" t="s">
        <v>336</v>
      </c>
      <c r="C490" s="25">
        <v>44553</v>
      </c>
      <c r="D490" s="24" t="s">
        <v>1872</v>
      </c>
      <c r="E490" s="24" t="s">
        <v>346</v>
      </c>
      <c r="F490" s="24" t="s">
        <v>333</v>
      </c>
      <c r="G490" s="24" t="s">
        <v>347</v>
      </c>
      <c r="H490" s="10">
        <v>459.81827279749012</v>
      </c>
    </row>
    <row r="491" spans="1:8" x14ac:dyDescent="0.2">
      <c r="A491" s="9"/>
      <c r="B491" s="24" t="s">
        <v>336</v>
      </c>
      <c r="C491" s="25">
        <v>44553</v>
      </c>
      <c r="D491" s="24" t="s">
        <v>1873</v>
      </c>
      <c r="E491" s="24" t="s">
        <v>346</v>
      </c>
      <c r="F491" s="24" t="s">
        <v>333</v>
      </c>
      <c r="G491" s="24" t="s">
        <v>347</v>
      </c>
      <c r="H491" s="10">
        <v>93.321051674767375</v>
      </c>
    </row>
    <row r="492" spans="1:8" x14ac:dyDescent="0.2">
      <c r="A492" s="9"/>
      <c r="B492" s="24" t="s">
        <v>336</v>
      </c>
      <c r="C492" s="25">
        <v>44560</v>
      </c>
      <c r="D492" s="24" t="s">
        <v>1874</v>
      </c>
      <c r="E492" s="24" t="s">
        <v>378</v>
      </c>
      <c r="F492" s="24" t="s">
        <v>333</v>
      </c>
      <c r="G492" s="24" t="s">
        <v>347</v>
      </c>
      <c r="H492" s="10">
        <v>10.847865279527504</v>
      </c>
    </row>
    <row r="493" spans="1:8" x14ac:dyDescent="0.2">
      <c r="A493" s="9"/>
      <c r="B493" s="24" t="s">
        <v>336</v>
      </c>
      <c r="C493" s="25">
        <v>44560</v>
      </c>
      <c r="D493" s="24" t="s">
        <v>1875</v>
      </c>
      <c r="E493" s="24" t="s">
        <v>378</v>
      </c>
      <c r="F493" s="24" t="s">
        <v>333</v>
      </c>
      <c r="G493" s="24" t="s">
        <v>347</v>
      </c>
      <c r="H493" s="10">
        <v>-515.42630795302421</v>
      </c>
    </row>
    <row r="494" spans="1:8" x14ac:dyDescent="0.2">
      <c r="A494" s="9"/>
      <c r="B494" s="24" t="s">
        <v>336</v>
      </c>
      <c r="C494" s="25">
        <v>44560</v>
      </c>
      <c r="D494" s="24" t="s">
        <v>1876</v>
      </c>
      <c r="E494" s="24" t="s">
        <v>346</v>
      </c>
      <c r="F494" s="24" t="s">
        <v>333</v>
      </c>
      <c r="G494" s="24" t="s">
        <v>347</v>
      </c>
      <c r="H494" s="10">
        <v>25.541689052318148</v>
      </c>
    </row>
    <row r="495" spans="1:8" x14ac:dyDescent="0.2">
      <c r="A495" s="9"/>
      <c r="B495" s="24" t="s">
        <v>336</v>
      </c>
      <c r="C495" s="25">
        <v>44561</v>
      </c>
      <c r="D495" s="24" t="s">
        <v>1877</v>
      </c>
      <c r="E495" s="24" t="s">
        <v>1306</v>
      </c>
      <c r="F495" s="24" t="s">
        <v>333</v>
      </c>
      <c r="G495" s="24" t="s">
        <v>347</v>
      </c>
      <c r="H495" s="10">
        <v>98717.397815783785</v>
      </c>
    </row>
    <row r="496" spans="1:8" x14ac:dyDescent="0.2">
      <c r="A496" s="9"/>
      <c r="B496" s="24" t="s">
        <v>336</v>
      </c>
      <c r="C496" s="25">
        <v>44561</v>
      </c>
      <c r="D496" s="24" t="s">
        <v>1878</v>
      </c>
      <c r="E496" s="24" t="s">
        <v>777</v>
      </c>
      <c r="F496" s="24" t="s">
        <v>333</v>
      </c>
      <c r="G496" s="24" t="s">
        <v>347</v>
      </c>
      <c r="H496" s="10">
        <v>-586.39555379635647</v>
      </c>
    </row>
    <row r="497" spans="1:8" ht="10.5" x14ac:dyDescent="0.25">
      <c r="A497" s="11" t="s">
        <v>349</v>
      </c>
      <c r="B497" s="26"/>
      <c r="C497" s="27"/>
      <c r="D497" s="26"/>
      <c r="E497" s="26"/>
      <c r="F497" s="26"/>
      <c r="G497" s="26"/>
      <c r="H497" s="12">
        <f>SUM(H12:H496)</f>
        <v>7140798.4741390795</v>
      </c>
    </row>
    <row r="498" spans="1:8" ht="10.5" x14ac:dyDescent="0.25">
      <c r="A498" s="13" t="s">
        <v>242</v>
      </c>
      <c r="B498" s="26"/>
      <c r="C498" s="27"/>
      <c r="D498" s="26"/>
      <c r="E498" s="26"/>
      <c r="F498" s="26"/>
      <c r="G498" s="26"/>
      <c r="H498" s="12">
        <f>SUM(H497)</f>
        <v>7140798.4741390795</v>
      </c>
    </row>
    <row r="499" spans="1:8" ht="10.5" x14ac:dyDescent="0.25">
      <c r="A499" s="20" t="s">
        <v>243</v>
      </c>
      <c r="B499" s="26"/>
      <c r="C499" s="27"/>
      <c r="D499" s="26"/>
      <c r="E499" s="26"/>
      <c r="F499" s="26"/>
      <c r="G499" s="26"/>
      <c r="H499" s="12">
        <f>SUM(H498)</f>
        <v>7140798.4741390795</v>
      </c>
    </row>
    <row r="500" spans="1:8" ht="10.5" x14ac:dyDescent="0.25">
      <c r="A500" s="18" t="s">
        <v>236</v>
      </c>
      <c r="B500" s="21"/>
      <c r="C500" s="28"/>
      <c r="D500" s="21"/>
      <c r="E500" s="21"/>
      <c r="F500" s="21"/>
      <c r="G500" s="21"/>
      <c r="H500" s="19">
        <f>H499-0</f>
        <v>7140798.4741390795</v>
      </c>
    </row>
    <row r="501" spans="1:8" ht="10.5" x14ac:dyDescent="0.2">
      <c r="A501" s="21" t="s">
        <v>237</v>
      </c>
      <c r="B501" s="21"/>
      <c r="C501" s="28"/>
      <c r="D501" s="21"/>
      <c r="E501" s="21"/>
      <c r="F501" s="21"/>
      <c r="G501" s="21"/>
      <c r="H501" s="19">
        <f>H500-0</f>
        <v>7140798.4741390795</v>
      </c>
    </row>
    <row r="502" spans="1:8" ht="10.5" x14ac:dyDescent="0.2">
      <c r="A502" s="21" t="s">
        <v>186</v>
      </c>
      <c r="B502" s="21"/>
      <c r="C502" s="28"/>
      <c r="D502" s="21"/>
      <c r="E502" s="21"/>
      <c r="F502" s="21"/>
      <c r="G502" s="21"/>
      <c r="H502" s="19">
        <f>H501+0</f>
        <v>7140798.4741390795</v>
      </c>
    </row>
  </sheetData>
  <mergeCells count="6">
    <mergeCell ref="A1:H1"/>
    <mergeCell ref="A2:H2"/>
    <mergeCell ref="A3:H3"/>
    <mergeCell ref="A4:H4"/>
    <mergeCell ref="A5:H5"/>
    <mergeCell ref="A6:H6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9A6C5-0E85-4C6F-8AD8-DA3C28438404}">
  <sheetPr codeName="Sheet2"/>
  <dimension ref="A1:E33"/>
  <sheetViews>
    <sheetView workbookViewId="0">
      <selection sqref="A1:E1"/>
    </sheetView>
  </sheetViews>
  <sheetFormatPr defaultRowHeight="10" x14ac:dyDescent="0.2"/>
  <cols>
    <col min="1" max="1" width="17.81640625" style="1" bestFit="1" customWidth="1"/>
    <col min="2" max="2" width="40.7265625" style="1" bestFit="1" customWidth="1"/>
    <col min="3" max="3" width="8.90625" style="1" bestFit="1" customWidth="1"/>
    <col min="4" max="4" width="9.81640625" style="1" bestFit="1" customWidth="1"/>
    <col min="5" max="5" width="6.453125" style="1" bestFit="1" customWidth="1"/>
    <col min="6" max="16384" width="8.7265625" style="1"/>
  </cols>
  <sheetData>
    <row r="1" spans="1:5" ht="15.5" x14ac:dyDescent="0.35">
      <c r="A1" s="43" t="s">
        <v>5</v>
      </c>
      <c r="B1" s="43"/>
      <c r="C1" s="43"/>
      <c r="D1" s="43"/>
      <c r="E1" s="43"/>
    </row>
    <row r="2" spans="1:5" ht="15.5" x14ac:dyDescent="0.35">
      <c r="A2" s="43" t="s">
        <v>190</v>
      </c>
      <c r="B2" s="43"/>
      <c r="C2" s="43"/>
      <c r="D2" s="43"/>
      <c r="E2" s="43"/>
    </row>
    <row r="3" spans="1:5" ht="18" x14ac:dyDescent="0.4">
      <c r="A3" s="42" t="s">
        <v>191</v>
      </c>
      <c r="B3" s="42"/>
      <c r="C3" s="42"/>
      <c r="D3" s="42"/>
      <c r="E3" s="42"/>
    </row>
    <row r="4" spans="1:5" ht="18" x14ac:dyDescent="0.4">
      <c r="A4" s="42" t="s">
        <v>429</v>
      </c>
      <c r="B4" s="42"/>
      <c r="C4" s="42"/>
      <c r="D4" s="42"/>
      <c r="E4" s="42"/>
    </row>
    <row r="5" spans="1:5" ht="18" x14ac:dyDescent="0.4">
      <c r="A5" s="42" t="s">
        <v>8</v>
      </c>
      <c r="B5" s="42"/>
      <c r="C5" s="42"/>
      <c r="D5" s="42"/>
      <c r="E5" s="42"/>
    </row>
    <row r="6" spans="1:5" ht="18" x14ac:dyDescent="0.4">
      <c r="A6" s="42" t="s">
        <v>8</v>
      </c>
      <c r="B6" s="42"/>
      <c r="C6" s="42"/>
      <c r="D6" s="42"/>
      <c r="E6" s="42"/>
    </row>
    <row r="9" spans="1:5" x14ac:dyDescent="0.2">
      <c r="A9" s="2" t="s">
        <v>192</v>
      </c>
      <c r="B9" s="2" t="s">
        <v>193</v>
      </c>
      <c r="C9" s="3" t="s">
        <v>194</v>
      </c>
      <c r="D9" s="3" t="s">
        <v>195</v>
      </c>
      <c r="E9" s="3" t="s">
        <v>196</v>
      </c>
    </row>
    <row r="10" spans="1:5" x14ac:dyDescent="0.2">
      <c r="A10" s="22" t="s">
        <v>198</v>
      </c>
      <c r="B10" s="24" t="s">
        <v>197</v>
      </c>
      <c r="C10" s="29">
        <v>2.13</v>
      </c>
      <c r="D10" s="30">
        <v>8.3642504631212831E-7</v>
      </c>
      <c r="E10" s="31">
        <v>0.67</v>
      </c>
    </row>
    <row r="11" spans="1:5" x14ac:dyDescent="0.2">
      <c r="A11" s="22" t="s">
        <v>200</v>
      </c>
      <c r="B11" s="24" t="s">
        <v>199</v>
      </c>
      <c r="C11" s="29">
        <v>759.07</v>
      </c>
      <c r="D11" s="30">
        <v>2.9807753986110206E-4</v>
      </c>
      <c r="E11" s="31">
        <v>27.8307</v>
      </c>
    </row>
    <row r="12" spans="1:5" x14ac:dyDescent="0.2">
      <c r="A12" s="22" t="s">
        <v>201</v>
      </c>
      <c r="B12" s="24" t="s">
        <v>199</v>
      </c>
      <c r="C12" s="29">
        <v>1944.12</v>
      </c>
      <c r="D12" s="30">
        <v>7.6343223522832627E-4</v>
      </c>
      <c r="E12" s="31">
        <v>95.67</v>
      </c>
    </row>
    <row r="13" spans="1:5" x14ac:dyDescent="0.2">
      <c r="A13" s="22" t="s">
        <v>203</v>
      </c>
      <c r="B13" s="24" t="s">
        <v>202</v>
      </c>
      <c r="C13" s="29">
        <v>1301.3</v>
      </c>
      <c r="D13" s="30">
        <v>5.1100465388073831E-4</v>
      </c>
      <c r="E13" s="31">
        <v>47.664000000000001</v>
      </c>
    </row>
    <row r="14" spans="1:5" x14ac:dyDescent="0.2">
      <c r="A14" s="22" t="s">
        <v>204</v>
      </c>
      <c r="B14" s="24" t="s">
        <v>202</v>
      </c>
      <c r="C14" s="29">
        <v>2459.65</v>
      </c>
      <c r="D14" s="30">
        <v>9.6587458458292333E-4</v>
      </c>
      <c r="E14" s="31">
        <v>116.497</v>
      </c>
    </row>
    <row r="15" spans="1:5" x14ac:dyDescent="0.2">
      <c r="A15" s="22" t="s">
        <v>206</v>
      </c>
      <c r="B15" s="24" t="s">
        <v>205</v>
      </c>
      <c r="C15" s="29">
        <v>1325.15</v>
      </c>
      <c r="D15" s="30">
        <v>5.2037025827254314E-4</v>
      </c>
      <c r="E15" s="31">
        <v>47.686700000000002</v>
      </c>
    </row>
    <row r="16" spans="1:5" x14ac:dyDescent="0.2">
      <c r="A16" s="22" t="s">
        <v>207</v>
      </c>
      <c r="B16" s="24" t="s">
        <v>205</v>
      </c>
      <c r="C16" s="29">
        <v>7592.47</v>
      </c>
      <c r="D16" s="30">
        <v>2.981470456043871E-3</v>
      </c>
      <c r="E16" s="31">
        <v>352.33</v>
      </c>
    </row>
    <row r="17" spans="1:5" x14ac:dyDescent="0.2">
      <c r="A17" s="32" t="s">
        <v>208</v>
      </c>
      <c r="B17" s="24" t="s">
        <v>209</v>
      </c>
      <c r="C17" s="29">
        <v>2689.51</v>
      </c>
      <c r="D17" s="30">
        <v>1.0561378057779027E-3</v>
      </c>
      <c r="E17" s="31">
        <v>124</v>
      </c>
    </row>
    <row r="18" spans="1:5" x14ac:dyDescent="0.2">
      <c r="A18" s="32" t="s">
        <v>210</v>
      </c>
      <c r="B18" s="24" t="s">
        <v>211</v>
      </c>
      <c r="C18" s="29">
        <v>1400.87</v>
      </c>
      <c r="D18" s="30">
        <v>5.5010457963721652E-4</v>
      </c>
      <c r="E18" s="31">
        <v>74</v>
      </c>
    </row>
    <row r="19" spans="1:5" x14ac:dyDescent="0.2">
      <c r="A19" s="32" t="s">
        <v>212</v>
      </c>
      <c r="B19" s="24" t="s">
        <v>213</v>
      </c>
      <c r="C19" s="29">
        <v>3846.54</v>
      </c>
      <c r="D19" s="30">
        <v>1.5104893885640629E-3</v>
      </c>
      <c r="E19" s="31">
        <v>192</v>
      </c>
    </row>
    <row r="20" spans="1:5" x14ac:dyDescent="0.2">
      <c r="A20" s="32" t="s">
        <v>214</v>
      </c>
      <c r="B20" s="24" t="s">
        <v>215</v>
      </c>
      <c r="C20" s="29">
        <v>38706.339999999997</v>
      </c>
      <c r="D20" s="30">
        <v>1.5199508087827692E-2</v>
      </c>
      <c r="E20" s="31">
        <v>1623.501</v>
      </c>
    </row>
    <row r="21" spans="1:5" x14ac:dyDescent="0.2">
      <c r="A21" s="32" t="s">
        <v>216</v>
      </c>
      <c r="B21" s="24" t="s">
        <v>217</v>
      </c>
      <c r="C21" s="29">
        <v>26805.200000000001</v>
      </c>
      <c r="D21" s="30">
        <v>1.0526075423195242E-2</v>
      </c>
      <c r="E21" s="31">
        <v>1211.4992999999999</v>
      </c>
    </row>
    <row r="22" spans="1:5" x14ac:dyDescent="0.2">
      <c r="A22" s="32" t="s">
        <v>218</v>
      </c>
      <c r="B22" s="24" t="s">
        <v>219</v>
      </c>
      <c r="C22" s="29">
        <v>39461.730000000003</v>
      </c>
      <c r="D22" s="30">
        <v>1.5496140536528971E-2</v>
      </c>
      <c r="E22" s="31">
        <v>1771.001</v>
      </c>
    </row>
    <row r="23" spans="1:5" x14ac:dyDescent="0.2">
      <c r="A23" s="32" t="s">
        <v>220</v>
      </c>
      <c r="B23" s="24" t="s">
        <v>221</v>
      </c>
      <c r="C23" s="29">
        <v>46313.18</v>
      </c>
      <c r="D23" s="30">
        <v>1.8186621467775558E-2</v>
      </c>
      <c r="E23" s="31">
        <v>2057.5095999999999</v>
      </c>
    </row>
    <row r="24" spans="1:5" x14ac:dyDescent="0.2">
      <c r="A24" s="32" t="s">
        <v>222</v>
      </c>
      <c r="B24" s="24" t="s">
        <v>223</v>
      </c>
      <c r="C24" s="29">
        <v>5177.04</v>
      </c>
      <c r="D24" s="30">
        <v>2.0329605266477657E-3</v>
      </c>
      <c r="E24" s="31">
        <v>256</v>
      </c>
    </row>
    <row r="25" spans="1:5" x14ac:dyDescent="0.2">
      <c r="A25" s="22" t="s">
        <v>382</v>
      </c>
      <c r="B25" s="24" t="s">
        <v>383</v>
      </c>
      <c r="C25" s="29">
        <v>67.900000000000006</v>
      </c>
      <c r="D25" s="30">
        <v>2.6663502650043907E-5</v>
      </c>
      <c r="E25" s="31">
        <v>40</v>
      </c>
    </row>
    <row r="26" spans="1:5" x14ac:dyDescent="0.2">
      <c r="A26" s="22" t="s">
        <v>384</v>
      </c>
      <c r="B26" s="24" t="s">
        <v>385</v>
      </c>
      <c r="C26" s="29">
        <v>7.38</v>
      </c>
      <c r="D26" s="30">
        <v>2.8980360759546982E-6</v>
      </c>
      <c r="E26" s="31">
        <v>124</v>
      </c>
    </row>
    <row r="27" spans="1:5" x14ac:dyDescent="0.2">
      <c r="A27" s="22" t="s">
        <v>386</v>
      </c>
      <c r="B27" s="24" t="s">
        <v>387</v>
      </c>
      <c r="C27" s="29">
        <v>67.900000000000006</v>
      </c>
      <c r="D27" s="30">
        <v>2.6663502650043907E-5</v>
      </c>
      <c r="E27" s="31">
        <v>40</v>
      </c>
    </row>
    <row r="28" spans="1:5" x14ac:dyDescent="0.2">
      <c r="A28" s="22" t="s">
        <v>388</v>
      </c>
      <c r="B28" s="24" t="s">
        <v>389</v>
      </c>
      <c r="C28" s="29">
        <v>10.71</v>
      </c>
      <c r="D28" s="30">
        <v>4.2056865004708427E-6</v>
      </c>
      <c r="E28" s="31">
        <v>180</v>
      </c>
    </row>
    <row r="29" spans="1:5" x14ac:dyDescent="0.2">
      <c r="A29" s="22" t="s">
        <v>390</v>
      </c>
      <c r="B29" s="24" t="s">
        <v>391</v>
      </c>
      <c r="C29" s="29">
        <v>67.900000000000006</v>
      </c>
      <c r="D29" s="30">
        <v>2.6663502650043907E-5</v>
      </c>
      <c r="E29" s="31">
        <v>40</v>
      </c>
    </row>
    <row r="30" spans="1:5" x14ac:dyDescent="0.2">
      <c r="A30" s="22" t="s">
        <v>392</v>
      </c>
      <c r="B30" s="24" t="s">
        <v>393</v>
      </c>
      <c r="C30" s="29">
        <v>8.56</v>
      </c>
      <c r="D30" s="30">
        <v>3.3614076978553144E-6</v>
      </c>
      <c r="E30" s="31">
        <v>144</v>
      </c>
    </row>
    <row r="31" spans="1:5" x14ac:dyDescent="0.2">
      <c r="A31" s="22" t="s">
        <v>394</v>
      </c>
      <c r="B31" s="24" t="s">
        <v>395</v>
      </c>
      <c r="C31" s="29">
        <v>50.92</v>
      </c>
      <c r="D31" s="30">
        <v>1.999566354845708E-5</v>
      </c>
      <c r="E31" s="31">
        <v>30</v>
      </c>
    </row>
    <row r="32" spans="1:5" x14ac:dyDescent="0.2">
      <c r="A32" s="22" t="s">
        <v>396</v>
      </c>
      <c r="B32" s="24" t="s">
        <v>397</v>
      </c>
      <c r="C32" s="29">
        <v>13.56</v>
      </c>
      <c r="D32" s="30">
        <v>5.3248467737053806E-6</v>
      </c>
      <c r="E32" s="31">
        <v>228</v>
      </c>
    </row>
    <row r="33" spans="1:3" x14ac:dyDescent="0.2">
      <c r="A33" s="1" t="s">
        <v>407</v>
      </c>
      <c r="C33" s="39">
        <f>SUM(C10:C32)</f>
        <v>180079.12999999998</v>
      </c>
    </row>
  </sheetData>
  <mergeCells count="6">
    <mergeCell ref="A1:E1"/>
    <mergeCell ref="A2:E2"/>
    <mergeCell ref="A3:E3"/>
    <mergeCell ref="A4:E4"/>
    <mergeCell ref="A5:E5"/>
    <mergeCell ref="A6:E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BS</vt:lpstr>
      <vt:lpstr>PL</vt:lpstr>
      <vt:lpstr>Goodwill</vt:lpstr>
      <vt:lpstr>InternalSales</vt:lpstr>
      <vt:lpstr>Cost of Goods Sold</vt:lpstr>
      <vt:lpstr>Sales</vt:lpstr>
      <vt:lpstr>Regal Rogue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彭光宇</dc:creator>
  <cp:lastModifiedBy>彭光宇</cp:lastModifiedBy>
  <dcterms:created xsi:type="dcterms:W3CDTF">2015-06-05T18:17:20Z</dcterms:created>
  <dcterms:modified xsi:type="dcterms:W3CDTF">2022-03-25T21:40:47Z</dcterms:modified>
</cp:coreProperties>
</file>